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ctrlProps/ctrlProp1.xml" ContentType="application/vnd.ms-excel.controlproperties+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202300"/>
  <mc:AlternateContent xmlns:mc="http://schemas.openxmlformats.org/markup-compatibility/2006">
    <mc:Choice Requires="x15">
      <x15ac:absPath xmlns:x15ac="http://schemas.microsoft.com/office/spreadsheetml/2010/11/ac" url="/Users/benbaize/Desktop/"/>
    </mc:Choice>
  </mc:AlternateContent>
  <xr:revisionPtr revIDLastSave="0" documentId="13_ncr:1_{344CF685-D595-A94D-A655-744F98F0309D}" xr6:coauthVersionLast="47" xr6:coauthVersionMax="47" xr10:uidLastSave="{00000000-0000-0000-0000-000000000000}"/>
  <bookViews>
    <workbookView xWindow="30240" yWindow="-21100" windowWidth="51200" windowHeight="19660" activeTab="2" xr2:uid="{36121ABC-8F8C-514B-8E0D-723F0F7D8EDF}"/>
  </bookViews>
  <sheets>
    <sheet name="Large Dataset" sheetId="4" r:id="rId1"/>
    <sheet name="Analysis of Large Data" sheetId="8" r:id="rId2"/>
    <sheet name="Original Questions" sheetId="7" r:id="rId3"/>
  </sheets>
  <functionGroups builtInGroupCount="19"/>
  <externalReferences>
    <externalReference r:id="rId4"/>
  </externalReferences>
  <definedNames>
    <definedName name="_xlnm._FilterDatabase" localSheetId="0" hidden="1">'Large Dataset'!$A$2:$S$12</definedName>
    <definedName name="Bloom" localSheetId="2">'Original Questions'!$G$2:$G$51</definedName>
    <definedName name="gpt_3.5_en_qs" localSheetId="0">'Large Dataset'!$U$3:$U$353</definedName>
    <definedName name="gpt_3.5_turbo_qs" localSheetId="0">'Large Dataset'!$P$2:$R$327</definedName>
    <definedName name="gpt_4_qs" localSheetId="0">'Large Dataset'!$V$3:$AA$406</definedName>
    <definedName name="nor_mistral_7b_scratch" localSheetId="2">'Original Questions'!$H$2:$H$51</definedName>
    <definedName name="nor_mistral_7b_warm_instruct" localSheetId="2">'Original Questions'!$K$2:$K$51</definedName>
    <definedName name="norBLOOM_Large" localSheetId="0">'Large Dataset'!$H$2:$H$296</definedName>
    <definedName name="norBLOOMextra" localSheetId="0">'Large Dataset'!$H$297:$H$327</definedName>
    <definedName name="normistral_7b_instruct_large" localSheetId="0">'Large Dataset'!$N$2:$N$296</definedName>
    <definedName name="normistral_7b_warm" localSheetId="2">'Original Questions'!$J$2:$J$51</definedName>
    <definedName name="normistral_scratch_extra" localSheetId="0">'Large Dataset'!$J$297:$J$327</definedName>
    <definedName name="normistral_scratch_large" localSheetId="0">'Large Dataset'!$J$2:$J$296</definedName>
    <definedName name="normistral_warm_extra_1" localSheetId="0">'Large Dataset'!$L$297:$L$327</definedName>
    <definedName name="normistral_warm_instruct_extra" localSheetId="0">'Large Dataset'!$N$297:$N$327</definedName>
    <definedName name="normistral_warm_large" localSheetId="0">'Large Dataset'!$L$2:$L$296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8" l="1"/>
  <c r="E5" i="8"/>
  <c r="E4" i="8"/>
  <c r="E3" i="8"/>
  <c r="B11" i="8"/>
  <c r="B10" i="8"/>
  <c r="B9" i="8"/>
  <c r="B8" i="8"/>
  <c r="B7" i="8"/>
  <c r="B6" i="8"/>
  <c r="B5" i="8"/>
  <c r="B4" i="8"/>
  <c r="B3" i="8"/>
  <c r="B17" i="4"/>
  <c r="B16" i="4"/>
  <c r="B15" i="4"/>
  <c r="B11" i="4"/>
  <c r="B10" i="4"/>
  <c r="B9" i="4"/>
  <c r="B8" i="4"/>
  <c r="B7" i="4"/>
  <c r="B6" i="4"/>
  <c r="B5" i="4"/>
  <c r="B4" i="4"/>
  <c r="B3" i="4"/>
  <c r="BV4" i="8" a="1"/>
  <c r="BV10" i="8" a="1"/>
  <c r="BV16" i="8" a="1"/>
  <c r="BV22" i="8" a="1"/>
  <c r="BV28" i="8" a="1"/>
  <c r="BV34" i="8" a="1"/>
  <c r="BV40" i="8" a="1"/>
  <c r="BV46" i="8" a="1"/>
  <c r="BV52" i="8" a="1"/>
  <c r="BV58" i="8" a="1"/>
  <c r="BV64" i="8" a="1"/>
  <c r="BV70" i="8" a="1"/>
  <c r="BV76" i="8" a="1"/>
  <c r="BV82" i="8" a="1"/>
  <c r="BV88" i="8" a="1"/>
  <c r="BV94" i="8" a="1"/>
  <c r="BV100" i="8" a="1"/>
  <c r="BV106" i="8" a="1"/>
  <c r="BV112" i="8" a="1"/>
  <c r="BV118" i="8" a="1"/>
  <c r="BV124" i="8" a="1"/>
  <c r="BV130" i="8" a="1"/>
  <c r="BV136" i="8" a="1"/>
  <c r="BV142" i="8" a="1"/>
  <c r="BV148" i="8" a="1"/>
  <c r="BV154" i="8" a="1"/>
  <c r="BV160" i="8" a="1"/>
  <c r="BV166" i="8" a="1"/>
  <c r="BV172" i="8" a="1"/>
  <c r="BV178" i="8" a="1"/>
  <c r="BV184" i="8" a="1"/>
  <c r="BV190" i="8" a="1"/>
  <c r="BV196" i="8" a="1"/>
  <c r="BV202" i="8" a="1"/>
  <c r="BV208" i="8" a="1"/>
  <c r="BV214" i="8" a="1"/>
  <c r="BV220" i="8" a="1"/>
  <c r="BV226" i="8" a="1"/>
  <c r="BV232" i="8" a="1"/>
  <c r="BV238" i="8" a="1"/>
  <c r="BV244" i="8" a="1"/>
  <c r="BV250" i="8" a="1"/>
  <c r="BV256" i="8" a="1"/>
  <c r="BV262" i="8" a="1"/>
  <c r="BV268" i="8" a="1"/>
  <c r="BV274" i="8" a="1"/>
  <c r="BV280" i="8" a="1"/>
  <c r="BV286" i="8" a="1"/>
  <c r="BV292" i="8" a="1"/>
  <c r="BV298" i="8" a="1"/>
  <c r="BV304" i="8" a="1"/>
  <c r="BV310" i="8" a="1"/>
  <c r="BV316" i="8" a="1"/>
  <c r="BV322" i="8" a="1"/>
  <c r="BV89" i="8" a="1"/>
  <c r="BV113" i="8" a="1"/>
  <c r="BV125" i="8" a="1"/>
  <c r="BV137" i="8" a="1"/>
  <c r="BV149" i="8" a="1"/>
  <c r="BV161" i="8" a="1"/>
  <c r="BV173" i="8" a="1"/>
  <c r="BV185" i="8" a="1"/>
  <c r="BV197" i="8" a="1"/>
  <c r="BV209" i="8" a="1"/>
  <c r="BV221" i="8" a="1"/>
  <c r="BV233" i="8" a="1"/>
  <c r="BV245" i="8" a="1"/>
  <c r="BV257" i="8" a="1"/>
  <c r="BV269" i="8" a="1"/>
  <c r="BV281" i="8" a="1"/>
  <c r="BV293" i="8" a="1"/>
  <c r="BV305" i="8" a="1"/>
  <c r="BV317" i="8" a="1"/>
  <c r="BV5" i="8" a="1"/>
  <c r="BV11" i="8" a="1"/>
  <c r="BV17" i="8" a="1"/>
  <c r="BV23" i="8" a="1"/>
  <c r="BV29" i="8" a="1"/>
  <c r="BV35" i="8" a="1"/>
  <c r="BV41" i="8" a="1"/>
  <c r="BV47" i="8" a="1"/>
  <c r="BV53" i="8" a="1"/>
  <c r="BV59" i="8" a="1"/>
  <c r="BV65" i="8" a="1"/>
  <c r="BV71" i="8" a="1"/>
  <c r="BV77" i="8" a="1"/>
  <c r="BV83" i="8" a="1"/>
  <c r="BV95" i="8" a="1"/>
  <c r="BV101" i="8" a="1"/>
  <c r="BV107" i="8" a="1"/>
  <c r="BV119" i="8" a="1"/>
  <c r="BV131" i="8" a="1"/>
  <c r="BV143" i="8" a="1"/>
  <c r="BV155" i="8" a="1"/>
  <c r="BV167" i="8" a="1"/>
  <c r="BV179" i="8" a="1"/>
  <c r="BV191" i="8" a="1"/>
  <c r="BV203" i="8" a="1"/>
  <c r="BV215" i="8" a="1"/>
  <c r="BV227" i="8" a="1"/>
  <c r="BV239" i="8" a="1"/>
  <c r="BV251" i="8" a="1"/>
  <c r="BV263" i="8" a="1"/>
  <c r="BV275" i="8" a="1"/>
  <c r="BV287" i="8" a="1"/>
  <c r="BV299" i="8" a="1"/>
  <c r="BV311" i="8" a="1"/>
  <c r="BV323" i="8" a="1"/>
  <c r="BV6" i="8" a="1"/>
  <c r="BV7" i="8" a="1"/>
  <c r="BV8" i="8" a="1"/>
  <c r="BV9" i="8" a="1"/>
  <c r="BV15" i="8" a="1"/>
  <c r="BV21" i="8" a="1"/>
  <c r="BV27" i="8" a="1"/>
  <c r="BV33" i="8" a="1"/>
  <c r="BV39" i="8" a="1"/>
  <c r="BV45" i="8" a="1"/>
  <c r="BV51" i="8" a="1"/>
  <c r="BV57" i="8" a="1"/>
  <c r="BV63" i="8" a="1"/>
  <c r="BV69" i="8" a="1"/>
  <c r="BV75" i="8" a="1"/>
  <c r="BV81" i="8" a="1"/>
  <c r="BV87" i="8" a="1"/>
  <c r="BV93" i="8" a="1"/>
  <c r="BV99" i="8" a="1"/>
  <c r="BV105" i="8" a="1"/>
  <c r="BV111" i="8" a="1"/>
  <c r="BV117" i="8" a="1"/>
  <c r="BV123" i="8" a="1"/>
  <c r="BV129" i="8" a="1"/>
  <c r="BV135" i="8" a="1"/>
  <c r="BV141" i="8" a="1"/>
  <c r="BV147" i="8" a="1"/>
  <c r="BV153" i="8" a="1"/>
  <c r="BV159" i="8" a="1"/>
  <c r="BV165" i="8" a="1"/>
  <c r="BV171" i="8" a="1"/>
  <c r="BV177" i="8" a="1"/>
  <c r="BV183" i="8" a="1"/>
  <c r="BV189" i="8" a="1"/>
  <c r="BV195" i="8" a="1"/>
  <c r="BV201" i="8" a="1"/>
  <c r="BV207" i="8" a="1"/>
  <c r="BV213" i="8" a="1"/>
  <c r="BV219" i="8" a="1"/>
  <c r="BV225" i="8" a="1"/>
  <c r="BV231" i="8" a="1"/>
  <c r="BV237" i="8" a="1"/>
  <c r="BV243" i="8" a="1"/>
  <c r="BV249" i="8" a="1"/>
  <c r="BV255" i="8" a="1"/>
  <c r="BV261" i="8" a="1"/>
  <c r="BV267" i="8" a="1"/>
  <c r="BV20" i="8" a="1"/>
  <c r="BV31" i="8" a="1"/>
  <c r="BV42" i="8" a="1"/>
  <c r="BV92" i="8" a="1"/>
  <c r="BV122" i="8" a="1"/>
  <c r="BV133" i="8" a="1"/>
  <c r="BV151" i="8" a="1"/>
  <c r="BV169" i="8" a="1"/>
  <c r="BV187" i="8" a="1"/>
  <c r="BV205" i="8" a="1"/>
  <c r="BV223" i="8" a="1"/>
  <c r="BV241" i="8" a="1"/>
  <c r="BV259" i="8" a="1"/>
  <c r="BV284" i="8" a="1"/>
  <c r="BV308" i="8" a="1"/>
  <c r="BV32" i="8" a="1"/>
  <c r="BV54" i="8" a="1"/>
  <c r="BV134" i="8" a="1"/>
  <c r="BV144" i="8" a="1"/>
  <c r="BV152" i="8" a="1"/>
  <c r="BV162" i="8" a="1"/>
  <c r="BV170" i="8" a="1"/>
  <c r="BV188" i="8" a="1"/>
  <c r="BV216" i="8" a="1"/>
  <c r="BV234" i="8" a="1"/>
  <c r="BV252" i="8" a="1"/>
  <c r="BV78" i="8" a="1"/>
  <c r="BV138" i="8" a="1"/>
  <c r="BV164" i="8" a="1"/>
  <c r="BV182" i="8" a="1"/>
  <c r="BV210" i="8" a="1"/>
  <c r="BV236" i="8" a="1"/>
  <c r="BV264" i="8" a="1"/>
  <c r="BV296" i="8" a="1"/>
  <c r="BV139" i="8" a="1"/>
  <c r="BV193" i="8" a="1"/>
  <c r="BV247" i="8" a="1"/>
  <c r="BV273" i="8" a="1"/>
  <c r="BV91" i="8" a="1"/>
  <c r="BV150" i="8" a="1"/>
  <c r="BV204" i="8" a="1"/>
  <c r="BV258" i="8" a="1"/>
  <c r="BV276" i="8" a="1"/>
  <c r="BV12" i="8" a="1"/>
  <c r="BV62" i="8" a="1"/>
  <c r="BV73" i="8" a="1"/>
  <c r="BV84" i="8" a="1"/>
  <c r="BV103" i="8" a="1"/>
  <c r="BV114" i="8" a="1"/>
  <c r="BV277" i="8" a="1"/>
  <c r="BV301" i="8" a="1"/>
  <c r="BV325" i="8" a="1"/>
  <c r="BV43" i="8" a="1"/>
  <c r="BV180" i="8" a="1"/>
  <c r="BV206" i="8" a="1"/>
  <c r="BV224" i="8" a="1"/>
  <c r="BV242" i="8" a="1"/>
  <c r="BV260" i="8" a="1"/>
  <c r="BV270" i="8" a="1"/>
  <c r="BV285" i="8" a="1"/>
  <c r="BV294" i="8" a="1"/>
  <c r="BV309" i="8" a="1"/>
  <c r="BV318" i="8" a="1"/>
  <c r="BV85" i="8" a="1"/>
  <c r="BV104" i="8" a="1"/>
  <c r="BV115" i="8" a="1"/>
  <c r="BV278" i="8" a="1"/>
  <c r="BV326" i="8" a="1"/>
  <c r="BV199" i="8" a="1"/>
  <c r="BV235" i="8" a="1"/>
  <c r="BV253" i="8" a="1"/>
  <c r="BV271" i="8" a="1"/>
  <c r="BV295" i="8" a="1"/>
  <c r="BV319" i="8" a="1"/>
  <c r="BV25" i="8" a="1"/>
  <c r="BV86" i="8" a="1"/>
  <c r="BV116" i="8" a="1"/>
  <c r="BV279" i="8" a="1"/>
  <c r="BV312" i="8" a="1"/>
  <c r="BV146" i="8" a="1"/>
  <c r="BV174" i="8" a="1"/>
  <c r="BV228" i="8" a="1"/>
  <c r="BV254" i="8" a="1"/>
  <c r="BV320" i="8" a="1"/>
  <c r="BV229" i="8" a="1"/>
  <c r="BV265" i="8" a="1"/>
  <c r="BV297" i="8" a="1"/>
  <c r="BV38" i="8" a="1"/>
  <c r="BV290" i="8" a="1"/>
  <c r="BV30" i="8" a="1"/>
  <c r="BV110" i="8" a="1"/>
  <c r="BV158" i="8" a="1"/>
  <c r="BV194" i="8" a="1"/>
  <c r="BV230" i="8" a="1"/>
  <c r="BV266" i="8" a="1"/>
  <c r="BV198" i="8" a="1"/>
  <c r="BV36" i="8" a="1"/>
  <c r="BV327" i="8" a="1"/>
  <c r="BV200" i="8" a="1"/>
  <c r="BV175" i="8" a="1"/>
  <c r="BV60" i="8" a="1"/>
  <c r="BV168" i="8" a="1"/>
  <c r="BV307" i="8" a="1"/>
  <c r="BV72" i="8" a="1"/>
  <c r="BV13" i="8" a="1"/>
  <c r="BV24" i="8" a="1"/>
  <c r="BV74" i="8" a="1"/>
  <c r="BV96" i="8" a="1"/>
  <c r="BV126" i="8" a="1"/>
  <c r="BV302" i="8" a="1"/>
  <c r="BV97" i="8" a="1"/>
  <c r="BV303" i="8" a="1"/>
  <c r="BV108" i="8" a="1"/>
  <c r="BV218" i="8" a="1"/>
  <c r="BV49" i="8" a="1"/>
  <c r="BV186" i="8" a="1"/>
  <c r="BV61" i="8" a="1"/>
  <c r="BV300" i="8" a="1"/>
  <c r="BV44" i="8" a="1"/>
  <c r="BV55" i="8" a="1"/>
  <c r="BV66" i="8" a="1"/>
  <c r="BV145" i="8" a="1"/>
  <c r="BV163" i="8" a="1"/>
  <c r="BV181" i="8" a="1"/>
  <c r="BV217" i="8" a="1"/>
  <c r="BV288" i="8" a="1"/>
  <c r="BV192" i="8" a="1"/>
  <c r="BV272" i="8" a="1"/>
  <c r="BV211" i="8" a="1"/>
  <c r="BV306" i="8" a="1"/>
  <c r="BV222" i="8" a="1"/>
  <c r="BV50" i="8" a="1"/>
  <c r="BV291" i="8" a="1"/>
  <c r="BV14" i="8" a="1"/>
  <c r="BV127" i="8" a="1"/>
  <c r="BV121" i="8" a="1"/>
  <c r="BV102" i="8" a="1"/>
  <c r="BV56" i="8" a="1"/>
  <c r="BV67" i="8" a="1"/>
  <c r="BV156" i="8" a="1"/>
  <c r="BV246" i="8" a="1"/>
  <c r="BV140" i="8" a="1"/>
  <c r="BV315" i="8" a="1"/>
  <c r="BV26" i="8" a="1"/>
  <c r="BV37" i="8" a="1"/>
  <c r="BV48" i="8" a="1"/>
  <c r="BV98" i="8" a="1"/>
  <c r="BV128" i="8" a="1"/>
  <c r="BV289" i="8" a="1"/>
  <c r="BV313" i="8" a="1"/>
  <c r="BV18" i="8" a="1"/>
  <c r="BV68" i="8" a="1"/>
  <c r="BV79" i="8" a="1"/>
  <c r="BV90" i="8" a="1"/>
  <c r="BV109" i="8" a="1"/>
  <c r="BV120" i="8" a="1"/>
  <c r="BV157" i="8" a="1"/>
  <c r="BV282" i="8" a="1"/>
  <c r="BV321" i="8" a="1"/>
  <c r="BV314" i="8" a="1"/>
  <c r="BV19" i="8" a="1"/>
  <c r="BV80" i="8" a="1"/>
  <c r="BV132" i="8" a="1"/>
  <c r="BV176" i="8" a="1"/>
  <c r="BV212" i="8" a="1"/>
  <c r="BV240" i="8" a="1"/>
  <c r="BV283" i="8" a="1"/>
  <c r="BV324" i="8" a="1"/>
  <c r="BV248" i="8" a="1"/>
  <c r="BU4" i="8" a="1"/>
  <c r="BU10" i="8" a="1"/>
  <c r="BU16" i="8" a="1"/>
  <c r="BU22" i="8" a="1"/>
  <c r="BU28" i="8" a="1"/>
  <c r="BU34" i="8" a="1"/>
  <c r="BU40" i="8" a="1"/>
  <c r="BU46" i="8" a="1"/>
  <c r="BU52" i="8" a="1"/>
  <c r="BU58" i="8" a="1"/>
  <c r="BU64" i="8" a="1"/>
  <c r="BU70" i="8" a="1"/>
  <c r="BU76" i="8" a="1"/>
  <c r="BU82" i="8" a="1"/>
  <c r="BU88" i="8" a="1"/>
  <c r="BU94" i="8" a="1"/>
  <c r="BU100" i="8" a="1"/>
  <c r="BU106" i="8" a="1"/>
  <c r="BU112" i="8" a="1"/>
  <c r="BU118" i="8" a="1"/>
  <c r="BU124" i="8" a="1"/>
  <c r="BU130" i="8" a="1"/>
  <c r="BU136" i="8" a="1"/>
  <c r="BU142" i="8" a="1"/>
  <c r="BU148" i="8" a="1"/>
  <c r="BU154" i="8" a="1"/>
  <c r="BU160" i="8" a="1"/>
  <c r="BU166" i="8" a="1"/>
  <c r="BU172" i="8" a="1"/>
  <c r="BU178" i="8" a="1"/>
  <c r="BU184" i="8" a="1"/>
  <c r="BU190" i="8" a="1"/>
  <c r="BU196" i="8" a="1"/>
  <c r="BU202" i="8" a="1"/>
  <c r="BU208" i="8" a="1"/>
  <c r="BU214" i="8" a="1"/>
  <c r="BU220" i="8" a="1"/>
  <c r="BU226" i="8" a="1"/>
  <c r="BU232" i="8" a="1"/>
  <c r="BU238" i="8" a="1"/>
  <c r="BU244" i="8" a="1"/>
  <c r="BU250" i="8" a="1"/>
  <c r="BU256" i="8" a="1"/>
  <c r="BU262" i="8" a="1"/>
  <c r="BU268" i="8" a="1"/>
  <c r="BU274" i="8" a="1"/>
  <c r="BU280" i="8" a="1"/>
  <c r="BU286" i="8" a="1"/>
  <c r="BU292" i="8" a="1"/>
  <c r="BU298" i="8" a="1"/>
  <c r="BU304" i="8" a="1"/>
  <c r="BU310" i="8" a="1"/>
  <c r="BU316" i="8" a="1"/>
  <c r="BU322" i="8" a="1"/>
  <c r="BU17" i="8" a="1"/>
  <c r="BU35" i="8" a="1"/>
  <c r="BU47" i="8" a="1"/>
  <c r="BU59" i="8" a="1"/>
  <c r="BU71" i="8" a="1"/>
  <c r="BU83" i="8" a="1"/>
  <c r="BU95" i="8" a="1"/>
  <c r="BU107" i="8" a="1"/>
  <c r="BU119" i="8" a="1"/>
  <c r="BU131" i="8" a="1"/>
  <c r="BU143" i="8" a="1"/>
  <c r="BU155" i="8" a="1"/>
  <c r="BU167" i="8" a="1"/>
  <c r="BU179" i="8" a="1"/>
  <c r="BU191" i="8" a="1"/>
  <c r="BU203" i="8" a="1"/>
  <c r="BU215" i="8" a="1"/>
  <c r="BU227" i="8" a="1"/>
  <c r="BU239" i="8" a="1"/>
  <c r="BU251" i="8" a="1"/>
  <c r="BU263" i="8" a="1"/>
  <c r="BU275" i="8" a="1"/>
  <c r="BU287" i="8" a="1"/>
  <c r="BU299" i="8" a="1"/>
  <c r="BU311" i="8" a="1"/>
  <c r="BU323" i="8" a="1"/>
  <c r="BU12" i="8" a="1"/>
  <c r="BU24" i="8" a="1"/>
  <c r="BU36" i="8" a="1"/>
  <c r="BU48" i="8" a="1"/>
  <c r="BU60" i="8" a="1"/>
  <c r="BU78" i="8" a="1"/>
  <c r="BU90" i="8" a="1"/>
  <c r="BU102" i="8" a="1"/>
  <c r="BU114" i="8" a="1"/>
  <c r="BU126" i="8" a="1"/>
  <c r="BU138" i="8" a="1"/>
  <c r="BU150" i="8" a="1"/>
  <c r="BU162" i="8" a="1"/>
  <c r="BU174" i="8" a="1"/>
  <c r="BU186" i="8" a="1"/>
  <c r="BU11" i="8" a="1"/>
  <c r="BU23" i="8" a="1"/>
  <c r="BU29" i="8" a="1"/>
  <c r="BU41" i="8" a="1"/>
  <c r="BU53" i="8" a="1"/>
  <c r="BU65" i="8" a="1"/>
  <c r="BU77" i="8" a="1"/>
  <c r="BU89" i="8" a="1"/>
  <c r="BU101" i="8" a="1"/>
  <c r="BU113" i="8" a="1"/>
  <c r="BU125" i="8" a="1"/>
  <c r="BU137" i="8" a="1"/>
  <c r="BU149" i="8" a="1"/>
  <c r="BU161" i="8" a="1"/>
  <c r="BU173" i="8" a="1"/>
  <c r="BU185" i="8" a="1"/>
  <c r="BU197" i="8" a="1"/>
  <c r="BU209" i="8" a="1"/>
  <c r="BU221" i="8" a="1"/>
  <c r="BU233" i="8" a="1"/>
  <c r="BU245" i="8" a="1"/>
  <c r="BU257" i="8" a="1"/>
  <c r="BU269" i="8" a="1"/>
  <c r="BU281" i="8" a="1"/>
  <c r="BU293" i="8" a="1"/>
  <c r="BU305" i="8" a="1"/>
  <c r="BU317" i="8" a="1"/>
  <c r="BU18" i="8" a="1"/>
  <c r="BU30" i="8" a="1"/>
  <c r="BU42" i="8" a="1"/>
  <c r="BU54" i="8" a="1"/>
  <c r="BU66" i="8" a="1"/>
  <c r="BU84" i="8" a="1"/>
  <c r="BU96" i="8" a="1"/>
  <c r="BU108" i="8" a="1"/>
  <c r="BU120" i="8" a="1"/>
  <c r="BU132" i="8" a="1"/>
  <c r="BU144" i="8" a="1"/>
  <c r="BU156" i="8" a="1"/>
  <c r="BU168" i="8" a="1"/>
  <c r="BU5" i="8" a="1"/>
  <c r="BU72" i="8" a="1"/>
  <c r="BU6" i="8" a="1"/>
  <c r="BU13" i="8" a="1"/>
  <c r="BU7" i="8" a="1"/>
  <c r="BU8" i="8" a="1"/>
  <c r="BU9" i="8" a="1"/>
  <c r="BU15" i="8" a="1"/>
  <c r="BU21" i="8" a="1"/>
  <c r="BU27" i="8" a="1"/>
  <c r="BU33" i="8" a="1"/>
  <c r="BU39" i="8" a="1"/>
  <c r="BU45" i="8" a="1"/>
  <c r="BU51" i="8" a="1"/>
  <c r="BU57" i="8" a="1"/>
  <c r="BU63" i="8" a="1"/>
  <c r="BU69" i="8" a="1"/>
  <c r="BU75" i="8" a="1"/>
  <c r="BU81" i="8" a="1"/>
  <c r="BU87" i="8" a="1"/>
  <c r="BU93" i="8" a="1"/>
  <c r="BU99" i="8" a="1"/>
  <c r="BU105" i="8" a="1"/>
  <c r="BU111" i="8" a="1"/>
  <c r="BU117" i="8" a="1"/>
  <c r="BU123" i="8" a="1"/>
  <c r="BU129" i="8" a="1"/>
  <c r="BU135" i="8" a="1"/>
  <c r="BU141" i="8" a="1"/>
  <c r="BU147" i="8" a="1"/>
  <c r="BU153" i="8" a="1"/>
  <c r="BU159" i="8" a="1"/>
  <c r="BU165" i="8" a="1"/>
  <c r="BU171" i="8" a="1"/>
  <c r="BU177" i="8" a="1"/>
  <c r="BU183" i="8" a="1"/>
  <c r="BU189" i="8" a="1"/>
  <c r="BU195" i="8" a="1"/>
  <c r="BU201" i="8" a="1"/>
  <c r="BU207" i="8" a="1"/>
  <c r="BU213" i="8" a="1"/>
  <c r="BU219" i="8" a="1"/>
  <c r="BU225" i="8" a="1"/>
  <c r="BU231" i="8" a="1"/>
  <c r="BU237" i="8" a="1"/>
  <c r="BU243" i="8" a="1"/>
  <c r="BU249" i="8" a="1"/>
  <c r="BU255" i="8" a="1"/>
  <c r="BU261" i="8" a="1"/>
  <c r="BU267" i="8" a="1"/>
  <c r="BU273" i="8" a="1"/>
  <c r="BU279" i="8" a="1"/>
  <c r="BU285" i="8" a="1"/>
  <c r="BU291" i="8" a="1"/>
  <c r="BU297" i="8" a="1"/>
  <c r="BU303" i="8" a="1"/>
  <c r="BU309" i="8" a="1"/>
  <c r="BU315" i="8" a="1"/>
  <c r="BU321" i="8" a="1"/>
  <c r="BU327" i="8" a="1"/>
  <c r="BU14" i="8" a="1"/>
  <c r="BU38" i="8" a="1"/>
  <c r="BU62" i="8" a="1"/>
  <c r="BU80" i="8" a="1"/>
  <c r="BU98" i="8" a="1"/>
  <c r="BU116" i="8" a="1"/>
  <c r="BU134" i="8" a="1"/>
  <c r="BU152" i="8" a="1"/>
  <c r="BU170" i="8" a="1"/>
  <c r="BU217" i="8" a="1"/>
  <c r="BU230" i="8" a="1"/>
  <c r="BU246" i="8" a="1"/>
  <c r="BU289" i="8" a="1"/>
  <c r="BU302" i="8" a="1"/>
  <c r="BU318" i="8" a="1"/>
  <c r="BU260" i="8" a="1"/>
  <c r="BU319" i="8" a="1"/>
  <c r="BU122" i="8" a="1"/>
  <c r="BU188" i="8" a="1"/>
  <c r="BU204" i="8" a="1"/>
  <c r="BU247" i="8" a="1"/>
  <c r="BU276" i="8" a="1"/>
  <c r="BU176" i="8" a="1"/>
  <c r="BU222" i="8" a="1"/>
  <c r="BU278" i="8" a="1"/>
  <c r="BU25" i="8" a="1"/>
  <c r="BU236" i="8" a="1"/>
  <c r="BU295" i="8" a="1"/>
  <c r="BU73" i="8" a="1"/>
  <c r="BU145" i="8" a="1"/>
  <c r="BU210" i="8" a="1"/>
  <c r="BU253" i="8" a="1"/>
  <c r="BU224" i="8" a="1"/>
  <c r="BU283" i="8" a="1"/>
  <c r="BU31" i="8" a="1"/>
  <c r="BU110" i="8" a="1"/>
  <c r="BU164" i="8" a="1"/>
  <c r="BU241" i="8" a="1"/>
  <c r="BU313" i="8" a="1"/>
  <c r="BU272" i="8" a="1"/>
  <c r="BU19" i="8" a="1"/>
  <c r="BU43" i="8" a="1"/>
  <c r="BU67" i="8" a="1"/>
  <c r="BU85" i="8" a="1"/>
  <c r="BU103" i="8" a="1"/>
  <c r="BU121" i="8" a="1"/>
  <c r="BU139" i="8" a="1"/>
  <c r="BU157" i="8" a="1"/>
  <c r="BU175" i="8" a="1"/>
  <c r="BU205" i="8" a="1"/>
  <c r="BU218" i="8" a="1"/>
  <c r="BU234" i="8" a="1"/>
  <c r="BU277" i="8" a="1"/>
  <c r="BU290" i="8" a="1"/>
  <c r="BU306" i="8" a="1"/>
  <c r="BU158" i="8" a="1"/>
  <c r="BU206" i="8" a="1"/>
  <c r="BU265" i="8" a="1"/>
  <c r="BU308" i="8" a="1"/>
  <c r="BU50" i="8" a="1"/>
  <c r="BU127" i="8" a="1"/>
  <c r="BU194" i="8" a="1"/>
  <c r="BU266" i="8" a="1"/>
  <c r="BU325" i="8" a="1"/>
  <c r="BU211" i="8" a="1"/>
  <c r="BU55" i="8" a="1"/>
  <c r="BU146" i="8" a="1"/>
  <c r="BU270" i="8" a="1"/>
  <c r="BU326" i="8" a="1"/>
  <c r="BU288" i="8" a="1"/>
  <c r="BU20" i="8" a="1"/>
  <c r="BU44" i="8" a="1"/>
  <c r="BU192" i="8" a="1"/>
  <c r="BU235" i="8" a="1"/>
  <c r="BU248" i="8" a="1"/>
  <c r="BU264" i="8" a="1"/>
  <c r="BU307" i="8" a="1"/>
  <c r="BU320" i="8" a="1"/>
  <c r="BU193" i="8" a="1"/>
  <c r="BU294" i="8" a="1"/>
  <c r="BU49" i="8" a="1"/>
  <c r="BU223" i="8" a="1"/>
  <c r="BU26" i="8" a="1"/>
  <c r="BU109" i="8" a="1"/>
  <c r="BU180" i="8" a="1"/>
  <c r="BU282" i="8" a="1"/>
  <c r="BU181" i="8" a="1"/>
  <c r="BU296" i="8" a="1"/>
  <c r="BU74" i="8" a="1"/>
  <c r="BU128" i="8" a="1"/>
  <c r="BU254" i="8" a="1"/>
  <c r="BU216" i="8" a="1"/>
  <c r="BU68" i="8" a="1"/>
  <c r="BU86" i="8" a="1"/>
  <c r="BU104" i="8" a="1"/>
  <c r="BU140" i="8" a="1"/>
  <c r="BU252" i="8" a="1"/>
  <c r="BU324" i="8" a="1"/>
  <c r="BU91" i="8" a="1"/>
  <c r="BU163" i="8" a="1"/>
  <c r="BU240" i="8" a="1"/>
  <c r="BU312" i="8" a="1"/>
  <c r="BU92" i="8" a="1"/>
  <c r="BU198" i="8" a="1"/>
  <c r="BU259" i="8" a="1"/>
  <c r="BU32" i="8" a="1"/>
  <c r="BU56" i="8" a="1"/>
  <c r="BU182" i="8" a="1"/>
  <c r="BU199" i="8" a="1"/>
  <c r="BU212" i="8" a="1"/>
  <c r="BU228" i="8" a="1"/>
  <c r="BU271" i="8" a="1"/>
  <c r="BU284" i="8" a="1"/>
  <c r="BU300" i="8" a="1"/>
  <c r="BU79" i="8" a="1"/>
  <c r="BU97" i="8" a="1"/>
  <c r="BU115" i="8" a="1"/>
  <c r="BU133" i="8" a="1"/>
  <c r="BU151" i="8" a="1"/>
  <c r="BU169" i="8" a="1"/>
  <c r="BU229" i="8" a="1"/>
  <c r="BU242" i="8" a="1"/>
  <c r="BU258" i="8" a="1"/>
  <c r="BU301" i="8" a="1"/>
  <c r="BU314" i="8" a="1"/>
  <c r="BU37" i="8" a="1"/>
  <c r="BU61" i="8" a="1"/>
  <c r="BU187" i="8" a="1"/>
  <c r="BU200" i="8" a="1"/>
  <c r="BT4" i="8" a="1"/>
  <c r="BT10" i="8" a="1"/>
  <c r="BT16" i="8" a="1"/>
  <c r="BT22" i="8" a="1"/>
  <c r="BT28" i="8" a="1"/>
  <c r="BT34" i="8" a="1"/>
  <c r="BT40" i="8" a="1"/>
  <c r="BT46" i="8" a="1"/>
  <c r="BT52" i="8" a="1"/>
  <c r="BT58" i="8" a="1"/>
  <c r="BT64" i="8" a="1"/>
  <c r="BT70" i="8" a="1"/>
  <c r="BT76" i="8" a="1"/>
  <c r="BT82" i="8" a="1"/>
  <c r="BT88" i="8" a="1"/>
  <c r="BT94" i="8" a="1"/>
  <c r="BT100" i="8" a="1"/>
  <c r="BT106" i="8" a="1"/>
  <c r="BT112" i="8" a="1"/>
  <c r="BT118" i="8" a="1"/>
  <c r="BT124" i="8" a="1"/>
  <c r="BT130" i="8" a="1"/>
  <c r="BT136" i="8" a="1"/>
  <c r="BT142" i="8" a="1"/>
  <c r="BT148" i="8" a="1"/>
  <c r="BT154" i="8" a="1"/>
  <c r="BT160" i="8" a="1"/>
  <c r="BT166" i="8" a="1"/>
  <c r="BT172" i="8" a="1"/>
  <c r="BT178" i="8" a="1"/>
  <c r="BT184" i="8" a="1"/>
  <c r="BT190" i="8" a="1"/>
  <c r="BT196" i="8" a="1"/>
  <c r="BT202" i="8" a="1"/>
  <c r="BT208" i="8" a="1"/>
  <c r="BT214" i="8" a="1"/>
  <c r="BT220" i="8" a="1"/>
  <c r="BT226" i="8" a="1"/>
  <c r="BT232" i="8" a="1"/>
  <c r="BT238" i="8" a="1"/>
  <c r="BT244" i="8" a="1"/>
  <c r="BT250" i="8" a="1"/>
  <c r="BT256" i="8" a="1"/>
  <c r="BT262" i="8" a="1"/>
  <c r="BT268" i="8" a="1"/>
  <c r="BT274" i="8" a="1"/>
  <c r="BT280" i="8" a="1"/>
  <c r="BT286" i="8" a="1"/>
  <c r="BT292" i="8" a="1"/>
  <c r="BT298" i="8" a="1"/>
  <c r="BT304" i="8" a="1"/>
  <c r="BT310" i="8" a="1"/>
  <c r="BT316" i="8" a="1"/>
  <c r="BT322" i="8" a="1"/>
  <c r="BT23" i="8" a="1"/>
  <c r="BT41" i="8" a="1"/>
  <c r="BT53" i="8" a="1"/>
  <c r="BT65" i="8" a="1"/>
  <c r="BT77" i="8" a="1"/>
  <c r="BT89" i="8" a="1"/>
  <c r="BT101" i="8" a="1"/>
  <c r="BT113" i="8" a="1"/>
  <c r="BT125" i="8" a="1"/>
  <c r="BT137" i="8" a="1"/>
  <c r="BT149" i="8" a="1"/>
  <c r="BT161" i="8" a="1"/>
  <c r="BT173" i="8" a="1"/>
  <c r="BT185" i="8" a="1"/>
  <c r="BT197" i="8" a="1"/>
  <c r="BT209" i="8" a="1"/>
  <c r="BT221" i="8" a="1"/>
  <c r="BT227" i="8" a="1"/>
  <c r="BT239" i="8" a="1"/>
  <c r="BT251" i="8" a="1"/>
  <c r="BT263" i="8" a="1"/>
  <c r="BT275" i="8" a="1"/>
  <c r="BT287" i="8" a="1"/>
  <c r="BT299" i="8" a="1"/>
  <c r="BT311" i="8" a="1"/>
  <c r="BT323" i="8" a="1"/>
  <c r="BT11" i="8" a="1"/>
  <c r="BT17" i="8" a="1"/>
  <c r="BT29" i="8" a="1"/>
  <c r="BT35" i="8" a="1"/>
  <c r="BT47" i="8" a="1"/>
  <c r="BT59" i="8" a="1"/>
  <c r="BT71" i="8" a="1"/>
  <c r="BT83" i="8" a="1"/>
  <c r="BT95" i="8" a="1"/>
  <c r="BT107" i="8" a="1"/>
  <c r="BT119" i="8" a="1"/>
  <c r="BT131" i="8" a="1"/>
  <c r="BT143" i="8" a="1"/>
  <c r="BT155" i="8" a="1"/>
  <c r="BT167" i="8" a="1"/>
  <c r="BT179" i="8" a="1"/>
  <c r="BT191" i="8" a="1"/>
  <c r="BT203" i="8" a="1"/>
  <c r="BT215" i="8" a="1"/>
  <c r="BT233" i="8" a="1"/>
  <c r="BT245" i="8" a="1"/>
  <c r="BT257" i="8" a="1"/>
  <c r="BT269" i="8" a="1"/>
  <c r="BT281" i="8" a="1"/>
  <c r="BT293" i="8" a="1"/>
  <c r="BT305" i="8" a="1"/>
  <c r="BT317" i="8" a="1"/>
  <c r="BT5" i="8" a="1"/>
  <c r="BT6" i="8" a="1"/>
  <c r="BT7" i="8" a="1"/>
  <c r="BT18" i="8" a="1"/>
  <c r="BT27" i="8" a="1"/>
  <c r="BT68" i="8" a="1"/>
  <c r="BT79" i="8" a="1"/>
  <c r="BT90" i="8" a="1"/>
  <c r="BT99" i="8" a="1"/>
  <c r="BT140" i="8" a="1"/>
  <c r="BT151" i="8" a="1"/>
  <c r="BT170" i="8" a="1"/>
  <c r="BT181" i="8" a="1"/>
  <c r="BT199" i="8" a="1"/>
  <c r="BT217" i="8" a="1"/>
  <c r="BT235" i="8" a="1"/>
  <c r="BT253" i="8" a="1"/>
  <c r="BT271" i="8" a="1"/>
  <c r="BT289" i="8" a="1"/>
  <c r="BT307" i="8" a="1"/>
  <c r="BT325" i="8" a="1"/>
  <c r="BT38" i="8" a="1"/>
  <c r="BT49" i="8" a="1"/>
  <c r="BT60" i="8" a="1"/>
  <c r="BT69" i="8" a="1"/>
  <c r="BT110" i="8" a="1"/>
  <c r="BT121" i="8" a="1"/>
  <c r="BT132" i="8" a="1"/>
  <c r="BT141" i="8" a="1"/>
  <c r="BT162" i="8" a="1"/>
  <c r="BT171" i="8" a="1"/>
  <c r="BT8" i="8" a="1"/>
  <c r="BT19" i="8" a="1"/>
  <c r="BT30" i="8" a="1"/>
  <c r="BT39" i="8" a="1"/>
  <c r="BT80" i="8" a="1"/>
  <c r="BT91" i="8" a="1"/>
  <c r="BT102" i="8" a="1"/>
  <c r="BT111" i="8" a="1"/>
  <c r="BT152" i="8" a="1"/>
  <c r="BT182" i="8" a="1"/>
  <c r="BT192" i="8" a="1"/>
  <c r="BT200" i="8" a="1"/>
  <c r="BT210" i="8" a="1"/>
  <c r="BT218" i="8" a="1"/>
  <c r="BT228" i="8" a="1"/>
  <c r="BT236" i="8" a="1"/>
  <c r="BT246" i="8" a="1"/>
  <c r="BT254" i="8" a="1"/>
  <c r="BT264" i="8" a="1"/>
  <c r="BT272" i="8" a="1"/>
  <c r="BT282" i="8" a="1"/>
  <c r="BT290" i="8" a="1"/>
  <c r="BT300" i="8" a="1"/>
  <c r="BT308" i="8" a="1"/>
  <c r="BT318" i="8" a="1"/>
  <c r="BT326" i="8" a="1"/>
  <c r="BT9" i="8" a="1"/>
  <c r="BT12" i="8" a="1"/>
  <c r="BT21" i="8" a="1"/>
  <c r="BT62" i="8" a="1"/>
  <c r="BT73" i="8" a="1"/>
  <c r="BT84" i="8" a="1"/>
  <c r="BT93" i="8" a="1"/>
  <c r="BT134" i="8" a="1"/>
  <c r="BT145" i="8" a="1"/>
  <c r="BT164" i="8" a="1"/>
  <c r="BT175" i="8" a="1"/>
  <c r="BT32" i="8" a="1"/>
  <c r="BT43" i="8" a="1"/>
  <c r="BT54" i="8" a="1"/>
  <c r="BT63" i="8" a="1"/>
  <c r="BT104" i="8" a="1"/>
  <c r="BT115" i="8" a="1"/>
  <c r="BT126" i="8" a="1"/>
  <c r="BT135" i="8" a="1"/>
  <c r="BT156" i="8" a="1"/>
  <c r="BT14" i="8" a="1"/>
  <c r="BT25" i="8" a="1"/>
  <c r="BT36" i="8" a="1"/>
  <c r="BT45" i="8" a="1"/>
  <c r="BT86" i="8" a="1"/>
  <c r="BT97" i="8" a="1"/>
  <c r="BT108" i="8" a="1"/>
  <c r="BT117" i="8" a="1"/>
  <c r="BT56" i="8" a="1"/>
  <c r="BT15" i="8" a="1"/>
  <c r="BT37" i="8" a="1"/>
  <c r="BT103" i="8" a="1"/>
  <c r="BT123" i="8" a="1"/>
  <c r="BT212" i="8" a="1"/>
  <c r="BT242" i="8" a="1"/>
  <c r="BT320" i="8" a="1"/>
  <c r="BT85" i="8" a="1"/>
  <c r="BT146" i="8" a="1"/>
  <c r="BT165" i="8" a="1"/>
  <c r="BT183" i="8" a="1"/>
  <c r="BT198" i="8" a="1"/>
  <c r="BT213" i="8" a="1"/>
  <c r="BT229" i="8" a="1"/>
  <c r="BT243" i="8" a="1"/>
  <c r="BT259" i="8" a="1"/>
  <c r="BT276" i="8" a="1"/>
  <c r="BT291" i="8" a="1"/>
  <c r="BT306" i="8" a="1"/>
  <c r="BT321" i="8" a="1"/>
  <c r="BT127" i="8" a="1"/>
  <c r="BT230" i="8" a="1"/>
  <c r="BT260" i="8" a="1"/>
  <c r="BT168" i="8" a="1"/>
  <c r="BT201" i="8" a="1"/>
  <c r="BT216" i="8" a="1"/>
  <c r="BT231" i="8" a="1"/>
  <c r="BT247" i="8" a="1"/>
  <c r="BT261" i="8" a="1"/>
  <c r="BT294" i="8" a="1"/>
  <c r="BT309" i="8" a="1"/>
  <c r="BT324" i="8" a="1"/>
  <c r="BT278" i="8" a="1"/>
  <c r="BT24" i="8" a="1"/>
  <c r="BT72" i="8" a="1"/>
  <c r="BT133" i="8" a="1"/>
  <c r="BT153" i="8" a="1"/>
  <c r="BT204" i="8" a="1"/>
  <c r="BT265" i="8" a="1"/>
  <c r="BT174" i="8" a="1"/>
  <c r="BT189" i="8" a="1"/>
  <c r="BT237" i="8" a="1"/>
  <c r="BT283" i="8" a="1"/>
  <c r="BT116" i="8" a="1"/>
  <c r="BT157" i="8" a="1"/>
  <c r="BT284" i="8" a="1"/>
  <c r="BT180" i="8" a="1"/>
  <c r="BT273" i="8" a="1"/>
  <c r="BT13" i="8" a="1"/>
  <c r="BT105" i="8" a="1"/>
  <c r="BT249" i="8" a="1"/>
  <c r="BT327" i="8" a="1"/>
  <c r="BT92" i="8" a="1"/>
  <c r="BT96" i="8" a="1"/>
  <c r="BT222" i="8" a="1"/>
  <c r="BT313" i="8" a="1"/>
  <c r="BT75" i="8" a="1"/>
  <c r="BT195" i="8" a="1"/>
  <c r="BT42" i="8" a="1"/>
  <c r="BT66" i="8" a="1"/>
  <c r="BT147" i="8" a="1"/>
  <c r="BT187" i="8" a="1"/>
  <c r="BT279" i="8" a="1"/>
  <c r="BT114" i="8" a="1"/>
  <c r="BT266" i="8" a="1"/>
  <c r="BT51" i="8" a="1"/>
  <c r="BT267" i="8" a="1"/>
  <c r="BT301" i="8" a="1"/>
  <c r="BT211" i="8" a="1"/>
  <c r="BT67" i="8" a="1"/>
  <c r="BT87" i="8" a="1"/>
  <c r="BT128" i="8" a="1"/>
  <c r="BT150" i="8" a="1"/>
  <c r="BT186" i="8" a="1"/>
  <c r="BT277" i="8" a="1"/>
  <c r="BT234" i="8" a="1"/>
  <c r="BT312" i="8" a="1"/>
  <c r="BT188" i="8" a="1"/>
  <c r="BT26" i="8" a="1"/>
  <c r="BT205" i="8" a="1"/>
  <c r="BT297" i="8" a="1"/>
  <c r="BT138" i="8" a="1"/>
  <c r="BT314" i="8" a="1"/>
  <c r="BT122" i="8" a="1"/>
  <c r="BT258" i="8" a="1"/>
  <c r="BT20" i="8" a="1"/>
  <c r="BT44" i="8" a="1"/>
  <c r="BT109" i="8" a="1"/>
  <c r="BT129" i="8" a="1"/>
  <c r="BT169" i="8" a="1"/>
  <c r="BT248" i="8" a="1"/>
  <c r="BT219" i="8" a="1"/>
  <c r="BT295" i="8" a="1"/>
  <c r="BT50" i="8" a="1"/>
  <c r="BT296" i="8" a="1"/>
  <c r="BT74" i="8" a="1"/>
  <c r="BT252" i="8" a="1"/>
  <c r="BT206" i="8" a="1"/>
  <c r="BT144" i="8" a="1"/>
  <c r="BT303" i="8" a="1"/>
  <c r="BT48" i="8" a="1"/>
  <c r="BT31" i="8" a="1"/>
  <c r="BT55" i="8" a="1"/>
  <c r="BT78" i="8" a="1"/>
  <c r="BT139" i="8" a="1"/>
  <c r="BT158" i="8" a="1"/>
  <c r="BT176" i="8" a="1"/>
  <c r="BT193" i="8" a="1"/>
  <c r="BT207" i="8" a="1"/>
  <c r="BT223" i="8" a="1"/>
  <c r="BT240" i="8" a="1"/>
  <c r="BT255" i="8" a="1"/>
  <c r="BT270" i="8" a="1"/>
  <c r="BT285" i="8" a="1"/>
  <c r="BT315" i="8" a="1"/>
  <c r="BT225" i="8" a="1"/>
  <c r="BT319" i="8" a="1"/>
  <c r="BT33" i="8" a="1"/>
  <c r="BT57" i="8" a="1"/>
  <c r="BT98" i="8" a="1"/>
  <c r="BT120" i="8" a="1"/>
  <c r="BT159" i="8" a="1"/>
  <c r="BT177" i="8" a="1"/>
  <c r="BT194" i="8" a="1"/>
  <c r="BT224" i="8" a="1"/>
  <c r="BT302" i="8" a="1"/>
  <c r="BT61" i="8" a="1"/>
  <c r="BT81" i="8" a="1"/>
  <c r="BT163" i="8" a="1"/>
  <c r="BT241" i="8" a="1"/>
  <c r="BT288" i="8" a="1"/>
  <c r="BS4" i="8" a="1"/>
  <c r="BS10" i="8" a="1"/>
  <c r="BS16" i="8" a="1"/>
  <c r="BS22" i="8" a="1"/>
  <c r="BS28" i="8" a="1"/>
  <c r="BS34" i="8" a="1"/>
  <c r="BS40" i="8" a="1"/>
  <c r="BS46" i="8" a="1"/>
  <c r="BS52" i="8" a="1"/>
  <c r="BS58" i="8" a="1"/>
  <c r="BS64" i="8" a="1"/>
  <c r="BS70" i="8" a="1"/>
  <c r="BS76" i="8" a="1"/>
  <c r="BS82" i="8" a="1"/>
  <c r="BS88" i="8" a="1"/>
  <c r="BS94" i="8" a="1"/>
  <c r="BS100" i="8" a="1"/>
  <c r="BS106" i="8" a="1"/>
  <c r="BS112" i="8" a="1"/>
  <c r="BS118" i="8" a="1"/>
  <c r="BS124" i="8" a="1"/>
  <c r="BS130" i="8" a="1"/>
  <c r="BS136" i="8" a="1"/>
  <c r="BS142" i="8" a="1"/>
  <c r="BS148" i="8" a="1"/>
  <c r="BS154" i="8" a="1"/>
  <c r="BS160" i="8" a="1"/>
  <c r="BS166" i="8" a="1"/>
  <c r="BS172" i="8" a="1"/>
  <c r="BS178" i="8" a="1"/>
  <c r="BS184" i="8" a="1"/>
  <c r="BS190" i="8" a="1"/>
  <c r="BS196" i="8" a="1"/>
  <c r="BS202" i="8" a="1"/>
  <c r="BS208" i="8" a="1"/>
  <c r="BS214" i="8" a="1"/>
  <c r="BS220" i="8" a="1"/>
  <c r="BS226" i="8" a="1"/>
  <c r="BS232" i="8" a="1"/>
  <c r="BS238" i="8" a="1"/>
  <c r="BS244" i="8" a="1"/>
  <c r="BS250" i="8" a="1"/>
  <c r="BS256" i="8" a="1"/>
  <c r="BS262" i="8" a="1"/>
  <c r="BS268" i="8" a="1"/>
  <c r="BS274" i="8" a="1"/>
  <c r="BS280" i="8" a="1"/>
  <c r="BS286" i="8" a="1"/>
  <c r="BS292" i="8" a="1"/>
  <c r="BS298" i="8" a="1"/>
  <c r="BS304" i="8" a="1"/>
  <c r="BS310" i="8" a="1"/>
  <c r="BS316" i="8" a="1"/>
  <c r="BS322" i="8" a="1"/>
  <c r="BS127" i="8" a="1"/>
  <c r="BS157" i="8" a="1"/>
  <c r="BS187" i="8" a="1"/>
  <c r="BS205" i="8" a="1"/>
  <c r="BS235" i="8" a="1"/>
  <c r="BS271" i="8" a="1"/>
  <c r="BS307" i="8" a="1"/>
  <c r="BS152" i="8" a="1"/>
  <c r="BS182" i="8" a="1"/>
  <c r="BS212" i="8" a="1"/>
  <c r="BS230" i="8" a="1"/>
  <c r="BS266" i="8" a="1"/>
  <c r="BS302" i="8" a="1"/>
  <c r="BS15" i="8" a="1"/>
  <c r="BS63" i="8" a="1"/>
  <c r="BS93" i="8" a="1"/>
  <c r="BS141" i="8" a="1"/>
  <c r="BS183" i="8" a="1"/>
  <c r="BS231" i="8" a="1"/>
  <c r="BS57" i="8" a="1"/>
  <c r="BS5" i="8" a="1"/>
  <c r="BS11" i="8" a="1"/>
  <c r="BS17" i="8" a="1"/>
  <c r="BS23" i="8" a="1"/>
  <c r="BS29" i="8" a="1"/>
  <c r="BS35" i="8" a="1"/>
  <c r="BS41" i="8" a="1"/>
  <c r="BS47" i="8" a="1"/>
  <c r="BS53" i="8" a="1"/>
  <c r="BS59" i="8" a="1"/>
  <c r="BS65" i="8" a="1"/>
  <c r="BS71" i="8" a="1"/>
  <c r="BS77" i="8" a="1"/>
  <c r="BS83" i="8" a="1"/>
  <c r="BS89" i="8" a="1"/>
  <c r="BS95" i="8" a="1"/>
  <c r="BS101" i="8" a="1"/>
  <c r="BS107" i="8" a="1"/>
  <c r="BS113" i="8" a="1"/>
  <c r="BS119" i="8" a="1"/>
  <c r="BS125" i="8" a="1"/>
  <c r="BS131" i="8" a="1"/>
  <c r="BS137" i="8" a="1"/>
  <c r="BS143" i="8" a="1"/>
  <c r="BS149" i="8" a="1"/>
  <c r="BS155" i="8" a="1"/>
  <c r="BS161" i="8" a="1"/>
  <c r="BS167" i="8" a="1"/>
  <c r="BS173" i="8" a="1"/>
  <c r="BS179" i="8" a="1"/>
  <c r="BS185" i="8" a="1"/>
  <c r="BS191" i="8" a="1"/>
  <c r="BS197" i="8" a="1"/>
  <c r="BS203" i="8" a="1"/>
  <c r="BS209" i="8" a="1"/>
  <c r="BS215" i="8" a="1"/>
  <c r="BS221" i="8" a="1"/>
  <c r="BS227" i="8" a="1"/>
  <c r="BS233" i="8" a="1"/>
  <c r="BS239" i="8" a="1"/>
  <c r="BS245" i="8" a="1"/>
  <c r="BS251" i="8" a="1"/>
  <c r="BS257" i="8" a="1"/>
  <c r="BS263" i="8" a="1"/>
  <c r="BS269" i="8" a="1"/>
  <c r="BS275" i="8" a="1"/>
  <c r="BS281" i="8" a="1"/>
  <c r="BS287" i="8" a="1"/>
  <c r="BS293" i="8" a="1"/>
  <c r="BS299" i="8" a="1"/>
  <c r="BS305" i="8" a="1"/>
  <c r="BS311" i="8" a="1"/>
  <c r="BS317" i="8" a="1"/>
  <c r="BS323" i="8" a="1"/>
  <c r="BS31" i="8" a="1"/>
  <c r="BS97" i="8" a="1"/>
  <c r="BS139" i="8" a="1"/>
  <c r="BS163" i="8" a="1"/>
  <c r="BS193" i="8" a="1"/>
  <c r="BS223" i="8" a="1"/>
  <c r="BS253" i="8" a="1"/>
  <c r="BS289" i="8" a="1"/>
  <c r="BS319" i="8" a="1"/>
  <c r="BS158" i="8" a="1"/>
  <c r="BS176" i="8" a="1"/>
  <c r="BS206" i="8" a="1"/>
  <c r="BS236" i="8" a="1"/>
  <c r="BS260" i="8" a="1"/>
  <c r="BS290" i="8" a="1"/>
  <c r="BS320" i="8" a="1"/>
  <c r="BS27" i="8" a="1"/>
  <c r="BS75" i="8" a="1"/>
  <c r="BS99" i="8" a="1"/>
  <c r="BS129" i="8" a="1"/>
  <c r="BS153" i="8" a="1"/>
  <c r="BS171" i="8" a="1"/>
  <c r="BS189" i="8" a="1"/>
  <c r="BS219" i="8" a="1"/>
  <c r="BS255" i="8" a="1"/>
  <c r="BS312" i="8" a="1"/>
  <c r="BS43" i="8" a="1"/>
  <c r="BS61" i="8" a="1"/>
  <c r="BS73" i="8" a="1"/>
  <c r="BS79" i="8" a="1"/>
  <c r="BS91" i="8" a="1"/>
  <c r="BS109" i="8" a="1"/>
  <c r="BS121" i="8" a="1"/>
  <c r="BS145" i="8" a="1"/>
  <c r="BS181" i="8" a="1"/>
  <c r="BS217" i="8" a="1"/>
  <c r="BS241" i="8" a="1"/>
  <c r="BS283" i="8" a="1"/>
  <c r="BS313" i="8" a="1"/>
  <c r="BS134" i="8" a="1"/>
  <c r="BS200" i="8" a="1"/>
  <c r="BS248" i="8" a="1"/>
  <c r="BS284" i="8" a="1"/>
  <c r="BS9" i="8" a="1"/>
  <c r="BS87" i="8" a="1"/>
  <c r="BS159" i="8" a="1"/>
  <c r="BS201" i="8" a="1"/>
  <c r="BS249" i="8" a="1"/>
  <c r="BS285" i="8" a="1"/>
  <c r="BS6" i="8" a="1"/>
  <c r="BS12" i="8" a="1"/>
  <c r="BS18" i="8" a="1"/>
  <c r="BS24" i="8" a="1"/>
  <c r="BS30" i="8" a="1"/>
  <c r="BS36" i="8" a="1"/>
  <c r="BS42" i="8" a="1"/>
  <c r="BS48" i="8" a="1"/>
  <c r="BS54" i="8" a="1"/>
  <c r="BS60" i="8" a="1"/>
  <c r="BS66" i="8" a="1"/>
  <c r="BS72" i="8" a="1"/>
  <c r="BS78" i="8" a="1"/>
  <c r="BS84" i="8" a="1"/>
  <c r="BS90" i="8" a="1"/>
  <c r="BS96" i="8" a="1"/>
  <c r="BS102" i="8" a="1"/>
  <c r="BS108" i="8" a="1"/>
  <c r="BS114" i="8" a="1"/>
  <c r="BS120" i="8" a="1"/>
  <c r="BS126" i="8" a="1"/>
  <c r="BS132" i="8" a="1"/>
  <c r="BS138" i="8" a="1"/>
  <c r="BS144" i="8" a="1"/>
  <c r="BS150" i="8" a="1"/>
  <c r="BS156" i="8" a="1"/>
  <c r="BS162" i="8" a="1"/>
  <c r="BS168" i="8" a="1"/>
  <c r="BS174" i="8" a="1"/>
  <c r="BS180" i="8" a="1"/>
  <c r="BS186" i="8" a="1"/>
  <c r="BS192" i="8" a="1"/>
  <c r="BS198" i="8" a="1"/>
  <c r="BS204" i="8" a="1"/>
  <c r="BS210" i="8" a="1"/>
  <c r="BS216" i="8" a="1"/>
  <c r="BS222" i="8" a="1"/>
  <c r="BS228" i="8" a="1"/>
  <c r="BS234" i="8" a="1"/>
  <c r="BS240" i="8" a="1"/>
  <c r="BS246" i="8" a="1"/>
  <c r="BS252" i="8" a="1"/>
  <c r="BS258" i="8" a="1"/>
  <c r="BS264" i="8" a="1"/>
  <c r="BS270" i="8" a="1"/>
  <c r="BS276" i="8" a="1"/>
  <c r="BS282" i="8" a="1"/>
  <c r="BS288" i="8" a="1"/>
  <c r="BS294" i="8" a="1"/>
  <c r="BS300" i="8" a="1"/>
  <c r="BS306" i="8" a="1"/>
  <c r="BS318" i="8" a="1"/>
  <c r="BS324" i="8" a="1"/>
  <c r="BS25" i="8" a="1"/>
  <c r="BS103" i="8" a="1"/>
  <c r="BS133" i="8" a="1"/>
  <c r="BS175" i="8" a="1"/>
  <c r="BS199" i="8" a="1"/>
  <c r="BS229" i="8" a="1"/>
  <c r="BS265" i="8" a="1"/>
  <c r="BS295" i="8" a="1"/>
  <c r="BS164" i="8" a="1"/>
  <c r="BS188" i="8" a="1"/>
  <c r="BS218" i="8" a="1"/>
  <c r="BS254" i="8" a="1"/>
  <c r="BS278" i="8" a="1"/>
  <c r="BS308" i="8" a="1"/>
  <c r="BS21" i="8" a="1"/>
  <c r="BS69" i="8" a="1"/>
  <c r="BS105" i="8" a="1"/>
  <c r="BS147" i="8" a="1"/>
  <c r="BS177" i="8" a="1"/>
  <c r="BS213" i="8" a="1"/>
  <c r="BS267" i="8" a="1"/>
  <c r="BS19" i="8" a="1"/>
  <c r="BS151" i="8" a="1"/>
  <c r="BS211" i="8" a="1"/>
  <c r="BS247" i="8" a="1"/>
  <c r="BS277" i="8" a="1"/>
  <c r="BS301" i="8" a="1"/>
  <c r="BS325" i="8" a="1"/>
  <c r="BS140" i="8" a="1"/>
  <c r="BS194" i="8" a="1"/>
  <c r="BS242" i="8" a="1"/>
  <c r="BS272" i="8" a="1"/>
  <c r="BS296" i="8" a="1"/>
  <c r="BS326" i="8" a="1"/>
  <c r="BS45" i="8" a="1"/>
  <c r="BS81" i="8" a="1"/>
  <c r="BS111" i="8" a="1"/>
  <c r="BS135" i="8" a="1"/>
  <c r="BS165" i="8" a="1"/>
  <c r="BS195" i="8" a="1"/>
  <c r="BS237" i="8" a="1"/>
  <c r="BS273" i="8" a="1"/>
  <c r="BS7" i="8" a="1"/>
  <c r="BS13" i="8" a="1"/>
  <c r="BS37" i="8" a="1"/>
  <c r="BS49" i="8" a="1"/>
  <c r="BS55" i="8" a="1"/>
  <c r="BS67" i="8" a="1"/>
  <c r="BS85" i="8" a="1"/>
  <c r="BS115" i="8" a="1"/>
  <c r="BS169" i="8" a="1"/>
  <c r="BS259" i="8" a="1"/>
  <c r="BS51" i="8" a="1"/>
  <c r="BS123" i="8" a="1"/>
  <c r="BS39" i="8" a="1"/>
  <c r="BS8" i="8" a="1"/>
  <c r="BS14" i="8" a="1"/>
  <c r="BS20" i="8" a="1"/>
  <c r="BS26" i="8" a="1"/>
  <c r="BS32" i="8" a="1"/>
  <c r="BS38" i="8" a="1"/>
  <c r="BS44" i="8" a="1"/>
  <c r="BS50" i="8" a="1"/>
  <c r="BS56" i="8" a="1"/>
  <c r="BS62" i="8" a="1"/>
  <c r="BS68" i="8" a="1"/>
  <c r="BS74" i="8" a="1"/>
  <c r="BS80" i="8" a="1"/>
  <c r="BS86" i="8" a="1"/>
  <c r="BS92" i="8" a="1"/>
  <c r="BS98" i="8" a="1"/>
  <c r="BS104" i="8" a="1"/>
  <c r="BS110" i="8" a="1"/>
  <c r="BS116" i="8" a="1"/>
  <c r="BS122" i="8" a="1"/>
  <c r="BS128" i="8" a="1"/>
  <c r="BS146" i="8" a="1"/>
  <c r="BS170" i="8" a="1"/>
  <c r="BS224" i="8" a="1"/>
  <c r="BS314" i="8" a="1"/>
  <c r="BS33" i="8" a="1"/>
  <c r="BS117" i="8" a="1"/>
  <c r="BS315" i="8" a="1"/>
  <c r="BS321" i="8" a="1"/>
  <c r="BS291" i="8" a="1"/>
  <c r="BS243" i="8" a="1"/>
  <c r="BS297" i="8" a="1"/>
  <c r="BS303" i="8" a="1"/>
  <c r="BS261" i="8" a="1"/>
  <c r="BS309" i="8" a="1"/>
  <c r="BS225" i="8" a="1"/>
  <c r="BS279" i="8" a="1"/>
  <c r="BS327" i="8" a="1"/>
  <c r="BS207" i="8" a="1"/>
  <c r="BV3" i="8" a="1"/>
  <c r="BU3" i="8" a="1"/>
  <c r="BT3" i="8" a="1"/>
  <c r="BS3" i="8" a="1"/>
  <c r="BM4" i="8" a="1"/>
  <c r="BM10" i="8" a="1"/>
  <c r="BM16" i="8" a="1"/>
  <c r="BM22" i="8" a="1"/>
  <c r="BM28" i="8" a="1"/>
  <c r="BM34" i="8" a="1"/>
  <c r="BM40" i="8" a="1"/>
  <c r="BM46" i="8" a="1"/>
  <c r="BM52" i="8" a="1"/>
  <c r="BM58" i="8" a="1"/>
  <c r="BM64" i="8" a="1"/>
  <c r="BM70" i="8" a="1"/>
  <c r="BM76" i="8" a="1"/>
  <c r="BM82" i="8" a="1"/>
  <c r="BM88" i="8" a="1"/>
  <c r="BM94" i="8" a="1"/>
  <c r="BM100" i="8" a="1"/>
  <c r="BM106" i="8" a="1"/>
  <c r="BM112" i="8" a="1"/>
  <c r="BM118" i="8" a="1"/>
  <c r="BM124" i="8" a="1"/>
  <c r="BM130" i="8" a="1"/>
  <c r="BM136" i="8" a="1"/>
  <c r="BM142" i="8" a="1"/>
  <c r="BM148" i="8" a="1"/>
  <c r="BM154" i="8" a="1"/>
  <c r="BM160" i="8" a="1"/>
  <c r="BM166" i="8" a="1"/>
  <c r="BM172" i="8" a="1"/>
  <c r="BM178" i="8" a="1"/>
  <c r="BM184" i="8" a="1"/>
  <c r="BM190" i="8" a="1"/>
  <c r="BM196" i="8" a="1"/>
  <c r="BM202" i="8" a="1"/>
  <c r="BM208" i="8" a="1"/>
  <c r="BM214" i="8" a="1"/>
  <c r="BM220" i="8" a="1"/>
  <c r="BM226" i="8" a="1"/>
  <c r="BM232" i="8" a="1"/>
  <c r="BM238" i="8" a="1"/>
  <c r="BM244" i="8" a="1"/>
  <c r="BM250" i="8" a="1"/>
  <c r="BM256" i="8" a="1"/>
  <c r="BM262" i="8" a="1"/>
  <c r="BM268" i="8" a="1"/>
  <c r="BM274" i="8" a="1"/>
  <c r="BM280" i="8" a="1"/>
  <c r="BM286" i="8" a="1"/>
  <c r="BM292" i="8" a="1"/>
  <c r="BM298" i="8" a="1"/>
  <c r="BM304" i="8" a="1"/>
  <c r="BM310" i="8" a="1"/>
  <c r="BM316" i="8" a="1"/>
  <c r="BM322" i="8" a="1"/>
  <c r="BM5" i="8" a="1"/>
  <c r="BM6" i="8" a="1"/>
  <c r="BM7" i="8" a="1"/>
  <c r="BM25" i="8" a="1"/>
  <c r="BM43" i="8" a="1"/>
  <c r="BM61" i="8" a="1"/>
  <c r="BM79" i="8" a="1"/>
  <c r="BM97" i="8" a="1"/>
  <c r="BM115" i="8" a="1"/>
  <c r="BM133" i="8" a="1"/>
  <c r="BM151" i="8" a="1"/>
  <c r="BM169" i="8" a="1"/>
  <c r="BM187" i="8" a="1"/>
  <c r="BM205" i="8" a="1"/>
  <c r="BM223" i="8" a="1"/>
  <c r="BM241" i="8" a="1"/>
  <c r="BM259" i="8" a="1"/>
  <c r="BM277" i="8" a="1"/>
  <c r="BM295" i="8" a="1"/>
  <c r="BM303" i="8" a="1"/>
  <c r="BM317" i="8" a="1"/>
  <c r="BM126" i="8" a="1"/>
  <c r="BM153" i="8" a="1"/>
  <c r="BM189" i="8" a="1"/>
  <c r="BM216" i="8" a="1"/>
  <c r="BM243" i="8" a="1"/>
  <c r="BM270" i="8" a="1"/>
  <c r="BM305" i="8" a="1"/>
  <c r="BM217" i="8" a="1"/>
  <c r="BM253" i="8" a="1"/>
  <c r="BM319" i="8" a="1"/>
  <c r="BM29" i="8" a="1"/>
  <c r="BM65" i="8" a="1"/>
  <c r="BM119" i="8" a="1"/>
  <c r="BM155" i="8" a="1"/>
  <c r="BM191" i="8" a="1"/>
  <c r="BM299" i="8" a="1"/>
  <c r="BM313" i="8" a="1"/>
  <c r="BM92" i="8" a="1"/>
  <c r="BM128" i="8" a="1"/>
  <c r="BM164" i="8" a="1"/>
  <c r="BM236" i="8" a="1"/>
  <c r="BM272" i="8" a="1"/>
  <c r="BM21" i="8" a="1"/>
  <c r="BM57" i="8" a="1"/>
  <c r="BM84" i="8" a="1"/>
  <c r="BM111" i="8" a="1"/>
  <c r="BM138" i="8" a="1"/>
  <c r="BM165" i="8" a="1"/>
  <c r="BM201" i="8" a="1"/>
  <c r="BM237" i="8" a="1"/>
  <c r="BM264" i="8" a="1"/>
  <c r="BM327" i="8" a="1"/>
  <c r="BM175" i="8" a="1"/>
  <c r="BM229" i="8" a="1"/>
  <c r="BM301" i="8" a="1"/>
  <c r="BM257" i="8" a="1"/>
  <c r="BM293" i="8" a="1"/>
  <c r="BM68" i="8" a="1"/>
  <c r="BM158" i="8" a="1"/>
  <c r="BM230" i="8" a="1"/>
  <c r="BM302" i="8" a="1"/>
  <c r="BM24" i="8" a="1"/>
  <c r="BM87" i="8" a="1"/>
  <c r="BM114" i="8" a="1"/>
  <c r="BM159" i="8" a="1"/>
  <c r="BM195" i="8" a="1"/>
  <c r="BM17" i="8" a="1"/>
  <c r="BM35" i="8" a="1"/>
  <c r="BM53" i="8" a="1"/>
  <c r="BM71" i="8" a="1"/>
  <c r="BM89" i="8" a="1"/>
  <c r="BM107" i="8" a="1"/>
  <c r="BM125" i="8" a="1"/>
  <c r="BM143" i="8" a="1"/>
  <c r="BM161" i="8" a="1"/>
  <c r="BM179" i="8" a="1"/>
  <c r="BM197" i="8" a="1"/>
  <c r="BM215" i="8" a="1"/>
  <c r="BM233" i="8" a="1"/>
  <c r="BM251" i="8" a="1"/>
  <c r="BM269" i="8" a="1"/>
  <c r="BM287" i="8" a="1"/>
  <c r="BM311" i="8" a="1"/>
  <c r="BM324" i="8" a="1"/>
  <c r="BM117" i="8" a="1"/>
  <c r="BM144" i="8" a="1"/>
  <c r="BM171" i="8" a="1"/>
  <c r="BM207" i="8" a="1"/>
  <c r="BM225" i="8" a="1"/>
  <c r="BM252" i="8" a="1"/>
  <c r="BM279" i="8" a="1"/>
  <c r="BM297" i="8" a="1"/>
  <c r="BM325" i="8" a="1"/>
  <c r="BM235" i="8" a="1"/>
  <c r="BM11" i="8" a="1"/>
  <c r="BM101" i="8" a="1"/>
  <c r="BM137" i="8" a="1"/>
  <c r="BM209" i="8" a="1"/>
  <c r="BM245" i="8" a="1"/>
  <c r="BM281" i="8" a="1"/>
  <c r="BM20" i="8" a="1"/>
  <c r="BM74" i="8" a="1"/>
  <c r="BM146" i="8" a="1"/>
  <c r="BM200" i="8" a="1"/>
  <c r="BM254" i="8" a="1"/>
  <c r="BM307" i="8" a="1"/>
  <c r="BM30" i="8" a="1"/>
  <c r="BM48" i="8" a="1"/>
  <c r="BM75" i="8" a="1"/>
  <c r="BM102" i="8" a="1"/>
  <c r="BM129" i="8" a="1"/>
  <c r="BM156" i="8" a="1"/>
  <c r="BM192" i="8" a="1"/>
  <c r="BM228" i="8" a="1"/>
  <c r="BM255" i="8" a="1"/>
  <c r="BM291" i="8" a="1"/>
  <c r="BM103" i="8" a="1"/>
  <c r="BM139" i="8" a="1"/>
  <c r="BM193" i="8" a="1"/>
  <c r="BM247" i="8" a="1"/>
  <c r="BM321" i="8" a="1"/>
  <c r="BM185" i="8" a="1"/>
  <c r="BM275" i="8" a="1"/>
  <c r="BM32" i="8" a="1"/>
  <c r="BM86" i="8" a="1"/>
  <c r="BM140" i="8" a="1"/>
  <c r="BM212" i="8" a="1"/>
  <c r="BM266" i="8" a="1"/>
  <c r="BM33" i="8" a="1"/>
  <c r="BM105" i="8" a="1"/>
  <c r="BM123" i="8" a="1"/>
  <c r="BM168" i="8" a="1"/>
  <c r="BM8" i="8" a="1"/>
  <c r="BM26" i="8" a="1"/>
  <c r="BM44" i="8" a="1"/>
  <c r="BM62" i="8" a="1"/>
  <c r="BM80" i="8" a="1"/>
  <c r="BM98" i="8" a="1"/>
  <c r="BM116" i="8" a="1"/>
  <c r="BM134" i="8" a="1"/>
  <c r="BM152" i="8" a="1"/>
  <c r="BM170" i="8" a="1"/>
  <c r="BM188" i="8" a="1"/>
  <c r="BM206" i="8" a="1"/>
  <c r="BM224" i="8" a="1"/>
  <c r="BM242" i="8" a="1"/>
  <c r="BM260" i="8" a="1"/>
  <c r="BM278" i="8" a="1"/>
  <c r="BM296" i="8" a="1"/>
  <c r="BM318" i="8" a="1"/>
  <c r="BM99" i="8" a="1"/>
  <c r="BM162" i="8" a="1"/>
  <c r="BM198" i="8" a="1"/>
  <c r="BM234" i="8" a="1"/>
  <c r="BM261" i="8" a="1"/>
  <c r="BM288" i="8" a="1"/>
  <c r="BM312" i="8" a="1"/>
  <c r="BM289" i="8" a="1"/>
  <c r="BM47" i="8" a="1"/>
  <c r="BM83" i="8" a="1"/>
  <c r="BM173" i="8" a="1"/>
  <c r="BM227" i="8" a="1"/>
  <c r="BM263" i="8" a="1"/>
  <c r="BM306" i="8" a="1"/>
  <c r="BM326" i="8" a="1"/>
  <c r="BM38" i="8" a="1"/>
  <c r="BM56" i="8" a="1"/>
  <c r="BM110" i="8" a="1"/>
  <c r="BM182" i="8" a="1"/>
  <c r="BM218" i="8" a="1"/>
  <c r="BM290" i="8" a="1"/>
  <c r="BM320" i="8" a="1"/>
  <c r="BM39" i="8" a="1"/>
  <c r="BM66" i="8" a="1"/>
  <c r="BM93" i="8" a="1"/>
  <c r="BM120" i="8" a="1"/>
  <c r="BM147" i="8" a="1"/>
  <c r="BM174" i="8" a="1"/>
  <c r="BM210" i="8" a="1"/>
  <c r="BM246" i="8" a="1"/>
  <c r="BM273" i="8" a="1"/>
  <c r="BM314" i="8" a="1"/>
  <c r="BM85" i="8" a="1"/>
  <c r="BM157" i="8" a="1"/>
  <c r="BM211" i="8" a="1"/>
  <c r="BM265" i="8" a="1"/>
  <c r="BM308" i="8" a="1"/>
  <c r="BM167" i="8" a="1"/>
  <c r="BM221" i="8" a="1"/>
  <c r="BM315" i="8" a="1"/>
  <c r="BM14" i="8" a="1"/>
  <c r="BM122" i="8" a="1"/>
  <c r="BM176" i="8" a="1"/>
  <c r="BM15" i="8" a="1"/>
  <c r="BM96" i="8" a="1"/>
  <c r="BM132" i="8" a="1"/>
  <c r="BM177" i="8" a="1"/>
  <c r="BM222" i="8" a="1"/>
  <c r="BM9" i="8" a="1"/>
  <c r="BM18" i="8" a="1"/>
  <c r="BM27" i="8" a="1"/>
  <c r="BM36" i="8" a="1"/>
  <c r="BM45" i="8" a="1"/>
  <c r="BM54" i="8" a="1"/>
  <c r="BM63" i="8" a="1"/>
  <c r="BM72" i="8" a="1"/>
  <c r="BM81" i="8" a="1"/>
  <c r="BM90" i="8" a="1"/>
  <c r="BM108" i="8" a="1"/>
  <c r="BM135" i="8" a="1"/>
  <c r="BM180" i="8" a="1"/>
  <c r="BM183" i="8" a="1"/>
  <c r="BM300" i="8" a="1"/>
  <c r="BM203" i="8" a="1"/>
  <c r="BM50" i="8" a="1"/>
  <c r="BM51" i="8" a="1"/>
  <c r="BM19" i="8" a="1"/>
  <c r="BM37" i="8" a="1"/>
  <c r="BM55" i="8" a="1"/>
  <c r="BM73" i="8" a="1"/>
  <c r="BM91" i="8" a="1"/>
  <c r="BM109" i="8" a="1"/>
  <c r="BM127" i="8" a="1"/>
  <c r="BM145" i="8" a="1"/>
  <c r="BM163" i="8" a="1"/>
  <c r="BM181" i="8" a="1"/>
  <c r="BM199" i="8" a="1"/>
  <c r="BM271" i="8" a="1"/>
  <c r="BM219" i="8" a="1"/>
  <c r="BM282" i="8" a="1"/>
  <c r="BM283" i="8" a="1"/>
  <c r="BM239" i="8" a="1"/>
  <c r="BM248" i="8" a="1"/>
  <c r="BM60" i="8" a="1"/>
  <c r="BM309" i="8" a="1"/>
  <c r="BM150" i="8" a="1"/>
  <c r="BM284" i="8" a="1"/>
  <c r="BM141" i="8" a="1"/>
  <c r="BM12" i="8" a="1"/>
  <c r="BM42" i="8" a="1"/>
  <c r="BM13" i="8" a="1"/>
  <c r="BM31" i="8" a="1"/>
  <c r="BM49" i="8" a="1"/>
  <c r="BM67" i="8" a="1"/>
  <c r="BM121" i="8" a="1"/>
  <c r="BM194" i="8" a="1"/>
  <c r="BM78" i="8" a="1"/>
  <c r="BM23" i="8" a="1"/>
  <c r="BM41" i="8" a="1"/>
  <c r="BM59" i="8" a="1"/>
  <c r="BM77" i="8" a="1"/>
  <c r="BM95" i="8" a="1"/>
  <c r="BM113" i="8" a="1"/>
  <c r="BM131" i="8" a="1"/>
  <c r="BM149" i="8" a="1"/>
  <c r="BM104" i="8" a="1"/>
  <c r="BM69" i="8" a="1"/>
  <c r="BM186" i="8" a="1"/>
  <c r="BM213" i="8" a="1"/>
  <c r="BM231" i="8" a="1"/>
  <c r="BM249" i="8" a="1"/>
  <c r="BM267" i="8" a="1"/>
  <c r="BM285" i="8" a="1"/>
  <c r="BM204" i="8" a="1"/>
  <c r="BM323" i="8" a="1"/>
  <c r="BM240" i="8" a="1"/>
  <c r="BM258" i="8" a="1"/>
  <c r="BM276" i="8" a="1"/>
  <c r="BM294" i="8" a="1"/>
  <c r="BL4" i="8" a="1"/>
  <c r="BL10" i="8" a="1"/>
  <c r="BL16" i="8" a="1"/>
  <c r="BL22" i="8" a="1"/>
  <c r="BL28" i="8" a="1"/>
  <c r="BL34" i="8" a="1"/>
  <c r="BL40" i="8" a="1"/>
  <c r="BL46" i="8" a="1"/>
  <c r="BL52" i="8" a="1"/>
  <c r="BL58" i="8" a="1"/>
  <c r="BL64" i="8" a="1"/>
  <c r="BL70" i="8" a="1"/>
  <c r="BL76" i="8" a="1"/>
  <c r="BL82" i="8" a="1"/>
  <c r="BL88" i="8" a="1"/>
  <c r="BL94" i="8" a="1"/>
  <c r="BL100" i="8" a="1"/>
  <c r="BL106" i="8" a="1"/>
  <c r="BL112" i="8" a="1"/>
  <c r="BL118" i="8" a="1"/>
  <c r="BL124" i="8" a="1"/>
  <c r="BL130" i="8" a="1"/>
  <c r="BL136" i="8" a="1"/>
  <c r="BL142" i="8" a="1"/>
  <c r="BL148" i="8" a="1"/>
  <c r="BL154" i="8" a="1"/>
  <c r="BL160" i="8" a="1"/>
  <c r="BL166" i="8" a="1"/>
  <c r="BL172" i="8" a="1"/>
  <c r="BL178" i="8" a="1"/>
  <c r="BL184" i="8" a="1"/>
  <c r="BL190" i="8" a="1"/>
  <c r="BL196" i="8" a="1"/>
  <c r="BL202" i="8" a="1"/>
  <c r="BL208" i="8" a="1"/>
  <c r="BL214" i="8" a="1"/>
  <c r="BL220" i="8" a="1"/>
  <c r="BL226" i="8" a="1"/>
  <c r="BL232" i="8" a="1"/>
  <c r="BL238" i="8" a="1"/>
  <c r="BL244" i="8" a="1"/>
  <c r="BL250" i="8" a="1"/>
  <c r="BL256" i="8" a="1"/>
  <c r="BL262" i="8" a="1"/>
  <c r="BL268" i="8" a="1"/>
  <c r="BL274" i="8" a="1"/>
  <c r="BL280" i="8" a="1"/>
  <c r="BL286" i="8" a="1"/>
  <c r="BL292" i="8" a="1"/>
  <c r="BL298" i="8" a="1"/>
  <c r="BL304" i="8" a="1"/>
  <c r="BL310" i="8" a="1"/>
  <c r="BL316" i="8" a="1"/>
  <c r="BL322" i="8" a="1"/>
  <c r="BL5" i="8" a="1"/>
  <c r="BL6" i="8" a="1"/>
  <c r="BL7" i="8" a="1"/>
  <c r="BL201" i="8" a="1"/>
  <c r="BL261" i="8" a="1"/>
  <c r="BL279" i="8" a="1"/>
  <c r="BL291" i="8" a="1"/>
  <c r="BL303" i="8" a="1"/>
  <c r="BL315" i="8" a="1"/>
  <c r="BL327" i="8" a="1"/>
  <c r="BL9" i="8" a="1"/>
  <c r="BL15" i="8" a="1"/>
  <c r="BL21" i="8" a="1"/>
  <c r="BL27" i="8" a="1"/>
  <c r="BL33" i="8" a="1"/>
  <c r="BL39" i="8" a="1"/>
  <c r="BL45" i="8" a="1"/>
  <c r="BL51" i="8" a="1"/>
  <c r="BL57" i="8" a="1"/>
  <c r="BL63" i="8" a="1"/>
  <c r="BL69" i="8" a="1"/>
  <c r="BL75" i="8" a="1"/>
  <c r="BL81" i="8" a="1"/>
  <c r="BL87" i="8" a="1"/>
  <c r="BL93" i="8" a="1"/>
  <c r="BL99" i="8" a="1"/>
  <c r="BL105" i="8" a="1"/>
  <c r="BL111" i="8" a="1"/>
  <c r="BL117" i="8" a="1"/>
  <c r="BL123" i="8" a="1"/>
  <c r="BL129" i="8" a="1"/>
  <c r="BL135" i="8" a="1"/>
  <c r="BL141" i="8" a="1"/>
  <c r="BL147" i="8" a="1"/>
  <c r="BL153" i="8" a="1"/>
  <c r="BL159" i="8" a="1"/>
  <c r="BL165" i="8" a="1"/>
  <c r="BL171" i="8" a="1"/>
  <c r="BL177" i="8" a="1"/>
  <c r="BL183" i="8" a="1"/>
  <c r="BL189" i="8" a="1"/>
  <c r="BL195" i="8" a="1"/>
  <c r="BL207" i="8" a="1"/>
  <c r="BL213" i="8" a="1"/>
  <c r="BL219" i="8" a="1"/>
  <c r="BL225" i="8" a="1"/>
  <c r="BL231" i="8" a="1"/>
  <c r="BL237" i="8" a="1"/>
  <c r="BL243" i="8" a="1"/>
  <c r="BL249" i="8" a="1"/>
  <c r="BL255" i="8" a="1"/>
  <c r="BL267" i="8" a="1"/>
  <c r="BL273" i="8" a="1"/>
  <c r="BL285" i="8" a="1"/>
  <c r="BL297" i="8" a="1"/>
  <c r="BL309" i="8" a="1"/>
  <c r="BL321" i="8" a="1"/>
  <c r="BL8" i="8" a="1"/>
  <c r="BL306" i="8" a="1"/>
  <c r="BL11" i="8" a="1"/>
  <c r="BL19" i="8" a="1"/>
  <c r="BL29" i="8" a="1"/>
  <c r="BL37" i="8" a="1"/>
  <c r="BL47" i="8" a="1"/>
  <c r="BL55" i="8" a="1"/>
  <c r="BL65" i="8" a="1"/>
  <c r="BL73" i="8" a="1"/>
  <c r="BL83" i="8" a="1"/>
  <c r="BL91" i="8" a="1"/>
  <c r="BL109" i="8" a="1"/>
  <c r="BL119" i="8" a="1"/>
  <c r="BL127" i="8" a="1"/>
  <c r="BL137" i="8" a="1"/>
  <c r="BL145" i="8" a="1"/>
  <c r="BL155" i="8" a="1"/>
  <c r="BL163" i="8" a="1"/>
  <c r="BL173" i="8" a="1"/>
  <c r="BL181" i="8" a="1"/>
  <c r="BL191" i="8" a="1"/>
  <c r="BL199" i="8" a="1"/>
  <c r="BL209" i="8" a="1"/>
  <c r="BL217" i="8" a="1"/>
  <c r="BL227" i="8" a="1"/>
  <c r="BL235" i="8" a="1"/>
  <c r="BL245" i="8" a="1"/>
  <c r="BL253" i="8" a="1"/>
  <c r="BL263" i="8" a="1"/>
  <c r="BL271" i="8" a="1"/>
  <c r="BL281" i="8" a="1"/>
  <c r="BL289" i="8" a="1"/>
  <c r="BL299" i="8" a="1"/>
  <c r="BL314" i="8" a="1"/>
  <c r="BL323" i="8" a="1"/>
  <c r="BL307" i="8" a="1"/>
  <c r="BL246" i="8" a="1"/>
  <c r="BL272" i="8" a="1"/>
  <c r="BL290" i="8" a="1"/>
  <c r="BL300" i="8" a="1"/>
  <c r="BL324" i="8" a="1"/>
  <c r="BL317" i="8" a="1"/>
  <c r="BL23" i="8" a="1"/>
  <c r="BL41" i="8" a="1"/>
  <c r="BL59" i="8" a="1"/>
  <c r="BL77" i="8" a="1"/>
  <c r="BL85" i="8" a="1"/>
  <c r="BL95" i="8" a="1"/>
  <c r="BL113" i="8" a="1"/>
  <c r="BL121" i="8" a="1"/>
  <c r="BL139" i="8" a="1"/>
  <c r="BL167" i="8" a="1"/>
  <c r="BL185" i="8" a="1"/>
  <c r="BL203" i="8" a="1"/>
  <c r="BL211" i="8" a="1"/>
  <c r="BL229" i="8" a="1"/>
  <c r="BL257" i="8" a="1"/>
  <c r="BL275" i="8" a="1"/>
  <c r="BL283" i="8" a="1"/>
  <c r="BL301" i="8" a="1"/>
  <c r="BL318" i="8" a="1"/>
  <c r="BL24" i="8" a="1"/>
  <c r="BL42" i="8" a="1"/>
  <c r="BL60" i="8" a="1"/>
  <c r="BL78" i="8" a="1"/>
  <c r="BL96" i="8" a="1"/>
  <c r="BL114" i="8" a="1"/>
  <c r="BL132" i="8" a="1"/>
  <c r="BL150" i="8" a="1"/>
  <c r="BL168" i="8" a="1"/>
  <c r="BL186" i="8" a="1"/>
  <c r="BL204" i="8" a="1"/>
  <c r="BL222" i="8" a="1"/>
  <c r="BL101" i="8" a="1"/>
  <c r="BL12" i="8" a="1"/>
  <c r="BL20" i="8" a="1"/>
  <c r="BL30" i="8" a="1"/>
  <c r="BL38" i="8" a="1"/>
  <c r="BL48" i="8" a="1"/>
  <c r="BL56" i="8" a="1"/>
  <c r="BL66" i="8" a="1"/>
  <c r="BL74" i="8" a="1"/>
  <c r="BL84" i="8" a="1"/>
  <c r="BL92" i="8" a="1"/>
  <c r="BL102" i="8" a="1"/>
  <c r="BL110" i="8" a="1"/>
  <c r="BL120" i="8" a="1"/>
  <c r="BL128" i="8" a="1"/>
  <c r="BL138" i="8" a="1"/>
  <c r="BL146" i="8" a="1"/>
  <c r="BL156" i="8" a="1"/>
  <c r="BL164" i="8" a="1"/>
  <c r="BL174" i="8" a="1"/>
  <c r="BL182" i="8" a="1"/>
  <c r="BL192" i="8" a="1"/>
  <c r="BL200" i="8" a="1"/>
  <c r="BL210" i="8" a="1"/>
  <c r="BL218" i="8" a="1"/>
  <c r="BL228" i="8" a="1"/>
  <c r="BL236" i="8" a="1"/>
  <c r="BL254" i="8" a="1"/>
  <c r="BL264" i="8" a="1"/>
  <c r="BL282" i="8" a="1"/>
  <c r="BL308" i="8" a="1"/>
  <c r="BL13" i="8" a="1"/>
  <c r="BL31" i="8" a="1"/>
  <c r="BL49" i="8" a="1"/>
  <c r="BL67" i="8" a="1"/>
  <c r="BL103" i="8" a="1"/>
  <c r="BL131" i="8" a="1"/>
  <c r="BL149" i="8" a="1"/>
  <c r="BL157" i="8" a="1"/>
  <c r="BL175" i="8" a="1"/>
  <c r="BL193" i="8" a="1"/>
  <c r="BL221" i="8" a="1"/>
  <c r="BL239" i="8" a="1"/>
  <c r="BL247" i="8" a="1"/>
  <c r="BL265" i="8" a="1"/>
  <c r="BL293" i="8" a="1"/>
  <c r="BL325" i="8" a="1"/>
  <c r="BL14" i="8" a="1"/>
  <c r="BL32" i="8" a="1"/>
  <c r="BL50" i="8" a="1"/>
  <c r="BL68" i="8" a="1"/>
  <c r="BL86" i="8" a="1"/>
  <c r="BL104" i="8" a="1"/>
  <c r="BL122" i="8" a="1"/>
  <c r="BL140" i="8" a="1"/>
  <c r="BL158" i="8" a="1"/>
  <c r="BL176" i="8" a="1"/>
  <c r="BL194" i="8" a="1"/>
  <c r="BL212" i="8" a="1"/>
  <c r="BL230" i="8" a="1"/>
  <c r="BL305" i="8" a="1"/>
  <c r="BL320" i="8" a="1"/>
  <c r="BL266" i="8" a="1"/>
  <c r="BL97" i="8" a="1"/>
  <c r="BL205" i="8" a="1"/>
  <c r="BL62" i="8" a="1"/>
  <c r="BL206" i="8" a="1"/>
  <c r="BL295" i="8" a="1"/>
  <c r="BL242" i="8" a="1"/>
  <c r="BL107" i="8" a="1"/>
  <c r="BL179" i="8" a="1"/>
  <c r="BL276" i="8" a="1"/>
  <c r="BL72" i="8" a="1"/>
  <c r="BL216" i="8" a="1"/>
  <c r="BL251" i="8" a="1"/>
  <c r="BL277" i="8" a="1"/>
  <c r="BL43" i="8" a="1"/>
  <c r="BL79" i="8" a="1"/>
  <c r="BL115" i="8" a="1"/>
  <c r="BL252" i="8" a="1"/>
  <c r="BL278" i="8" a="1"/>
  <c r="BL116" i="8" a="1"/>
  <c r="BL188" i="8" a="1"/>
  <c r="BL284" i="8" a="1"/>
  <c r="BL17" i="8" a="1"/>
  <c r="BL53" i="8" a="1"/>
  <c r="BL89" i="8" a="1"/>
  <c r="BL125" i="8" a="1"/>
  <c r="BL161" i="8" a="1"/>
  <c r="BL197" i="8" a="1"/>
  <c r="BL233" i="8" a="1"/>
  <c r="BL259" i="8" a="1"/>
  <c r="BL287" i="8" a="1"/>
  <c r="BL312" i="8" a="1"/>
  <c r="BL294" i="8" a="1"/>
  <c r="BL61" i="8" a="1"/>
  <c r="BL169" i="8" a="1"/>
  <c r="BL26" i="8" a="1"/>
  <c r="BL170" i="8" a="1"/>
  <c r="BL269" i="8" a="1"/>
  <c r="BL296" i="8" a="1"/>
  <c r="BL71" i="8" a="1"/>
  <c r="BL215" i="8" a="1"/>
  <c r="BL302" i="8" a="1"/>
  <c r="BL36" i="8" a="1"/>
  <c r="BL180" i="8" a="1"/>
  <c r="BL44" i="8" a="1"/>
  <c r="BL224" i="8" a="1"/>
  <c r="BL311" i="8" a="1"/>
  <c r="BL18" i="8" a="1"/>
  <c r="BL54" i="8" a="1"/>
  <c r="BL90" i="8" a="1"/>
  <c r="BL126" i="8" a="1"/>
  <c r="BL162" i="8" a="1"/>
  <c r="BL198" i="8" a="1"/>
  <c r="BL234" i="8" a="1"/>
  <c r="BL260" i="8" a="1"/>
  <c r="BL288" i="8" a="1"/>
  <c r="BL313" i="8" a="1"/>
  <c r="BL240" i="8" a="1"/>
  <c r="BL25" i="8" a="1"/>
  <c r="BL133" i="8" a="1"/>
  <c r="BL319" i="8" a="1"/>
  <c r="BL98" i="8" a="1"/>
  <c r="BL134" i="8" a="1"/>
  <c r="BL241" i="8" a="1"/>
  <c r="BL270" i="8" a="1"/>
  <c r="BL35" i="8" a="1"/>
  <c r="BL143" i="8" a="1"/>
  <c r="BL248" i="8" a="1"/>
  <c r="BL326" i="8" a="1"/>
  <c r="BL108" i="8" a="1"/>
  <c r="BL144" i="8" a="1"/>
  <c r="BL80" i="8" a="1"/>
  <c r="BL152" i="8" a="1"/>
  <c r="BL258" i="8" a="1"/>
  <c r="BL151" i="8" a="1"/>
  <c r="BL187" i="8" a="1"/>
  <c r="BL223" i="8" a="1"/>
  <c r="BK4" i="8" a="1"/>
  <c r="BK10" i="8" a="1"/>
  <c r="BK16" i="8" a="1"/>
  <c r="BK22" i="8" a="1"/>
  <c r="BK28" i="8" a="1"/>
  <c r="BK34" i="8" a="1"/>
  <c r="BK40" i="8" a="1"/>
  <c r="BK46" i="8" a="1"/>
  <c r="BK52" i="8" a="1"/>
  <c r="BK58" i="8" a="1"/>
  <c r="BK64" i="8" a="1"/>
  <c r="BK70" i="8" a="1"/>
  <c r="BK76" i="8" a="1"/>
  <c r="BK82" i="8" a="1"/>
  <c r="BK88" i="8" a="1"/>
  <c r="BK94" i="8" a="1"/>
  <c r="BK100" i="8" a="1"/>
  <c r="BK106" i="8" a="1"/>
  <c r="BK112" i="8" a="1"/>
  <c r="BK118" i="8" a="1"/>
  <c r="BK124" i="8" a="1"/>
  <c r="BK130" i="8" a="1"/>
  <c r="BK136" i="8" a="1"/>
  <c r="BK142" i="8" a="1"/>
  <c r="BK148" i="8" a="1"/>
  <c r="BK154" i="8" a="1"/>
  <c r="BK160" i="8" a="1"/>
  <c r="BK166" i="8" a="1"/>
  <c r="BK172" i="8" a="1"/>
  <c r="BK178" i="8" a="1"/>
  <c r="BK184" i="8" a="1"/>
  <c r="BK190" i="8" a="1"/>
  <c r="BK196" i="8" a="1"/>
  <c r="BK202" i="8" a="1"/>
  <c r="BK208" i="8" a="1"/>
  <c r="BK214" i="8" a="1"/>
  <c r="BK220" i="8" a="1"/>
  <c r="BK226" i="8" a="1"/>
  <c r="BK232" i="8" a="1"/>
  <c r="BK238" i="8" a="1"/>
  <c r="BK244" i="8" a="1"/>
  <c r="BK250" i="8" a="1"/>
  <c r="BK256" i="8" a="1"/>
  <c r="BK262" i="8" a="1"/>
  <c r="BK268" i="8" a="1"/>
  <c r="BK274" i="8" a="1"/>
  <c r="BK280" i="8" a="1"/>
  <c r="BK286" i="8" a="1"/>
  <c r="BK292" i="8" a="1"/>
  <c r="BK298" i="8" a="1"/>
  <c r="BK304" i="8" a="1"/>
  <c r="BK310" i="8" a="1"/>
  <c r="BK316" i="8" a="1"/>
  <c r="BK119" i="8" a="1"/>
  <c r="BK191" i="8" a="1"/>
  <c r="BK215" i="8" a="1"/>
  <c r="BK227" i="8" a="1"/>
  <c r="BK239" i="8" a="1"/>
  <c r="BK251" i="8" a="1"/>
  <c r="BK263" i="8" a="1"/>
  <c r="BK275" i="8" a="1"/>
  <c r="BK287" i="8" a="1"/>
  <c r="BK5" i="8" a="1"/>
  <c r="BK11" i="8" a="1"/>
  <c r="BK17" i="8" a="1"/>
  <c r="BK23" i="8" a="1"/>
  <c r="BK29" i="8" a="1"/>
  <c r="BK35" i="8" a="1"/>
  <c r="BK41" i="8" a="1"/>
  <c r="BK47" i="8" a="1"/>
  <c r="BK53" i="8" a="1"/>
  <c r="BK59" i="8" a="1"/>
  <c r="BK65" i="8" a="1"/>
  <c r="BK71" i="8" a="1"/>
  <c r="BK77" i="8" a="1"/>
  <c r="BK83" i="8" a="1"/>
  <c r="BK89" i="8" a="1"/>
  <c r="BK95" i="8" a="1"/>
  <c r="BK101" i="8" a="1"/>
  <c r="BK107" i="8" a="1"/>
  <c r="BK113" i="8" a="1"/>
  <c r="BK125" i="8" a="1"/>
  <c r="BK131" i="8" a="1"/>
  <c r="BK137" i="8" a="1"/>
  <c r="BK143" i="8" a="1"/>
  <c r="BK149" i="8" a="1"/>
  <c r="BK155" i="8" a="1"/>
  <c r="BK161" i="8" a="1"/>
  <c r="BK167" i="8" a="1"/>
  <c r="BK173" i="8" a="1"/>
  <c r="BK179" i="8" a="1"/>
  <c r="BK185" i="8" a="1"/>
  <c r="BK197" i="8" a="1"/>
  <c r="BK203" i="8" a="1"/>
  <c r="BK209" i="8" a="1"/>
  <c r="BK221" i="8" a="1"/>
  <c r="BK233" i="8" a="1"/>
  <c r="BK245" i="8" a="1"/>
  <c r="BK257" i="8" a="1"/>
  <c r="BK269" i="8" a="1"/>
  <c r="BK281" i="8" a="1"/>
  <c r="BK12" i="8" a="1"/>
  <c r="BK18" i="8" a="1"/>
  <c r="BK24" i="8" a="1"/>
  <c r="BK30" i="8" a="1"/>
  <c r="BK36" i="8" a="1"/>
  <c r="BK42" i="8" a="1"/>
  <c r="BK48" i="8" a="1"/>
  <c r="BK54" i="8" a="1"/>
  <c r="BK60" i="8" a="1"/>
  <c r="BK66" i="8" a="1"/>
  <c r="BK6" i="8" a="1"/>
  <c r="BK7" i="8" a="1"/>
  <c r="BK13" i="8" a="1"/>
  <c r="BK19" i="8" a="1"/>
  <c r="BK25" i="8" a="1"/>
  <c r="BK31" i="8" a="1"/>
  <c r="BK37" i="8" a="1"/>
  <c r="BK43" i="8" a="1"/>
  <c r="BK49" i="8" a="1"/>
  <c r="BK55" i="8" a="1"/>
  <c r="BK61" i="8" a="1"/>
  <c r="BK67" i="8" a="1"/>
  <c r="BK73" i="8" a="1"/>
  <c r="BK79" i="8" a="1"/>
  <c r="BK85" i="8" a="1"/>
  <c r="BK91" i="8" a="1"/>
  <c r="BK97" i="8" a="1"/>
  <c r="BK103" i="8" a="1"/>
  <c r="BK116" i="8" a="1"/>
  <c r="BK164" i="8" a="1"/>
  <c r="BK182" i="8" a="1"/>
  <c r="BK194" i="8" a="1"/>
  <c r="BK206" i="8" a="1"/>
  <c r="BK218" i="8" a="1"/>
  <c r="BK230" i="8" a="1"/>
  <c r="BK242" i="8" a="1"/>
  <c r="BK254" i="8" a="1"/>
  <c r="BK266" i="8" a="1"/>
  <c r="BK278" i="8" a="1"/>
  <c r="BK290" i="8" a="1"/>
  <c r="BK302" i="8" a="1"/>
  <c r="BK314" i="8" a="1"/>
  <c r="BK326" i="8" a="1"/>
  <c r="BK8" i="8" a="1"/>
  <c r="BK14" i="8" a="1"/>
  <c r="BK20" i="8" a="1"/>
  <c r="BK26" i="8" a="1"/>
  <c r="BK32" i="8" a="1"/>
  <c r="BK38" i="8" a="1"/>
  <c r="BK44" i="8" a="1"/>
  <c r="BK50" i="8" a="1"/>
  <c r="BK56" i="8" a="1"/>
  <c r="BK62" i="8" a="1"/>
  <c r="BK68" i="8" a="1"/>
  <c r="BK74" i="8" a="1"/>
  <c r="BK80" i="8" a="1"/>
  <c r="BK86" i="8" a="1"/>
  <c r="BK92" i="8" a="1"/>
  <c r="BK98" i="8" a="1"/>
  <c r="BK104" i="8" a="1"/>
  <c r="BK110" i="8" a="1"/>
  <c r="BK122" i="8" a="1"/>
  <c r="BK128" i="8" a="1"/>
  <c r="BK134" i="8" a="1"/>
  <c r="BK140" i="8" a="1"/>
  <c r="BK146" i="8" a="1"/>
  <c r="BK152" i="8" a="1"/>
  <c r="BK158" i="8" a="1"/>
  <c r="BK170" i="8" a="1"/>
  <c r="BK176" i="8" a="1"/>
  <c r="BK188" i="8" a="1"/>
  <c r="BK200" i="8" a="1"/>
  <c r="BK212" i="8" a="1"/>
  <c r="BK224" i="8" a="1"/>
  <c r="BK236" i="8" a="1"/>
  <c r="BK248" i="8" a="1"/>
  <c r="BK260" i="8" a="1"/>
  <c r="BK272" i="8" a="1"/>
  <c r="BK284" i="8" a="1"/>
  <c r="BK296" i="8" a="1"/>
  <c r="BK308" i="8" a="1"/>
  <c r="BK320" i="8" a="1"/>
  <c r="BK9" i="8" a="1"/>
  <c r="BK45" i="8" a="1"/>
  <c r="BK120" i="8" a="1"/>
  <c r="BK138" i="8" a="1"/>
  <c r="BK156" i="8" a="1"/>
  <c r="BK174" i="8" a="1"/>
  <c r="BK192" i="8" a="1"/>
  <c r="BK210" i="8" a="1"/>
  <c r="BK228" i="8" a="1"/>
  <c r="BK246" i="8" a="1"/>
  <c r="BK264" i="8" a="1"/>
  <c r="BK279" i="8" a="1"/>
  <c r="BK322" i="8" a="1"/>
  <c r="BK78" i="8" a="1"/>
  <c r="BK102" i="8" a="1"/>
  <c r="BK121" i="8" a="1"/>
  <c r="BK139" i="8" a="1"/>
  <c r="BK157" i="8" a="1"/>
  <c r="BK175" i="8" a="1"/>
  <c r="BK193" i="8" a="1"/>
  <c r="BK211" i="8" a="1"/>
  <c r="BK229" i="8" a="1"/>
  <c r="BK247" i="8" a="1"/>
  <c r="BK265" i="8" a="1"/>
  <c r="BK293" i="8" a="1"/>
  <c r="BK303" i="8" a="1"/>
  <c r="BK313" i="8" a="1"/>
  <c r="BK323" i="8" a="1"/>
  <c r="BK81" i="8" a="1"/>
  <c r="BK105" i="8" a="1"/>
  <c r="BK123" i="8" a="1"/>
  <c r="BK141" i="8" a="1"/>
  <c r="BK159" i="8" a="1"/>
  <c r="BK177" i="8" a="1"/>
  <c r="BK213" i="8" a="1"/>
  <c r="BK231" i="8" a="1"/>
  <c r="BK249" i="8" a="1"/>
  <c r="BK267" i="8" a="1"/>
  <c r="BK282" i="8" a="1"/>
  <c r="BK294" i="8" a="1"/>
  <c r="BK324" i="8" a="1"/>
  <c r="BK305" i="8" a="1"/>
  <c r="BK315" i="8" a="1"/>
  <c r="BK21" i="8" a="1"/>
  <c r="BK84" i="8" a="1"/>
  <c r="BK108" i="8" a="1"/>
  <c r="BK126" i="8" a="1"/>
  <c r="BK162" i="8" a="1"/>
  <c r="BK180" i="8" a="1"/>
  <c r="BK198" i="8" a="1"/>
  <c r="BK216" i="8" a="1"/>
  <c r="BK234" i="8" a="1"/>
  <c r="BK270" i="8" a="1"/>
  <c r="BK283" i="8" a="1"/>
  <c r="BK295" i="8" a="1"/>
  <c r="BK306" i="8" a="1"/>
  <c r="BK325" i="8" a="1"/>
  <c r="BK145" i="8" a="1"/>
  <c r="BK181" i="8" a="1"/>
  <c r="BK199" i="8" a="1"/>
  <c r="BK217" i="8" a="1"/>
  <c r="BK253" i="8" a="1"/>
  <c r="BK285" i="8" a="1"/>
  <c r="BK317" i="8" a="1"/>
  <c r="BK27" i="8" a="1"/>
  <c r="BK147" i="8" a="1"/>
  <c r="BK183" i="8" a="1"/>
  <c r="BK237" i="8" a="1"/>
  <c r="BK271" i="8" a="1"/>
  <c r="BK318" i="8" a="1"/>
  <c r="BK273" i="8" a="1"/>
  <c r="BK33" i="8" a="1"/>
  <c r="BK168" i="8" a="1"/>
  <c r="BK319" i="8" a="1"/>
  <c r="BK288" i="8" a="1"/>
  <c r="BK69" i="8" a="1"/>
  <c r="BK186" i="8" a="1"/>
  <c r="BK133" i="8" a="1"/>
  <c r="BK15" i="8" a="1"/>
  <c r="BK51" i="8" a="1"/>
  <c r="BK195" i="8" a="1"/>
  <c r="BK219" i="8" a="1"/>
  <c r="BK307" i="8" a="1"/>
  <c r="BK132" i="8" a="1"/>
  <c r="BK222" i="8" a="1"/>
  <c r="BK309" i="8" a="1"/>
  <c r="BK129" i="8" a="1"/>
  <c r="BK150" i="8" a="1"/>
  <c r="BK258" i="8" a="1"/>
  <c r="BK57" i="8" a="1"/>
  <c r="BK144" i="8" a="1"/>
  <c r="BK252" i="8" a="1"/>
  <c r="BK111" i="8" a="1"/>
  <c r="BK255" i="8" a="1"/>
  <c r="BK327" i="8" a="1"/>
  <c r="BK90" i="8" a="1"/>
  <c r="BK114" i="8" a="1"/>
  <c r="BK240" i="8" a="1"/>
  <c r="BK87" i="8" a="1"/>
  <c r="BK109" i="8" a="1"/>
  <c r="BK127" i="8" a="1"/>
  <c r="BK163" i="8" a="1"/>
  <c r="BK235" i="8" a="1"/>
  <c r="BK63" i="8" a="1"/>
  <c r="BK201" i="8" a="1"/>
  <c r="BK297" i="8" a="1"/>
  <c r="BK93" i="8" a="1"/>
  <c r="BK204" i="8" a="1"/>
  <c r="BK299" i="8" a="1"/>
  <c r="BK115" i="8" a="1"/>
  <c r="BK39" i="8" a="1"/>
  <c r="BK225" i="8" a="1"/>
  <c r="BK169" i="8" a="1"/>
  <c r="BK300" i="8" a="1"/>
  <c r="BK171" i="8" a="1"/>
  <c r="BK96" i="8" a="1"/>
  <c r="BK99" i="8" a="1"/>
  <c r="BK189" i="8" a="1"/>
  <c r="BK311" i="8" a="1"/>
  <c r="BK205" i="8" a="1"/>
  <c r="BK151" i="8" a="1"/>
  <c r="BK223" i="8" a="1"/>
  <c r="BK165" i="8" a="1"/>
  <c r="BK291" i="8" a="1"/>
  <c r="BK72" i="8" a="1"/>
  <c r="BK241" i="8" a="1"/>
  <c r="BK75" i="8" a="1"/>
  <c r="BK243" i="8" a="1"/>
  <c r="BK301" i="8" a="1"/>
  <c r="BK187" i="8" a="1"/>
  <c r="BK117" i="8" a="1"/>
  <c r="BK261" i="8" a="1"/>
  <c r="BK312" i="8" a="1"/>
  <c r="BK276" i="8" a="1"/>
  <c r="BK321" i="8" a="1"/>
  <c r="BK153" i="8" a="1"/>
  <c r="BK259" i="8" a="1"/>
  <c r="BK135" i="8" a="1"/>
  <c r="BK207" i="8" a="1"/>
  <c r="BK277" i="8" a="1"/>
  <c r="BK289" i="8" a="1"/>
  <c r="BJ4" i="8" a="1"/>
  <c r="BJ5" i="8" a="1"/>
  <c r="BJ12" i="8" a="1"/>
  <c r="BJ18" i="8" a="1"/>
  <c r="BJ24" i="8" a="1"/>
  <c r="BJ30" i="8" a="1"/>
  <c r="BJ36" i="8" a="1"/>
  <c r="BJ42" i="8" a="1"/>
  <c r="BJ48" i="8" a="1"/>
  <c r="BJ54" i="8" a="1"/>
  <c r="BJ60" i="8" a="1"/>
  <c r="BJ66" i="8" a="1"/>
  <c r="BJ72" i="8" a="1"/>
  <c r="BJ78" i="8" a="1"/>
  <c r="BJ84" i="8" a="1"/>
  <c r="BJ90" i="8" a="1"/>
  <c r="BJ96" i="8" a="1"/>
  <c r="BJ102" i="8" a="1"/>
  <c r="BJ108" i="8" a="1"/>
  <c r="BJ114" i="8" a="1"/>
  <c r="BJ120" i="8" a="1"/>
  <c r="BJ126" i="8" a="1"/>
  <c r="BJ132" i="8" a="1"/>
  <c r="BJ138" i="8" a="1"/>
  <c r="BJ144" i="8" a="1"/>
  <c r="BJ150" i="8" a="1"/>
  <c r="BJ156" i="8" a="1"/>
  <c r="BJ162" i="8" a="1"/>
  <c r="BJ168" i="8" a="1"/>
  <c r="BJ174" i="8" a="1"/>
  <c r="BJ180" i="8" a="1"/>
  <c r="BJ186" i="8" a="1"/>
  <c r="BJ192" i="8" a="1"/>
  <c r="BJ198" i="8" a="1"/>
  <c r="BJ204" i="8" a="1"/>
  <c r="BJ210" i="8" a="1"/>
  <c r="BJ6" i="8" a="1"/>
  <c r="BJ7" i="8" a="1"/>
  <c r="BJ13" i="8" a="1"/>
  <c r="BJ19" i="8" a="1"/>
  <c r="BJ25" i="8" a="1"/>
  <c r="BJ31" i="8" a="1"/>
  <c r="BJ37" i="8" a="1"/>
  <c r="BJ43" i="8" a="1"/>
  <c r="BJ49" i="8" a="1"/>
  <c r="BJ55" i="8" a="1"/>
  <c r="BJ61" i="8" a="1"/>
  <c r="BJ67" i="8" a="1"/>
  <c r="BJ73" i="8" a="1"/>
  <c r="BJ79" i="8" a="1"/>
  <c r="BJ85" i="8" a="1"/>
  <c r="BJ91" i="8" a="1"/>
  <c r="BJ97" i="8" a="1"/>
  <c r="BJ103" i="8" a="1"/>
  <c r="BJ109" i="8" a="1"/>
  <c r="BJ115" i="8" a="1"/>
  <c r="BJ121" i="8" a="1"/>
  <c r="BJ127" i="8" a="1"/>
  <c r="BJ133" i="8" a="1"/>
  <c r="BJ139" i="8" a="1"/>
  <c r="BJ145" i="8" a="1"/>
  <c r="BJ151" i="8" a="1"/>
  <c r="BJ157" i="8" a="1"/>
  <c r="BJ163" i="8" a="1"/>
  <c r="BJ169" i="8" a="1"/>
  <c r="BJ175" i="8" a="1"/>
  <c r="BJ181" i="8" a="1"/>
  <c r="BJ187" i="8" a="1"/>
  <c r="BJ193" i="8" a="1"/>
  <c r="BJ199" i="8" a="1"/>
  <c r="BJ205" i="8" a="1"/>
  <c r="BJ211" i="8" a="1"/>
  <c r="BJ217" i="8" a="1"/>
  <c r="BJ223" i="8" a="1"/>
  <c r="BJ229" i="8" a="1"/>
  <c r="BJ235" i="8" a="1"/>
  <c r="BJ241" i="8" a="1"/>
  <c r="BJ247" i="8" a="1"/>
  <c r="BJ253" i="8" a="1"/>
  <c r="BJ259" i="8" a="1"/>
  <c r="BJ265" i="8" a="1"/>
  <c r="BJ271" i="8" a="1"/>
  <c r="BJ8" i="8" a="1"/>
  <c r="BJ99" i="8" a="1"/>
  <c r="BJ153" i="8" a="1"/>
  <c r="BJ159" i="8" a="1"/>
  <c r="BJ165" i="8" a="1"/>
  <c r="BJ177" i="8" a="1"/>
  <c r="BJ189" i="8" a="1"/>
  <c r="BJ201" i="8" a="1"/>
  <c r="BJ213" i="8" a="1"/>
  <c r="BJ225" i="8" a="1"/>
  <c r="BJ237" i="8" a="1"/>
  <c r="BJ249" i="8" a="1"/>
  <c r="BJ261" i="8" a="1"/>
  <c r="BJ273" i="8" a="1"/>
  <c r="BJ285" i="8" a="1"/>
  <c r="BJ291" i="8" a="1"/>
  <c r="BJ297" i="8" a="1"/>
  <c r="BJ309" i="8" a="1"/>
  <c r="BJ315" i="8" a="1"/>
  <c r="BJ327" i="8" a="1"/>
  <c r="BJ9" i="8" a="1"/>
  <c r="BJ15" i="8" a="1"/>
  <c r="BJ21" i="8" a="1"/>
  <c r="BJ27" i="8" a="1"/>
  <c r="BJ33" i="8" a="1"/>
  <c r="BJ39" i="8" a="1"/>
  <c r="BJ45" i="8" a="1"/>
  <c r="BJ51" i="8" a="1"/>
  <c r="BJ57" i="8" a="1"/>
  <c r="BJ63" i="8" a="1"/>
  <c r="BJ69" i="8" a="1"/>
  <c r="BJ75" i="8" a="1"/>
  <c r="BJ81" i="8" a="1"/>
  <c r="BJ87" i="8" a="1"/>
  <c r="BJ93" i="8" a="1"/>
  <c r="BJ105" i="8" a="1"/>
  <c r="BJ111" i="8" a="1"/>
  <c r="BJ117" i="8" a="1"/>
  <c r="BJ123" i="8" a="1"/>
  <c r="BJ129" i="8" a="1"/>
  <c r="BJ135" i="8" a="1"/>
  <c r="BJ141" i="8" a="1"/>
  <c r="BJ147" i="8" a="1"/>
  <c r="BJ171" i="8" a="1"/>
  <c r="BJ183" i="8" a="1"/>
  <c r="BJ195" i="8" a="1"/>
  <c r="BJ207" i="8" a="1"/>
  <c r="BJ219" i="8" a="1"/>
  <c r="BJ231" i="8" a="1"/>
  <c r="BJ243" i="8" a="1"/>
  <c r="BJ255" i="8" a="1"/>
  <c r="BJ267" i="8" a="1"/>
  <c r="BJ279" i="8" a="1"/>
  <c r="BJ303" i="8" a="1"/>
  <c r="BJ321" i="8" a="1"/>
  <c r="BJ20" i="8" a="1"/>
  <c r="BJ32" i="8" a="1"/>
  <c r="BJ44" i="8" a="1"/>
  <c r="BJ56" i="8" a="1"/>
  <c r="BJ68" i="8" a="1"/>
  <c r="BJ80" i="8" a="1"/>
  <c r="BJ92" i="8" a="1"/>
  <c r="BJ104" i="8" a="1"/>
  <c r="BJ116" i="8" a="1"/>
  <c r="BJ128" i="8" a="1"/>
  <c r="BJ140" i="8" a="1"/>
  <c r="BJ152" i="8" a="1"/>
  <c r="BJ164" i="8" a="1"/>
  <c r="BJ176" i="8" a="1"/>
  <c r="BJ188" i="8" a="1"/>
  <c r="BJ200" i="8" a="1"/>
  <c r="BJ212" i="8" a="1"/>
  <c r="BJ233" i="8" a="1"/>
  <c r="BJ242" i="8" a="1"/>
  <c r="BJ263" i="8" a="1"/>
  <c r="BJ272" i="8" a="1"/>
  <c r="BJ296" i="8" a="1"/>
  <c r="BJ320" i="8" a="1"/>
  <c r="BJ47" i="8" a="1"/>
  <c r="BJ95" i="8" a="1"/>
  <c r="BJ131" i="8" a="1"/>
  <c r="BJ167" i="8" a="1"/>
  <c r="BJ203" i="8" a="1"/>
  <c r="BJ256" i="8" a="1"/>
  <c r="BJ10" i="8" a="1"/>
  <c r="BJ22" i="8" a="1"/>
  <c r="BJ34" i="8" a="1"/>
  <c r="BJ46" i="8" a="1"/>
  <c r="BJ58" i="8" a="1"/>
  <c r="BJ70" i="8" a="1"/>
  <c r="BJ82" i="8" a="1"/>
  <c r="BJ94" i="8" a="1"/>
  <c r="BJ106" i="8" a="1"/>
  <c r="BJ118" i="8" a="1"/>
  <c r="BJ130" i="8" a="1"/>
  <c r="BJ142" i="8" a="1"/>
  <c r="BJ154" i="8" a="1"/>
  <c r="BJ166" i="8" a="1"/>
  <c r="BJ178" i="8" a="1"/>
  <c r="BJ190" i="8" a="1"/>
  <c r="BJ202" i="8" a="1"/>
  <c r="BJ214" i="8" a="1"/>
  <c r="BJ234" i="8" a="1"/>
  <c r="BJ244" i="8" a="1"/>
  <c r="BJ264" i="8" a="1"/>
  <c r="BJ281" i="8" a="1"/>
  <c r="BJ289" i="8" a="1"/>
  <c r="BJ305" i="8" a="1"/>
  <c r="BJ313" i="8" a="1"/>
  <c r="BJ35" i="8" a="1"/>
  <c r="BJ83" i="8" a="1"/>
  <c r="BJ119" i="8" a="1"/>
  <c r="BJ155" i="8" a="1"/>
  <c r="BJ191" i="8" a="1"/>
  <c r="BJ226" i="8" a="1"/>
  <c r="BJ314" i="8" a="1"/>
  <c r="BJ236" i="8" a="1"/>
  <c r="BJ266" i="8" a="1"/>
  <c r="BJ283" i="8" a="1"/>
  <c r="BJ307" i="8" a="1"/>
  <c r="BJ276" i="8" a="1"/>
  <c r="BJ292" i="8" a="1"/>
  <c r="BJ316" i="8" a="1"/>
  <c r="BJ62" i="8" a="1"/>
  <c r="BJ86" i="8" a="1"/>
  <c r="BJ122" i="8" a="1"/>
  <c r="BJ146" i="8" a="1"/>
  <c r="BJ170" i="8" a="1"/>
  <c r="BJ194" i="8" a="1"/>
  <c r="BJ228" i="8" a="1"/>
  <c r="BJ258" i="8" a="1"/>
  <c r="BJ284" i="8" a="1"/>
  <c r="BJ308" i="8" a="1"/>
  <c r="BJ52" i="8" a="1"/>
  <c r="BJ64" i="8" a="1"/>
  <c r="BJ88" i="8" a="1"/>
  <c r="BJ112" i="8" a="1"/>
  <c r="BJ136" i="8" a="1"/>
  <c r="BJ172" i="8" a="1"/>
  <c r="BJ196" i="8" a="1"/>
  <c r="BJ218" i="8" a="1"/>
  <c r="BJ277" i="8" a="1"/>
  <c r="BJ301" i="8" a="1"/>
  <c r="BJ325" i="8" a="1"/>
  <c r="BJ286" i="8" a="1"/>
  <c r="BJ310" i="8" a="1"/>
  <c r="BJ17" i="8" a="1"/>
  <c r="BJ77" i="8" a="1"/>
  <c r="BJ113" i="8" a="1"/>
  <c r="BJ224" i="8" a="1"/>
  <c r="BJ254" i="8" a="1"/>
  <c r="BJ274" i="8" a="1"/>
  <c r="BJ282" i="8" a="1"/>
  <c r="BJ298" i="8" a="1"/>
  <c r="BJ306" i="8" a="1"/>
  <c r="BJ322" i="8" a="1"/>
  <c r="BJ23" i="8" a="1"/>
  <c r="BJ71" i="8" a="1"/>
  <c r="BJ107" i="8" a="1"/>
  <c r="BJ143" i="8" a="1"/>
  <c r="BJ179" i="8" a="1"/>
  <c r="BJ215" i="8" a="1"/>
  <c r="BJ290" i="8" a="1"/>
  <c r="BJ216" i="8" a="1"/>
  <c r="BJ246" i="8" a="1"/>
  <c r="BJ275" i="8" a="1"/>
  <c r="BJ299" i="8" a="1"/>
  <c r="BJ227" i="8" a="1"/>
  <c r="BJ257" i="8" a="1"/>
  <c r="BJ300" i="8" a="1"/>
  <c r="BJ324" i="8" a="1"/>
  <c r="BJ74" i="8" a="1"/>
  <c r="BJ98" i="8" a="1"/>
  <c r="BJ134" i="8" a="1"/>
  <c r="BJ158" i="8" a="1"/>
  <c r="BJ182" i="8" a="1"/>
  <c r="BJ206" i="8" a="1"/>
  <c r="BJ238" i="8" a="1"/>
  <c r="BJ268" i="8" a="1"/>
  <c r="BJ40" i="8" a="1"/>
  <c r="BJ76" i="8" a="1"/>
  <c r="BJ100" i="8" a="1"/>
  <c r="BJ124" i="8" a="1"/>
  <c r="BJ148" i="8" a="1"/>
  <c r="BJ184" i="8" a="1"/>
  <c r="BJ208" i="8" a="1"/>
  <c r="BJ248" i="8" a="1"/>
  <c r="BJ293" i="8" a="1"/>
  <c r="BJ317" i="8" a="1"/>
  <c r="BJ220" i="8" a="1"/>
  <c r="BJ294" i="8" a="1"/>
  <c r="BJ318" i="8" a="1"/>
  <c r="BJ29" i="8" a="1"/>
  <c r="BJ89" i="8" a="1"/>
  <c r="BJ11" i="8" a="1"/>
  <c r="BJ59" i="8" a="1"/>
  <c r="BJ245" i="8" a="1"/>
  <c r="BJ16" i="8" a="1"/>
  <c r="BJ250" i="8" a="1"/>
  <c r="BJ53" i="8" a="1"/>
  <c r="BJ323" i="8" a="1"/>
  <c r="BJ160" i="8" a="1"/>
  <c r="BJ239" i="8" a="1"/>
  <c r="BJ65" i="8" a="1"/>
  <c r="BJ28" i="8" a="1"/>
  <c r="BJ269" i="8" a="1"/>
  <c r="BJ41" i="8" a="1"/>
  <c r="BJ14" i="8" a="1"/>
  <c r="BJ26" i="8" a="1"/>
  <c r="BJ38" i="8" a="1"/>
  <c r="BJ50" i="8" a="1"/>
  <c r="BJ110" i="8" a="1"/>
  <c r="BJ101" i="8" a="1"/>
  <c r="BJ304" i="8" a="1"/>
  <c r="BJ240" i="8" a="1"/>
  <c r="BJ278" i="8" a="1"/>
  <c r="BJ311" i="8" a="1"/>
  <c r="BJ312" i="8" a="1"/>
  <c r="BJ161" i="8" a="1"/>
  <c r="BJ287" i="8" a="1"/>
  <c r="BJ319" i="8" a="1"/>
  <c r="BJ252" i="8" a="1"/>
  <c r="BJ173" i="8" a="1"/>
  <c r="BJ326" i="8" a="1"/>
  <c r="BJ262" i="8" a="1"/>
  <c r="BJ222" i="8" a="1"/>
  <c r="BJ137" i="8" a="1"/>
  <c r="BJ230" i="8" a="1"/>
  <c r="BJ149" i="8" a="1"/>
  <c r="BJ197" i="8" a="1"/>
  <c r="BJ280" i="8" a="1"/>
  <c r="BJ209" i="8" a="1"/>
  <c r="BJ251" i="8" a="1"/>
  <c r="BJ288" i="8" a="1"/>
  <c r="BJ125" i="8" a="1"/>
  <c r="BJ260" i="8" a="1"/>
  <c r="BJ221" i="8" a="1"/>
  <c r="BJ295" i="8" a="1"/>
  <c r="BJ185" i="8" a="1"/>
  <c r="BJ270" i="8" a="1"/>
  <c r="BJ232" i="8" a="1"/>
  <c r="BJ302" i="8" a="1"/>
  <c r="BM3" i="8" a="1"/>
  <c r="BL3" i="8" a="1"/>
  <c r="BK3" i="8" a="1"/>
  <c r="BJ3" i="8" a="1"/>
  <c r="BD4" i="8" a="1"/>
  <c r="BD10" i="8" a="1"/>
  <c r="BD16" i="8" a="1"/>
  <c r="BD22" i="8" a="1"/>
  <c r="BD28" i="8" a="1"/>
  <c r="BD34" i="8" a="1"/>
  <c r="BD40" i="8" a="1"/>
  <c r="BD46" i="8" a="1"/>
  <c r="BD52" i="8" a="1"/>
  <c r="BD58" i="8" a="1"/>
  <c r="BD64" i="8" a="1"/>
  <c r="BD70" i="8" a="1"/>
  <c r="BD76" i="8" a="1"/>
  <c r="BD82" i="8" a="1"/>
  <c r="BD88" i="8" a="1"/>
  <c r="BD94" i="8" a="1"/>
  <c r="BD100" i="8" a="1"/>
  <c r="BD106" i="8" a="1"/>
  <c r="BD112" i="8" a="1"/>
  <c r="BD118" i="8" a="1"/>
  <c r="BD124" i="8" a="1"/>
  <c r="BD130" i="8" a="1"/>
  <c r="BD136" i="8" a="1"/>
  <c r="BD142" i="8" a="1"/>
  <c r="BD148" i="8" a="1"/>
  <c r="BD154" i="8" a="1"/>
  <c r="BD160" i="8" a="1"/>
  <c r="BD166" i="8" a="1"/>
  <c r="BD172" i="8" a="1"/>
  <c r="BD178" i="8" a="1"/>
  <c r="BD184" i="8" a="1"/>
  <c r="BD190" i="8" a="1"/>
  <c r="BD196" i="8" a="1"/>
  <c r="BD202" i="8" a="1"/>
  <c r="BD208" i="8" a="1"/>
  <c r="BD214" i="8" a="1"/>
  <c r="BD220" i="8" a="1"/>
  <c r="BD226" i="8" a="1"/>
  <c r="BD232" i="8" a="1"/>
  <c r="BD238" i="8" a="1"/>
  <c r="BD244" i="8" a="1"/>
  <c r="BD250" i="8" a="1"/>
  <c r="BD256" i="8" a="1"/>
  <c r="BD262" i="8" a="1"/>
  <c r="BD268" i="8" a="1"/>
  <c r="BD274" i="8" a="1"/>
  <c r="BD280" i="8" a="1"/>
  <c r="BD286" i="8" a="1"/>
  <c r="BD292" i="8" a="1"/>
  <c r="BD298" i="8" a="1"/>
  <c r="BD304" i="8" a="1"/>
  <c r="BD310" i="8" a="1"/>
  <c r="BD316" i="8" a="1"/>
  <c r="BD322" i="8" a="1"/>
  <c r="BD5" i="8" a="1"/>
  <c r="BD6" i="8" a="1"/>
  <c r="BD8" i="8" a="1"/>
  <c r="BD14" i="8" a="1"/>
  <c r="BD20" i="8" a="1"/>
  <c r="BD26" i="8" a="1"/>
  <c r="BD32" i="8" a="1"/>
  <c r="BD38" i="8" a="1"/>
  <c r="BD44" i="8" a="1"/>
  <c r="BD50" i="8" a="1"/>
  <c r="BD56" i="8" a="1"/>
  <c r="BD62" i="8" a="1"/>
  <c r="BD68" i="8" a="1"/>
  <c r="BD74" i="8" a="1"/>
  <c r="BD80" i="8" a="1"/>
  <c r="BD86" i="8" a="1"/>
  <c r="BD92" i="8" a="1"/>
  <c r="BD98" i="8" a="1"/>
  <c r="BD104" i="8" a="1"/>
  <c r="BD110" i="8" a="1"/>
  <c r="BD116" i="8" a="1"/>
  <c r="BD122" i="8" a="1"/>
  <c r="BD128" i="8" a="1"/>
  <c r="BD134" i="8" a="1"/>
  <c r="BD140" i="8" a="1"/>
  <c r="BD146" i="8" a="1"/>
  <c r="BD152" i="8" a="1"/>
  <c r="BD158" i="8" a="1"/>
  <c r="BD164" i="8" a="1"/>
  <c r="BD170" i="8" a="1"/>
  <c r="BD176" i="8" a="1"/>
  <c r="BD182" i="8" a="1"/>
  <c r="BD188" i="8" a="1"/>
  <c r="BD194" i="8" a="1"/>
  <c r="BD200" i="8" a="1"/>
  <c r="BD206" i="8" a="1"/>
  <c r="BD212" i="8" a="1"/>
  <c r="BD218" i="8" a="1"/>
  <c r="BD224" i="8" a="1"/>
  <c r="BD230" i="8" a="1"/>
  <c r="BD236" i="8" a="1"/>
  <c r="BD242" i="8" a="1"/>
  <c r="BD248" i="8" a="1"/>
  <c r="BD254" i="8" a="1"/>
  <c r="BD260" i="8" a="1"/>
  <c r="BD266" i="8" a="1"/>
  <c r="BD272" i="8" a="1"/>
  <c r="BD278" i="8" a="1"/>
  <c r="BD284" i="8" a="1"/>
  <c r="BD290" i="8" a="1"/>
  <c r="BD296" i="8" a="1"/>
  <c r="BD302" i="8" a="1"/>
  <c r="BD311" i="8" a="1"/>
  <c r="BD318" i="8" a="1"/>
  <c r="BD325" i="8" a="1"/>
  <c r="BD197" i="8" a="1"/>
  <c r="BD215" i="8" a="1"/>
  <c r="BD233" i="8" a="1"/>
  <c r="BD251" i="8" a="1"/>
  <c r="BD269" i="8" a="1"/>
  <c r="BD287" i="8" a="1"/>
  <c r="BD63" i="8" a="1"/>
  <c r="BD99" i="8" a="1"/>
  <c r="BD135" i="8" a="1"/>
  <c r="BD162" i="8" a="1"/>
  <c r="BD180" i="8" a="1"/>
  <c r="BD207" i="8" a="1"/>
  <c r="BD243" i="8" a="1"/>
  <c r="BD279" i="8" a="1"/>
  <c r="BD297" i="8" a="1"/>
  <c r="BD313" i="8" a="1"/>
  <c r="BD29" i="8" a="1"/>
  <c r="BD73" i="8" a="1"/>
  <c r="BD101" i="8" a="1"/>
  <c r="BD127" i="8" a="1"/>
  <c r="BD163" i="8" a="1"/>
  <c r="BD199" i="8" a="1"/>
  <c r="BD227" i="8" a="1"/>
  <c r="BD245" i="8" a="1"/>
  <c r="BD271" i="8" a="1"/>
  <c r="BD21" i="8" a="1"/>
  <c r="BD66" i="8" a="1"/>
  <c r="BD102" i="8" a="1"/>
  <c r="BD138" i="8" a="1"/>
  <c r="BD156" i="8" a="1"/>
  <c r="BD192" i="8" a="1"/>
  <c r="BD228" i="8" a="1"/>
  <c r="BD264" i="8" a="1"/>
  <c r="BD291" i="8" a="1"/>
  <c r="BD13" i="8" a="1"/>
  <c r="BD41" i="8" a="1"/>
  <c r="BD7" i="8" a="1"/>
  <c r="BD17" i="8" a="1"/>
  <c r="BD25" i="8" a="1"/>
  <c r="BD35" i="8" a="1"/>
  <c r="BD43" i="8" a="1"/>
  <c r="BD53" i="8" a="1"/>
  <c r="BD61" i="8" a="1"/>
  <c r="BD71" i="8" a="1"/>
  <c r="BD79" i="8" a="1"/>
  <c r="BD89" i="8" a="1"/>
  <c r="BD97" i="8" a="1"/>
  <c r="BD107" i="8" a="1"/>
  <c r="BD115" i="8" a="1"/>
  <c r="BD125" i="8" a="1"/>
  <c r="BD133" i="8" a="1"/>
  <c r="BD143" i="8" a="1"/>
  <c r="BD151" i="8" a="1"/>
  <c r="BD161" i="8" a="1"/>
  <c r="BD169" i="8" a="1"/>
  <c r="BD179" i="8" a="1"/>
  <c r="BD187" i="8" a="1"/>
  <c r="BD205" i="8" a="1"/>
  <c r="BD223" i="8" a="1"/>
  <c r="BD241" i="8" a="1"/>
  <c r="BD259" i="8" a="1"/>
  <c r="BD277" i="8" a="1"/>
  <c r="BD295" i="8" a="1"/>
  <c r="BD81" i="8" a="1"/>
  <c r="BD126" i="8" a="1"/>
  <c r="BD153" i="8" a="1"/>
  <c r="BD189" i="8" a="1"/>
  <c r="BD216" i="8" a="1"/>
  <c r="BD234" i="8" a="1"/>
  <c r="BD270" i="8" a="1"/>
  <c r="BD327" i="8" a="1"/>
  <c r="BD306" i="8" a="1"/>
  <c r="BD37" i="8" a="1"/>
  <c r="BD119" i="8" a="1"/>
  <c r="BD173" i="8" a="1"/>
  <c r="BD191" i="8" a="1"/>
  <c r="BD217" i="8" a="1"/>
  <c r="BD253" i="8" a="1"/>
  <c r="BD281" i="8" a="1"/>
  <c r="BD321" i="8" a="1"/>
  <c r="BD314" i="8" a="1"/>
  <c r="BD30" i="8" a="1"/>
  <c r="BD48" i="8" a="1"/>
  <c r="BD75" i="8" a="1"/>
  <c r="BD111" i="8" a="1"/>
  <c r="BD147" i="8" a="1"/>
  <c r="BD174" i="8" a="1"/>
  <c r="BD210" i="8" a="1"/>
  <c r="BD237" i="8" a="1"/>
  <c r="BD273" i="8" a="1"/>
  <c r="BD300" i="8" a="1"/>
  <c r="BD308" i="8" a="1"/>
  <c r="BD23" i="8" a="1"/>
  <c r="BD67" i="8" a="1"/>
  <c r="BD305" i="8" a="1"/>
  <c r="BD312" i="8" a="1"/>
  <c r="BD319" i="8" a="1"/>
  <c r="BD326" i="8" a="1"/>
  <c r="BD18" i="8" a="1"/>
  <c r="BD27" i="8" a="1"/>
  <c r="BD36" i="8" a="1"/>
  <c r="BD45" i="8" a="1"/>
  <c r="BD54" i="8" a="1"/>
  <c r="BD72" i="8" a="1"/>
  <c r="BD90" i="8" a="1"/>
  <c r="BD117" i="8" a="1"/>
  <c r="BD144" i="8" a="1"/>
  <c r="BD171" i="8" a="1"/>
  <c r="BD198" i="8" a="1"/>
  <c r="BD225" i="8" a="1"/>
  <c r="BD261" i="8" a="1"/>
  <c r="BD288" i="8" a="1"/>
  <c r="BD47" i="8" a="1"/>
  <c r="BD65" i="8" a="1"/>
  <c r="BD91" i="8" a="1"/>
  <c r="BD109" i="8" a="1"/>
  <c r="BD137" i="8" a="1"/>
  <c r="BD155" i="8" a="1"/>
  <c r="BD181" i="8" a="1"/>
  <c r="BD209" i="8" a="1"/>
  <c r="BD235" i="8" a="1"/>
  <c r="BD263" i="8" a="1"/>
  <c r="BD299" i="8" a="1"/>
  <c r="BD12" i="8" a="1"/>
  <c r="BD57" i="8" a="1"/>
  <c r="BD93" i="8" a="1"/>
  <c r="BD129" i="8" a="1"/>
  <c r="BD165" i="8" a="1"/>
  <c r="BD201" i="8" a="1"/>
  <c r="BD246" i="8" a="1"/>
  <c r="BD282" i="8" a="1"/>
  <c r="BD315" i="8" a="1"/>
  <c r="BD323" i="8" a="1"/>
  <c r="BD31" i="8" a="1"/>
  <c r="BD9" i="8" a="1"/>
  <c r="BD108" i="8" a="1"/>
  <c r="BD252" i="8" a="1"/>
  <c r="BD289" i="8" a="1"/>
  <c r="BD84" i="8" a="1"/>
  <c r="BD219" i="8" a="1"/>
  <c r="BD320" i="8" a="1"/>
  <c r="BD307" i="8" a="1"/>
  <c r="BD120" i="8" a="1"/>
  <c r="BD255" i="8" a="1"/>
  <c r="BD11" i="8" a="1"/>
  <c r="BD19" i="8" a="1"/>
  <c r="BD55" i="8" a="1"/>
  <c r="BD83" i="8" a="1"/>
  <c r="BD145" i="8" a="1"/>
  <c r="BD39" i="8" a="1"/>
  <c r="BD183" i="8" a="1"/>
  <c r="BD96" i="8" a="1"/>
  <c r="BD132" i="8" a="1"/>
  <c r="BD168" i="8" a="1"/>
  <c r="BD204" i="8" a="1"/>
  <c r="BD240" i="8" a="1"/>
  <c r="BD276" i="8" a="1"/>
  <c r="BD221" i="8" a="1"/>
  <c r="BD324" i="8" a="1"/>
  <c r="BD78" i="8" a="1"/>
  <c r="BD222" i="8" a="1"/>
  <c r="BD42" i="8" a="1"/>
  <c r="BD157" i="8" a="1"/>
  <c r="BD265" i="8" a="1"/>
  <c r="BD123" i="8" a="1"/>
  <c r="BD267" i="8" a="1"/>
  <c r="BD51" i="8" a="1"/>
  <c r="BD275" i="8" a="1"/>
  <c r="BD15" i="8" a="1"/>
  <c r="BD60" i="8" a="1"/>
  <c r="BD103" i="8" a="1"/>
  <c r="BD139" i="8" a="1"/>
  <c r="BD175" i="8" a="1"/>
  <c r="BD211" i="8" a="1"/>
  <c r="BD247" i="8" a="1"/>
  <c r="BD283" i="8" a="1"/>
  <c r="BD113" i="8" a="1"/>
  <c r="BD257" i="8" a="1"/>
  <c r="BD33" i="8" a="1"/>
  <c r="BD114" i="8" a="1"/>
  <c r="BD258" i="8" a="1"/>
  <c r="BD85" i="8" a="1"/>
  <c r="BD193" i="8" a="1"/>
  <c r="BD301" i="8" a="1"/>
  <c r="BD231" i="8" a="1"/>
  <c r="BD95" i="8" a="1"/>
  <c r="BD309" i="8" a="1"/>
  <c r="BD317" i="8" a="1"/>
  <c r="BD69" i="8" a="1"/>
  <c r="BD249" i="8" a="1"/>
  <c r="BD149" i="8" a="1"/>
  <c r="BD186" i="8" a="1"/>
  <c r="BD87" i="8" a="1"/>
  <c r="BD303" i="8" a="1"/>
  <c r="BD239" i="8" a="1"/>
  <c r="BD24" i="8" a="1"/>
  <c r="BD105" i="8" a="1"/>
  <c r="BD141" i="8" a="1"/>
  <c r="BD177" i="8" a="1"/>
  <c r="BD213" i="8" a="1"/>
  <c r="BD285" i="8" a="1"/>
  <c r="BD77" i="8" a="1"/>
  <c r="BD293" i="8" a="1"/>
  <c r="BD150" i="8" a="1"/>
  <c r="BD294" i="8" a="1"/>
  <c r="BD121" i="8" a="1"/>
  <c r="BD229" i="8" a="1"/>
  <c r="BD49" i="8" a="1"/>
  <c r="BD195" i="8" a="1"/>
  <c r="BD131" i="8" a="1"/>
  <c r="BD59" i="8" a="1"/>
  <c r="BD185" i="8" a="1"/>
  <c r="BD159" i="8" a="1"/>
  <c r="BD167" i="8" a="1"/>
  <c r="BD203" i="8" a="1"/>
  <c r="BC4" i="8" a="1"/>
  <c r="BC10" i="8" a="1"/>
  <c r="BC16" i="8" a="1"/>
  <c r="BC22" i="8" a="1"/>
  <c r="BC28" i="8" a="1"/>
  <c r="BC34" i="8" a="1"/>
  <c r="BC40" i="8" a="1"/>
  <c r="BC46" i="8" a="1"/>
  <c r="BC52" i="8" a="1"/>
  <c r="BC58" i="8" a="1"/>
  <c r="BC64" i="8" a="1"/>
  <c r="BC70" i="8" a="1"/>
  <c r="BC76" i="8" a="1"/>
  <c r="BC82" i="8" a="1"/>
  <c r="BC88" i="8" a="1"/>
  <c r="BC94" i="8" a="1"/>
  <c r="BC100" i="8" a="1"/>
  <c r="BC106" i="8" a="1"/>
  <c r="BC112" i="8" a="1"/>
  <c r="BC118" i="8" a="1"/>
  <c r="BC124" i="8" a="1"/>
  <c r="BC130" i="8" a="1"/>
  <c r="BC136" i="8" a="1"/>
  <c r="BC142" i="8" a="1"/>
  <c r="BC148" i="8" a="1"/>
  <c r="BC154" i="8" a="1"/>
  <c r="BC160" i="8" a="1"/>
  <c r="BC166" i="8" a="1"/>
  <c r="BC172" i="8" a="1"/>
  <c r="BC178" i="8" a="1"/>
  <c r="BC184" i="8" a="1"/>
  <c r="BC190" i="8" a="1"/>
  <c r="BC196" i="8" a="1"/>
  <c r="BC202" i="8" a="1"/>
  <c r="BC208" i="8" a="1"/>
  <c r="BC214" i="8" a="1"/>
  <c r="BC220" i="8" a="1"/>
  <c r="BC226" i="8" a="1"/>
  <c r="BC232" i="8" a="1"/>
  <c r="BC238" i="8" a="1"/>
  <c r="BC244" i="8" a="1"/>
  <c r="BC250" i="8" a="1"/>
  <c r="BC256" i="8" a="1"/>
  <c r="BC262" i="8" a="1"/>
  <c r="BC268" i="8" a="1"/>
  <c r="BC274" i="8" a="1"/>
  <c r="BC280" i="8" a="1"/>
  <c r="BC286" i="8" a="1"/>
  <c r="BC292" i="8" a="1"/>
  <c r="BC298" i="8" a="1"/>
  <c r="BC304" i="8" a="1"/>
  <c r="BC310" i="8" a="1"/>
  <c r="BC316" i="8" a="1"/>
  <c r="BC322" i="8" a="1"/>
  <c r="BC18" i="8" a="1"/>
  <c r="BC36" i="8" a="1"/>
  <c r="BC54" i="8" a="1"/>
  <c r="BC72" i="8" a="1"/>
  <c r="BC84" i="8" a="1"/>
  <c r="BC102" i="8" a="1"/>
  <c r="BC120" i="8" a="1"/>
  <c r="BC138" i="8" a="1"/>
  <c r="BC156" i="8" a="1"/>
  <c r="BC180" i="8" a="1"/>
  <c r="BC198" i="8" a="1"/>
  <c r="BC216" i="8" a="1"/>
  <c r="BC234" i="8" a="1"/>
  <c r="BC252" i="8" a="1"/>
  <c r="BC270" i="8" a="1"/>
  <c r="BC288" i="8" a="1"/>
  <c r="BC251" i="8" a="1"/>
  <c r="BC293" i="8" a="1"/>
  <c r="BC305" i="8" a="1"/>
  <c r="BC317" i="8" a="1"/>
  <c r="BC12" i="8" a="1"/>
  <c r="BC30" i="8" a="1"/>
  <c r="BC48" i="8" a="1"/>
  <c r="BC66" i="8" a="1"/>
  <c r="BC90" i="8" a="1"/>
  <c r="BC108" i="8" a="1"/>
  <c r="BC126" i="8" a="1"/>
  <c r="BC144" i="8" a="1"/>
  <c r="BC162" i="8" a="1"/>
  <c r="BC174" i="8" a="1"/>
  <c r="BC192" i="8" a="1"/>
  <c r="BC210" i="8" a="1"/>
  <c r="BC228" i="8" a="1"/>
  <c r="BC246" i="8" a="1"/>
  <c r="BC264" i="8" a="1"/>
  <c r="BC5" i="8" a="1"/>
  <c r="BC11" i="8" a="1"/>
  <c r="BC17" i="8" a="1"/>
  <c r="BC23" i="8" a="1"/>
  <c r="BC29" i="8" a="1"/>
  <c r="BC35" i="8" a="1"/>
  <c r="BC41" i="8" a="1"/>
  <c r="BC47" i="8" a="1"/>
  <c r="BC53" i="8" a="1"/>
  <c r="BC59" i="8" a="1"/>
  <c r="BC65" i="8" a="1"/>
  <c r="BC71" i="8" a="1"/>
  <c r="BC77" i="8" a="1"/>
  <c r="BC83" i="8" a="1"/>
  <c r="BC89" i="8" a="1"/>
  <c r="BC95" i="8" a="1"/>
  <c r="BC101" i="8" a="1"/>
  <c r="BC107" i="8" a="1"/>
  <c r="BC113" i="8" a="1"/>
  <c r="BC119" i="8" a="1"/>
  <c r="BC125" i="8" a="1"/>
  <c r="BC131" i="8" a="1"/>
  <c r="BC137" i="8" a="1"/>
  <c r="BC143" i="8" a="1"/>
  <c r="BC149" i="8" a="1"/>
  <c r="BC155" i="8" a="1"/>
  <c r="BC161" i="8" a="1"/>
  <c r="BC167" i="8" a="1"/>
  <c r="BC173" i="8" a="1"/>
  <c r="BC179" i="8" a="1"/>
  <c r="BC185" i="8" a="1"/>
  <c r="BC191" i="8" a="1"/>
  <c r="BC197" i="8" a="1"/>
  <c r="BC203" i="8" a="1"/>
  <c r="BC209" i="8" a="1"/>
  <c r="BC215" i="8" a="1"/>
  <c r="BC221" i="8" a="1"/>
  <c r="BC227" i="8" a="1"/>
  <c r="BC233" i="8" a="1"/>
  <c r="BC239" i="8" a="1"/>
  <c r="BC245" i="8" a="1"/>
  <c r="BC257" i="8" a="1"/>
  <c r="BC263" i="8" a="1"/>
  <c r="BC269" i="8" a="1"/>
  <c r="BC275" i="8" a="1"/>
  <c r="BC281" i="8" a="1"/>
  <c r="BC287" i="8" a="1"/>
  <c r="BC299" i="8" a="1"/>
  <c r="BC311" i="8" a="1"/>
  <c r="BC323" i="8" a="1"/>
  <c r="BC24" i="8" a="1"/>
  <c r="BC42" i="8" a="1"/>
  <c r="BC60" i="8" a="1"/>
  <c r="BC78" i="8" a="1"/>
  <c r="BC96" i="8" a="1"/>
  <c r="BC114" i="8" a="1"/>
  <c r="BC132" i="8" a="1"/>
  <c r="BC150" i="8" a="1"/>
  <c r="BC168" i="8" a="1"/>
  <c r="BC186" i="8" a="1"/>
  <c r="BC204" i="8" a="1"/>
  <c r="BC222" i="8" a="1"/>
  <c r="BC240" i="8" a="1"/>
  <c r="BC258" i="8" a="1"/>
  <c r="BC276" i="8" a="1"/>
  <c r="BC294" i="8" a="1"/>
  <c r="BC6" i="8" a="1"/>
  <c r="BC9" i="8" a="1"/>
  <c r="BC7" i="8" a="1"/>
  <c r="BC27" i="8" a="1"/>
  <c r="BC38" i="8" a="1"/>
  <c r="BC49" i="8" a="1"/>
  <c r="BC99" i="8" a="1"/>
  <c r="BC110" i="8" a="1"/>
  <c r="BC121" i="8" a="1"/>
  <c r="BC171" i="8" a="1"/>
  <c r="BC182" i="8" a="1"/>
  <c r="BC193" i="8" a="1"/>
  <c r="BC243" i="8" a="1"/>
  <c r="BC254" i="8" a="1"/>
  <c r="BC265" i="8" a="1"/>
  <c r="BC284" i="8" a="1"/>
  <c r="BC295" i="8" a="1"/>
  <c r="BC303" i="8" a="1"/>
  <c r="BC313" i="8" a="1"/>
  <c r="BC321" i="8" a="1"/>
  <c r="BC324" i="8" a="1"/>
  <c r="BC32" i="8" a="1"/>
  <c r="BC199" i="8" a="1"/>
  <c r="BC249" i="8" a="1"/>
  <c r="BC97" i="8" a="1"/>
  <c r="BC319" i="8" a="1"/>
  <c r="BC109" i="8" a="1"/>
  <c r="BC159" i="8" a="1"/>
  <c r="BC283" i="8" a="1"/>
  <c r="BC19" i="8" a="1"/>
  <c r="BC69" i="8" a="1"/>
  <c r="BC80" i="8" a="1"/>
  <c r="BC91" i="8" a="1"/>
  <c r="BC141" i="8" a="1"/>
  <c r="BC152" i="8" a="1"/>
  <c r="BC163" i="8" a="1"/>
  <c r="BC213" i="8" a="1"/>
  <c r="BC224" i="8" a="1"/>
  <c r="BC235" i="8" a="1"/>
  <c r="BC315" i="8" a="1"/>
  <c r="BC93" i="8" a="1"/>
  <c r="BC165" i="8" a="1"/>
  <c r="BC259" i="8" a="1"/>
  <c r="BC63" i="8" a="1"/>
  <c r="BC135" i="8" a="1"/>
  <c r="BC229" i="8" a="1"/>
  <c r="BC318" i="8" a="1"/>
  <c r="BC44" i="8" a="1"/>
  <c r="BC177" i="8" a="1"/>
  <c r="BC260" i="8" a="1"/>
  <c r="BC14" i="8" a="1"/>
  <c r="BC147" i="8" a="1"/>
  <c r="BC230" i="8" a="1"/>
  <c r="BC282" i="8" a="1"/>
  <c r="BC26" i="8" a="1"/>
  <c r="BC302" i="8" a="1"/>
  <c r="BC79" i="8" a="1"/>
  <c r="BC8" i="8" a="1"/>
  <c r="BC39" i="8" a="1"/>
  <c r="BC50" i="8" a="1"/>
  <c r="BC61" i="8" a="1"/>
  <c r="BC111" i="8" a="1"/>
  <c r="BC122" i="8" a="1"/>
  <c r="BC133" i="8" a="1"/>
  <c r="BC183" i="8" a="1"/>
  <c r="BC194" i="8" a="1"/>
  <c r="BC205" i="8" a="1"/>
  <c r="BC255" i="8" a="1"/>
  <c r="BC266" i="8" a="1"/>
  <c r="BC277" i="8" a="1"/>
  <c r="BC285" i="8" a="1"/>
  <c r="BC296" i="8" a="1"/>
  <c r="BC306" i="8" a="1"/>
  <c r="BC314" i="8" a="1"/>
  <c r="BC43" i="8" a="1"/>
  <c r="BC176" i="8" a="1"/>
  <c r="BC289" i="8" a="1"/>
  <c r="BC157" i="8" a="1"/>
  <c r="BC218" i="8" a="1"/>
  <c r="BC308" i="8" a="1"/>
  <c r="BC33" i="8" a="1"/>
  <c r="BC105" i="8" a="1"/>
  <c r="BC271" i="8" a="1"/>
  <c r="BC158" i="8" a="1"/>
  <c r="BC301" i="8" a="1"/>
  <c r="BC37" i="8" a="1"/>
  <c r="BC242" i="8" a="1"/>
  <c r="BC129" i="8" a="1"/>
  <c r="BC201" i="8" a="1"/>
  <c r="BC20" i="8" a="1"/>
  <c r="BC31" i="8" a="1"/>
  <c r="BC81" i="8" a="1"/>
  <c r="BC92" i="8" a="1"/>
  <c r="BC103" i="8" a="1"/>
  <c r="BC153" i="8" a="1"/>
  <c r="BC164" i="8" a="1"/>
  <c r="BC175" i="8" a="1"/>
  <c r="BC225" i="8" a="1"/>
  <c r="BC236" i="8" a="1"/>
  <c r="BC247" i="8" a="1"/>
  <c r="BC325" i="8" a="1"/>
  <c r="BC115" i="8" a="1"/>
  <c r="BC237" i="8" a="1"/>
  <c r="BC74" i="8" a="1"/>
  <c r="BC146" i="8" a="1"/>
  <c r="BC300" i="8" a="1"/>
  <c r="BC116" i="8" a="1"/>
  <c r="BC188" i="8" a="1"/>
  <c r="BC290" i="8" a="1"/>
  <c r="BC75" i="8" a="1"/>
  <c r="BC169" i="8" a="1"/>
  <c r="BC241" i="8" a="1"/>
  <c r="BC327" i="8" a="1"/>
  <c r="BC181" i="8" a="1"/>
  <c r="BC312" i="8" a="1"/>
  <c r="BC68" i="8" a="1"/>
  <c r="BC151" i="8" a="1"/>
  <c r="BC212" i="8" a="1"/>
  <c r="BC273" i="8" a="1"/>
  <c r="BC51" i="8" a="1"/>
  <c r="BC62" i="8" a="1"/>
  <c r="BC73" i="8" a="1"/>
  <c r="BC123" i="8" a="1"/>
  <c r="BC134" i="8" a="1"/>
  <c r="BC145" i="8" a="1"/>
  <c r="BC195" i="8" a="1"/>
  <c r="BC206" i="8" a="1"/>
  <c r="BC217" i="8" a="1"/>
  <c r="BC267" i="8" a="1"/>
  <c r="BC278" i="8" a="1"/>
  <c r="BC297" i="8" a="1"/>
  <c r="BC307" i="8" a="1"/>
  <c r="BC104" i="8" a="1"/>
  <c r="BC187" i="8" a="1"/>
  <c r="BC248" i="8" a="1"/>
  <c r="BC85" i="8" a="1"/>
  <c r="BC207" i="8" a="1"/>
  <c r="BC279" i="8" a="1"/>
  <c r="BC326" i="8" a="1"/>
  <c r="BC55" i="8" a="1"/>
  <c r="BC127" i="8" a="1"/>
  <c r="BC25" i="8" a="1"/>
  <c r="BC86" i="8" a="1"/>
  <c r="BC219" i="8" a="1"/>
  <c r="BC309" i="8" a="1"/>
  <c r="BC87" i="8" a="1"/>
  <c r="BC253" i="8" a="1"/>
  <c r="BC57" i="8" a="1"/>
  <c r="BC140" i="8" a="1"/>
  <c r="BC223" i="8" a="1"/>
  <c r="BC21" i="8" a="1"/>
  <c r="BC13" i="8" a="1"/>
  <c r="BC45" i="8" a="1"/>
  <c r="BC56" i="8" a="1"/>
  <c r="BC67" i="8" a="1"/>
  <c r="BC117" i="8" a="1"/>
  <c r="BC128" i="8" a="1"/>
  <c r="BC139" i="8" a="1"/>
  <c r="BC189" i="8" a="1"/>
  <c r="BC200" i="8" a="1"/>
  <c r="BC211" i="8" a="1"/>
  <c r="BC261" i="8" a="1"/>
  <c r="BC272" i="8" a="1"/>
  <c r="BC291" i="8" a="1"/>
  <c r="BC15" i="8" a="1"/>
  <c r="BC98" i="8" a="1"/>
  <c r="BC170" i="8" a="1"/>
  <c r="BC231" i="8" a="1"/>
  <c r="BC320" i="8" a="1"/>
  <c r="BB4" i="8" a="1"/>
  <c r="BB10" i="8" a="1"/>
  <c r="BB16" i="8" a="1"/>
  <c r="BB22" i="8" a="1"/>
  <c r="BB28" i="8" a="1"/>
  <c r="BB34" i="8" a="1"/>
  <c r="BB40" i="8" a="1"/>
  <c r="BB46" i="8" a="1"/>
  <c r="BB52" i="8" a="1"/>
  <c r="BB58" i="8" a="1"/>
  <c r="BB64" i="8" a="1"/>
  <c r="BB70" i="8" a="1"/>
  <c r="BB76" i="8" a="1"/>
  <c r="BB82" i="8" a="1"/>
  <c r="BB88" i="8" a="1"/>
  <c r="BB94" i="8" a="1"/>
  <c r="BB100" i="8" a="1"/>
  <c r="BB106" i="8" a="1"/>
  <c r="BB112" i="8" a="1"/>
  <c r="BB118" i="8" a="1"/>
  <c r="BB124" i="8" a="1"/>
  <c r="BB130" i="8" a="1"/>
  <c r="BB136" i="8" a="1"/>
  <c r="BB142" i="8" a="1"/>
  <c r="BB148" i="8" a="1"/>
  <c r="BB154" i="8" a="1"/>
  <c r="BB160" i="8" a="1"/>
  <c r="BB166" i="8" a="1"/>
  <c r="BB172" i="8" a="1"/>
  <c r="BB178" i="8" a="1"/>
  <c r="BB184" i="8" a="1"/>
  <c r="BB190" i="8" a="1"/>
  <c r="BB196" i="8" a="1"/>
  <c r="BB202" i="8" a="1"/>
  <c r="BB208" i="8" a="1"/>
  <c r="BB214" i="8" a="1"/>
  <c r="BB220" i="8" a="1"/>
  <c r="BB226" i="8" a="1"/>
  <c r="BB232" i="8" a="1"/>
  <c r="BB238" i="8" a="1"/>
  <c r="BB244" i="8" a="1"/>
  <c r="BB250" i="8" a="1"/>
  <c r="BB256" i="8" a="1"/>
  <c r="BB262" i="8" a="1"/>
  <c r="BB268" i="8" a="1"/>
  <c r="BB274" i="8" a="1"/>
  <c r="BB280" i="8" a="1"/>
  <c r="BB286" i="8" a="1"/>
  <c r="BB292" i="8" a="1"/>
  <c r="BB298" i="8" a="1"/>
  <c r="BB304" i="8" a="1"/>
  <c r="BB310" i="8" a="1"/>
  <c r="BB316" i="8" a="1"/>
  <c r="BB322" i="8" a="1"/>
  <c r="BB41" i="8" a="1"/>
  <c r="BB89" i="8" a="1"/>
  <c r="BB107" i="8" a="1"/>
  <c r="BB119" i="8" a="1"/>
  <c r="BB131" i="8" a="1"/>
  <c r="BB143" i="8" a="1"/>
  <c r="BB155" i="8" a="1"/>
  <c r="BB167" i="8" a="1"/>
  <c r="BB173" i="8" a="1"/>
  <c r="BB185" i="8" a="1"/>
  <c r="BB191" i="8" a="1"/>
  <c r="BB203" i="8" a="1"/>
  <c r="BB209" i="8" a="1"/>
  <c r="BB221" i="8" a="1"/>
  <c r="BB227" i="8" a="1"/>
  <c r="BB239" i="8" a="1"/>
  <c r="BB245" i="8" a="1"/>
  <c r="BB257" i="8" a="1"/>
  <c r="BB269" i="8" a="1"/>
  <c r="BB281" i="8" a="1"/>
  <c r="BB293" i="8" a="1"/>
  <c r="BB299" i="8" a="1"/>
  <c r="BB311" i="8" a="1"/>
  <c r="BB317" i="8" a="1"/>
  <c r="BB5" i="8" a="1"/>
  <c r="BB11" i="8" a="1"/>
  <c r="BB17" i="8" a="1"/>
  <c r="BB23" i="8" a="1"/>
  <c r="BB29" i="8" a="1"/>
  <c r="BB35" i="8" a="1"/>
  <c r="BB47" i="8" a="1"/>
  <c r="BB53" i="8" a="1"/>
  <c r="BB59" i="8" a="1"/>
  <c r="BB65" i="8" a="1"/>
  <c r="BB71" i="8" a="1"/>
  <c r="BB77" i="8" a="1"/>
  <c r="BB83" i="8" a="1"/>
  <c r="BB95" i="8" a="1"/>
  <c r="BB101" i="8" a="1"/>
  <c r="BB113" i="8" a="1"/>
  <c r="BB125" i="8" a="1"/>
  <c r="BB137" i="8" a="1"/>
  <c r="BB149" i="8" a="1"/>
  <c r="BB161" i="8" a="1"/>
  <c r="BB179" i="8" a="1"/>
  <c r="BB197" i="8" a="1"/>
  <c r="BB215" i="8" a="1"/>
  <c r="BB233" i="8" a="1"/>
  <c r="BB251" i="8" a="1"/>
  <c r="BB263" i="8" a="1"/>
  <c r="BB275" i="8" a="1"/>
  <c r="BB287" i="8" a="1"/>
  <c r="BB305" i="8" a="1"/>
  <c r="BB323" i="8" a="1"/>
  <c r="BB6" i="8" a="1"/>
  <c r="BB15" i="8" a="1"/>
  <c r="BB25" i="8" a="1"/>
  <c r="BB33" i="8" a="1"/>
  <c r="BB43" i="8" a="1"/>
  <c r="BB51" i="8" a="1"/>
  <c r="BB61" i="8" a="1"/>
  <c r="BB69" i="8" a="1"/>
  <c r="BB79" i="8" a="1"/>
  <c r="BB87" i="8" a="1"/>
  <c r="BB97" i="8" a="1"/>
  <c r="BB105" i="8" a="1"/>
  <c r="BB122" i="8" a="1"/>
  <c r="BB146" i="8" a="1"/>
  <c r="BB170" i="8" a="1"/>
  <c r="BB194" i="8" a="1"/>
  <c r="BB218" i="8" a="1"/>
  <c r="BB242" i="8" a="1"/>
  <c r="BB266" i="8" a="1"/>
  <c r="BB290" i="8" a="1"/>
  <c r="BB314" i="8" a="1"/>
  <c r="BB267" i="8" a="1"/>
  <c r="BB291" i="8" a="1"/>
  <c r="BB315" i="8" a="1"/>
  <c r="BB116" i="8" a="1"/>
  <c r="BB164" i="8" a="1"/>
  <c r="BB260" i="8" a="1"/>
  <c r="BB27" i="8" a="1"/>
  <c r="BB55" i="8" a="1"/>
  <c r="BB73" i="8" a="1"/>
  <c r="BB99" i="8" a="1"/>
  <c r="BB181" i="8" a="1"/>
  <c r="BB229" i="8" a="1"/>
  <c r="BB277" i="8" a="1"/>
  <c r="BB301" i="8" a="1"/>
  <c r="BB109" i="8" a="1"/>
  <c r="BB150" i="8" a="1"/>
  <c r="BB189" i="8" a="1"/>
  <c r="BB213" i="8" a="1"/>
  <c r="BB246" i="8" a="1"/>
  <c r="BB270" i="8" a="1"/>
  <c r="BB294" i="8" a="1"/>
  <c r="BB20" i="8" a="1"/>
  <c r="BB48" i="8" a="1"/>
  <c r="BB74" i="8" a="1"/>
  <c r="BB102" i="8" a="1"/>
  <c r="BB182" i="8" a="1"/>
  <c r="BB57" i="8" a="1"/>
  <c r="BB93" i="8" a="1"/>
  <c r="BB192" i="8" a="1"/>
  <c r="BB240" i="8" a="1"/>
  <c r="BB288" i="8" a="1"/>
  <c r="BB115" i="8" a="1"/>
  <c r="BB139" i="8" a="1"/>
  <c r="BB163" i="8" a="1"/>
  <c r="BB187" i="8" a="1"/>
  <c r="BB211" i="8" a="1"/>
  <c r="BB235" i="8" a="1"/>
  <c r="BB259" i="8" a="1"/>
  <c r="BB283" i="8" a="1"/>
  <c r="BB307" i="8" a="1"/>
  <c r="BB252" i="8" a="1"/>
  <c r="BB300" i="8" a="1"/>
  <c r="BB324" i="8" a="1"/>
  <c r="BB108" i="8" a="1"/>
  <c r="BB188" i="8" a="1"/>
  <c r="BB236" i="8" a="1"/>
  <c r="BB284" i="8" a="1"/>
  <c r="BB19" i="8" a="1"/>
  <c r="BB45" i="8" a="1"/>
  <c r="BB81" i="8" a="1"/>
  <c r="BB157" i="8" a="1"/>
  <c r="BB253" i="8" a="1"/>
  <c r="BB325" i="8" a="1"/>
  <c r="BB126" i="8" a="1"/>
  <c r="BB141" i="8" a="1"/>
  <c r="BB165" i="8" a="1"/>
  <c r="BB198" i="8" a="1"/>
  <c r="BB261" i="8" a="1"/>
  <c r="BB285" i="8" a="1"/>
  <c r="BB309" i="8" a="1"/>
  <c r="BB30" i="8" a="1"/>
  <c r="BB56" i="8" a="1"/>
  <c r="BB84" i="8" a="1"/>
  <c r="BB158" i="8" a="1"/>
  <c r="BB206" i="8" a="1"/>
  <c r="BB49" i="8" a="1"/>
  <c r="BB103" i="8" a="1"/>
  <c r="BB159" i="8" a="1"/>
  <c r="BB279" i="8" a="1"/>
  <c r="BB128" i="8" a="1"/>
  <c r="BB200" i="8" a="1"/>
  <c r="BB320" i="8" a="1"/>
  <c r="BB7" i="8" a="1"/>
  <c r="BB18" i="8" a="1"/>
  <c r="BB26" i="8" a="1"/>
  <c r="BB36" i="8" a="1"/>
  <c r="BB44" i="8" a="1"/>
  <c r="BB54" i="8" a="1"/>
  <c r="BB62" i="8" a="1"/>
  <c r="BB72" i="8" a="1"/>
  <c r="BB80" i="8" a="1"/>
  <c r="BB90" i="8" a="1"/>
  <c r="BB98" i="8" a="1"/>
  <c r="BB123" i="8" a="1"/>
  <c r="BB132" i="8" a="1"/>
  <c r="BB147" i="8" a="1"/>
  <c r="BB156" i="8" a="1"/>
  <c r="BB171" i="8" a="1"/>
  <c r="BB180" i="8" a="1"/>
  <c r="BB195" i="8" a="1"/>
  <c r="BB204" i="8" a="1"/>
  <c r="BB219" i="8" a="1"/>
  <c r="BB228" i="8" a="1"/>
  <c r="BB243" i="8" a="1"/>
  <c r="BB276" i="8" a="1"/>
  <c r="BB140" i="8" a="1"/>
  <c r="BB212" i="8" a="1"/>
  <c r="BB308" i="8" a="1"/>
  <c r="BB37" i="8" a="1"/>
  <c r="BB63" i="8" a="1"/>
  <c r="BB91" i="8" a="1"/>
  <c r="BB133" i="8" a="1"/>
  <c r="BB205" i="8" a="1"/>
  <c r="BB117" i="8" a="1"/>
  <c r="BB174" i="8" a="1"/>
  <c r="BB237" i="8" a="1"/>
  <c r="BB318" i="8" a="1"/>
  <c r="BB38" i="8" a="1"/>
  <c r="BB66" i="8" a="1"/>
  <c r="BB92" i="8" a="1"/>
  <c r="BB134" i="8" a="1"/>
  <c r="BB254" i="8" a="1"/>
  <c r="BB151" i="8" a="1"/>
  <c r="BB223" i="8" a="1"/>
  <c r="BB295" i="8" a="1"/>
  <c r="BB31" i="8" a="1"/>
  <c r="BB168" i="8" a="1"/>
  <c r="BB231" i="8" a="1"/>
  <c r="BB303" i="8" a="1"/>
  <c r="BB111" i="8" a="1"/>
  <c r="BB8" i="8" a="1"/>
  <c r="BB326" i="8" a="1"/>
  <c r="BB110" i="8" a="1"/>
  <c r="BB199" i="8" a="1"/>
  <c r="BB319" i="8" a="1"/>
  <c r="BB39" i="8" a="1"/>
  <c r="BB120" i="8" a="1"/>
  <c r="BB207" i="8" a="1"/>
  <c r="BB312" i="8" a="1"/>
  <c r="BB152" i="8" a="1"/>
  <c r="BB278" i="8" a="1"/>
  <c r="BB13" i="8" a="1"/>
  <c r="BB75" i="8" a="1"/>
  <c r="BB144" i="8" a="1"/>
  <c r="BB183" i="8" a="1"/>
  <c r="BB255" i="8" a="1"/>
  <c r="BB327" i="8" a="1"/>
  <c r="BB272" i="8" a="1"/>
  <c r="BB9" i="8" a="1"/>
  <c r="BB222" i="8" a="1"/>
  <c r="BB230" i="8" a="1"/>
  <c r="BB302" i="8" a="1"/>
  <c r="BB175" i="8" a="1"/>
  <c r="BB247" i="8" a="1"/>
  <c r="BB21" i="8" a="1"/>
  <c r="BB85" i="8" a="1"/>
  <c r="BB135" i="8" a="1"/>
  <c r="BB176" i="8" a="1"/>
  <c r="BB248" i="8" a="1"/>
  <c r="BB296" i="8" a="1"/>
  <c r="BB12" i="8" a="1"/>
  <c r="BB127" i="8" a="1"/>
  <c r="BB271" i="8" a="1"/>
  <c r="BB67" i="8" a="1"/>
  <c r="BB216" i="8" a="1"/>
  <c r="BB264" i="8" a="1"/>
  <c r="BB224" i="8" a="1"/>
  <c r="BB14" i="8" a="1"/>
  <c r="BB68" i="8" a="1"/>
  <c r="BB121" i="8" a="1"/>
  <c r="BB169" i="8" a="1"/>
  <c r="BB217" i="8" a="1"/>
  <c r="BB265" i="8" a="1"/>
  <c r="BB60" i="8" a="1"/>
  <c r="BB210" i="8" a="1"/>
  <c r="BB313" i="8" a="1"/>
  <c r="BB306" i="8" a="1"/>
  <c r="BB24" i="8" a="1"/>
  <c r="BB78" i="8" a="1"/>
  <c r="BB297" i="8" a="1"/>
  <c r="BB129" i="8" a="1"/>
  <c r="BB177" i="8" a="1"/>
  <c r="BB225" i="8" a="1"/>
  <c r="BB273" i="8" a="1"/>
  <c r="BB186" i="8" a="1"/>
  <c r="BB282" i="8" a="1"/>
  <c r="BB42" i="8" a="1"/>
  <c r="BB145" i="8" a="1"/>
  <c r="BB241" i="8" a="1"/>
  <c r="BB104" i="8" a="1"/>
  <c r="BB201" i="8" a="1"/>
  <c r="BB162" i="8" a="1"/>
  <c r="BB32" i="8" a="1"/>
  <c r="BB86" i="8" a="1"/>
  <c r="BB321" i="8" a="1"/>
  <c r="BB138" i="8" a="1"/>
  <c r="BB234" i="8" a="1"/>
  <c r="BB96" i="8" a="1"/>
  <c r="BB193" i="8" a="1"/>
  <c r="BB289" i="8" a="1"/>
  <c r="BB50" i="8" a="1"/>
  <c r="BB153" i="8" a="1"/>
  <c r="BB114" i="8" a="1"/>
  <c r="BB249" i="8" a="1"/>
  <c r="BB258" i="8" a="1"/>
  <c r="BA4" i="8" a="1"/>
  <c r="BA10" i="8" a="1"/>
  <c r="BA16" i="8" a="1"/>
  <c r="BA22" i="8" a="1"/>
  <c r="BA28" i="8" a="1"/>
  <c r="BA34" i="8" a="1"/>
  <c r="BA40" i="8" a="1"/>
  <c r="BA46" i="8" a="1"/>
  <c r="BA52" i="8" a="1"/>
  <c r="BA58" i="8" a="1"/>
  <c r="BA64" i="8" a="1"/>
  <c r="BA70" i="8" a="1"/>
  <c r="BA76" i="8" a="1"/>
  <c r="BA82" i="8" a="1"/>
  <c r="BA88" i="8" a="1"/>
  <c r="BA94" i="8" a="1"/>
  <c r="BA100" i="8" a="1"/>
  <c r="BA106" i="8" a="1"/>
  <c r="BA112" i="8" a="1"/>
  <c r="BA118" i="8" a="1"/>
  <c r="BA124" i="8" a="1"/>
  <c r="BA130" i="8" a="1"/>
  <c r="BA136" i="8" a="1"/>
  <c r="BA142" i="8" a="1"/>
  <c r="BA148" i="8" a="1"/>
  <c r="BA154" i="8" a="1"/>
  <c r="BA160" i="8" a="1"/>
  <c r="BA166" i="8" a="1"/>
  <c r="BA172" i="8" a="1"/>
  <c r="BA178" i="8" a="1"/>
  <c r="BA184" i="8" a="1"/>
  <c r="BA190" i="8" a="1"/>
  <c r="BA196" i="8" a="1"/>
  <c r="BA202" i="8" a="1"/>
  <c r="BA208" i="8" a="1"/>
  <c r="BA214" i="8" a="1"/>
  <c r="BA220" i="8" a="1"/>
  <c r="BA226" i="8" a="1"/>
  <c r="BA232" i="8" a="1"/>
  <c r="BA238" i="8" a="1"/>
  <c r="BA244" i="8" a="1"/>
  <c r="BA250" i="8" a="1"/>
  <c r="BA256" i="8" a="1"/>
  <c r="BA262" i="8" a="1"/>
  <c r="BA268" i="8" a="1"/>
  <c r="BA274" i="8" a="1"/>
  <c r="BA280" i="8" a="1"/>
  <c r="BA286" i="8" a="1"/>
  <c r="BA292" i="8" a="1"/>
  <c r="BA298" i="8" a="1"/>
  <c r="BA304" i="8" a="1"/>
  <c r="BA310" i="8" a="1"/>
  <c r="BA316" i="8" a="1"/>
  <c r="BA322" i="8" a="1"/>
  <c r="BA11" i="8" a="1"/>
  <c r="BA29" i="8" a="1"/>
  <c r="BA35" i="8" a="1"/>
  <c r="BA47" i="8" a="1"/>
  <c r="BA59" i="8" a="1"/>
  <c r="BA71" i="8" a="1"/>
  <c r="BA83" i="8" a="1"/>
  <c r="BA95" i="8" a="1"/>
  <c r="BA107" i="8" a="1"/>
  <c r="BA119" i="8" a="1"/>
  <c r="BA131" i="8" a="1"/>
  <c r="BA143" i="8" a="1"/>
  <c r="BA149" i="8" a="1"/>
  <c r="BA161" i="8" a="1"/>
  <c r="BA173" i="8" a="1"/>
  <c r="BA185" i="8" a="1"/>
  <c r="BA197" i="8" a="1"/>
  <c r="BA209" i="8" a="1"/>
  <c r="BA221" i="8" a="1"/>
  <c r="BA233" i="8" a="1"/>
  <c r="BA245" i="8" a="1"/>
  <c r="BA257" i="8" a="1"/>
  <c r="BA269" i="8" a="1"/>
  <c r="BA281" i="8" a="1"/>
  <c r="BA293" i="8" a="1"/>
  <c r="BA305" i="8" a="1"/>
  <c r="BA317" i="8" a="1"/>
  <c r="BA5" i="8" a="1"/>
  <c r="BA23" i="8" a="1"/>
  <c r="BA41" i="8" a="1"/>
  <c r="BA53" i="8" a="1"/>
  <c r="BA65" i="8" a="1"/>
  <c r="BA77" i="8" a="1"/>
  <c r="BA89" i="8" a="1"/>
  <c r="BA101" i="8" a="1"/>
  <c r="BA113" i="8" a="1"/>
  <c r="BA125" i="8" a="1"/>
  <c r="BA137" i="8" a="1"/>
  <c r="BA155" i="8" a="1"/>
  <c r="BA167" i="8" a="1"/>
  <c r="BA179" i="8" a="1"/>
  <c r="BA191" i="8" a="1"/>
  <c r="BA203" i="8" a="1"/>
  <c r="BA215" i="8" a="1"/>
  <c r="BA227" i="8" a="1"/>
  <c r="BA239" i="8" a="1"/>
  <c r="BA251" i="8" a="1"/>
  <c r="BA263" i="8" a="1"/>
  <c r="BA275" i="8" a="1"/>
  <c r="BA287" i="8" a="1"/>
  <c r="BA299" i="8" a="1"/>
  <c r="BA311" i="8" a="1"/>
  <c r="BA323" i="8" a="1"/>
  <c r="BA17" i="8" a="1"/>
  <c r="BA6" i="8" a="1"/>
  <c r="BA7" i="8" a="1"/>
  <c r="BA13" i="8" a="1"/>
  <c r="BA19" i="8" a="1"/>
  <c r="BA25" i="8" a="1"/>
  <c r="BA9" i="8" a="1"/>
  <c r="BA8" i="8" a="1"/>
  <c r="BA27" i="8" a="1"/>
  <c r="BA42" i="8" a="1"/>
  <c r="BA56" i="8" a="1"/>
  <c r="BA85" i="8" a="1"/>
  <c r="BA99" i="8" a="1"/>
  <c r="BA114" i="8" a="1"/>
  <c r="BA126" i="8" a="1"/>
  <c r="BA135" i="8" a="1"/>
  <c r="BA176" i="8" a="1"/>
  <c r="BA187" i="8" a="1"/>
  <c r="BA206" i="8" a="1"/>
  <c r="BA216" i="8" a="1"/>
  <c r="BA224" i="8" a="1"/>
  <c r="BA234" i="8" a="1"/>
  <c r="BA242" i="8" a="1"/>
  <c r="BA252" i="8" a="1"/>
  <c r="BA260" i="8" a="1"/>
  <c r="BA270" i="8" a="1"/>
  <c r="BA278" i="8" a="1"/>
  <c r="BA288" i="8" a="1"/>
  <c r="BA296" i="8" a="1"/>
  <c r="BA306" i="8" a="1"/>
  <c r="BA314" i="8" a="1"/>
  <c r="BA324" i="8" a="1"/>
  <c r="BA60" i="8" a="1"/>
  <c r="BA117" i="8" a="1"/>
  <c r="BA158" i="8" a="1"/>
  <c r="BA90" i="8" a="1"/>
  <c r="BA139" i="8" a="1"/>
  <c r="BA228" i="8" a="1"/>
  <c r="BA254" i="8" a="1"/>
  <c r="BA272" i="8" a="1"/>
  <c r="BA300" i="8" a="1"/>
  <c r="BA326" i="8" a="1"/>
  <c r="BA192" i="8" a="1"/>
  <c r="BA237" i="8" a="1"/>
  <c r="BA273" i="8" a="1"/>
  <c r="BA309" i="8" a="1"/>
  <c r="BA49" i="8" a="1"/>
  <c r="BA78" i="8" a="1"/>
  <c r="BA151" i="8" a="1"/>
  <c r="BA201" i="8" a="1"/>
  <c r="BA247" i="8" a="1"/>
  <c r="BA319" i="8" a="1"/>
  <c r="BA36" i="8" a="1"/>
  <c r="BA93" i="8" a="1"/>
  <c r="BA141" i="8" a="1"/>
  <c r="BA182" i="8" a="1"/>
  <c r="BA51" i="8" a="1"/>
  <c r="BA109" i="8" a="1"/>
  <c r="BA152" i="8" a="1"/>
  <c r="BA183" i="8" a="1"/>
  <c r="BA240" i="8" a="1"/>
  <c r="BA276" i="8" a="1"/>
  <c r="BA320" i="8" a="1"/>
  <c r="BA133" i="8" a="1"/>
  <c r="BA194" i="8" a="1"/>
  <c r="BA249" i="8" a="1"/>
  <c r="BA285" i="8" a="1"/>
  <c r="BA321" i="8" a="1"/>
  <c r="BA43" i="8" a="1"/>
  <c r="BA57" i="8" a="1"/>
  <c r="BA72" i="8" a="1"/>
  <c r="BA86" i="8" a="1"/>
  <c r="BA115" i="8" a="1"/>
  <c r="BA146" i="8" a="1"/>
  <c r="BA157" i="8" a="1"/>
  <c r="BA168" i="8" a="1"/>
  <c r="BA177" i="8" a="1"/>
  <c r="BA198" i="8" a="1"/>
  <c r="BA207" i="8" a="1"/>
  <c r="BA225" i="8" a="1"/>
  <c r="BA243" i="8" a="1"/>
  <c r="BA261" i="8" a="1"/>
  <c r="BA279" i="8" a="1"/>
  <c r="BA297" i="8" a="1"/>
  <c r="BA315" i="8" a="1"/>
  <c r="BA325" i="8" a="1"/>
  <c r="BA31" i="8" a="1"/>
  <c r="BA169" i="8" a="1"/>
  <c r="BA189" i="8" a="1"/>
  <c r="BA159" i="8" a="1"/>
  <c r="BA218" i="8" a="1"/>
  <c r="BA236" i="8" a="1"/>
  <c r="BA264" i="8" a="1"/>
  <c r="BA290" i="8" a="1"/>
  <c r="BA308" i="8" a="1"/>
  <c r="BA181" i="8" a="1"/>
  <c r="BA327" i="8" a="1"/>
  <c r="BA63" i="8" a="1"/>
  <c r="BA140" i="8" a="1"/>
  <c r="BA171" i="8" a="1"/>
  <c r="BA211" i="8" a="1"/>
  <c r="BA283" i="8" a="1"/>
  <c r="BA301" i="8" a="1"/>
  <c r="BA20" i="8" a="1"/>
  <c r="BA108" i="8" a="1"/>
  <c r="BA132" i="8" a="1"/>
  <c r="BA193" i="8" a="1"/>
  <c r="BA37" i="8" a="1"/>
  <c r="BA80" i="8" a="1"/>
  <c r="BA163" i="8" a="1"/>
  <c r="BA212" i="8" a="1"/>
  <c r="BA266" i="8" a="1"/>
  <c r="BA284" i="8" a="1"/>
  <c r="BA38" i="8" a="1"/>
  <c r="BA144" i="8" a="1"/>
  <c r="BA231" i="8" a="1"/>
  <c r="BA303" i="8" a="1"/>
  <c r="BA145" i="8" a="1"/>
  <c r="BA12" i="8" a="1"/>
  <c r="BA30" i="8" a="1"/>
  <c r="BA44" i="8" a="1"/>
  <c r="BA73" i="8" a="1"/>
  <c r="BA87" i="8" a="1"/>
  <c r="BA102" i="8" a="1"/>
  <c r="BA116" i="8" a="1"/>
  <c r="BA127" i="8" a="1"/>
  <c r="BA138" i="8" a="1"/>
  <c r="BA147" i="8" a="1"/>
  <c r="BA188" i="8" a="1"/>
  <c r="BA217" i="8" a="1"/>
  <c r="BA235" i="8" a="1"/>
  <c r="BA253" i="8" a="1"/>
  <c r="BA271" i="8" a="1"/>
  <c r="BA289" i="8" a="1"/>
  <c r="BA307" i="8" a="1"/>
  <c r="BA45" i="8" a="1"/>
  <c r="BA103" i="8" a="1"/>
  <c r="BA180" i="8" a="1"/>
  <c r="BA199" i="8" a="1"/>
  <c r="BA104" i="8" a="1"/>
  <c r="BA150" i="8" a="1"/>
  <c r="BA210" i="8" a="1"/>
  <c r="BA246" i="8" a="1"/>
  <c r="BA282" i="8" a="1"/>
  <c r="BA318" i="8" a="1"/>
  <c r="BA200" i="8" a="1"/>
  <c r="BA219" i="8" a="1"/>
  <c r="BA255" i="8" a="1"/>
  <c r="BA291" i="8" a="1"/>
  <c r="BA18" i="8" a="1"/>
  <c r="BA92" i="8" a="1"/>
  <c r="BA162" i="8" a="1"/>
  <c r="BA229" i="8" a="1"/>
  <c r="BA265" i="8" a="1"/>
  <c r="BA50" i="8" a="1"/>
  <c r="BA79" i="8" a="1"/>
  <c r="BA121" i="8" a="1"/>
  <c r="BA21" i="8" a="1"/>
  <c r="BA66" i="8" a="1"/>
  <c r="BA174" i="8" a="1"/>
  <c r="BA204" i="8" a="1"/>
  <c r="BA258" i="8" a="1"/>
  <c r="BA294" i="8" a="1"/>
  <c r="BA122" i="8" a="1"/>
  <c r="BA153" i="8" a="1"/>
  <c r="BA213" i="8" a="1"/>
  <c r="BA267" i="8" a="1"/>
  <c r="BA165" i="8" a="1"/>
  <c r="BA14" i="8" a="1"/>
  <c r="BA74" i="8" a="1"/>
  <c r="BA248" i="8" a="1"/>
  <c r="BA96" i="8" a="1"/>
  <c r="BA15" i="8" a="1"/>
  <c r="BA32" i="8" a="1"/>
  <c r="BA61" i="8" a="1"/>
  <c r="BA75" i="8" a="1"/>
  <c r="BA128" i="8" a="1"/>
  <c r="BA222" i="8" a="1"/>
  <c r="BA110" i="8" a="1"/>
  <c r="BA33" i="8" a="1"/>
  <c r="BA48" i="8" a="1"/>
  <c r="BA62" i="8" a="1"/>
  <c r="BA91" i="8" a="1"/>
  <c r="BA105" i="8" a="1"/>
  <c r="BA120" i="8" a="1"/>
  <c r="BA129" i="8" a="1"/>
  <c r="BA170" i="8" a="1"/>
  <c r="BA230" i="8" a="1"/>
  <c r="BA302" i="8" a="1"/>
  <c r="BA81" i="8" a="1"/>
  <c r="BA312" i="8" a="1"/>
  <c r="BA67" i="8" a="1"/>
  <c r="BA24" i="8" a="1"/>
  <c r="BA39" i="8" a="1"/>
  <c r="BA54" i="8" a="1"/>
  <c r="BA68" i="8" a="1"/>
  <c r="BA97" i="8" a="1"/>
  <c r="BA111" i="8" a="1"/>
  <c r="BA123" i="8" a="1"/>
  <c r="BA164" i="8" a="1"/>
  <c r="BA175" i="8" a="1"/>
  <c r="BA186" i="8" a="1"/>
  <c r="BA195" i="8" a="1"/>
  <c r="BA205" i="8" a="1"/>
  <c r="BA223" i="8" a="1"/>
  <c r="BA241" i="8" a="1"/>
  <c r="BA259" i="8" a="1"/>
  <c r="BA277" i="8" a="1"/>
  <c r="BA295" i="8" a="1"/>
  <c r="BA313" i="8" a="1"/>
  <c r="BA26" i="8" a="1"/>
  <c r="BA55" i="8" a="1"/>
  <c r="BA69" i="8" a="1"/>
  <c r="BA84" i="8" a="1"/>
  <c r="BA98" i="8" a="1"/>
  <c r="BA134" i="8" a="1"/>
  <c r="BA156" i="8" a="1"/>
  <c r="BD3" i="8" a="1"/>
  <c r="BC3" i="8" a="1"/>
  <c r="BB3" i="8" a="1"/>
  <c r="BA3" i="8" a="1"/>
  <c r="AU4" i="8" a="1"/>
  <c r="AU10" i="8" a="1"/>
  <c r="AU16" i="8" a="1"/>
  <c r="AU22" i="8" a="1"/>
  <c r="AU28" i="8" a="1"/>
  <c r="AU34" i="8" a="1"/>
  <c r="AU40" i="8" a="1"/>
  <c r="AU46" i="8" a="1"/>
  <c r="AU52" i="8" a="1"/>
  <c r="AU58" i="8" a="1"/>
  <c r="AU64" i="8" a="1"/>
  <c r="AU70" i="8" a="1"/>
  <c r="AU76" i="8" a="1"/>
  <c r="AU82" i="8" a="1"/>
  <c r="AU88" i="8" a="1"/>
  <c r="AU94" i="8" a="1"/>
  <c r="AU100" i="8" a="1"/>
  <c r="AU106" i="8" a="1"/>
  <c r="AU112" i="8" a="1"/>
  <c r="AU118" i="8" a="1"/>
  <c r="AU124" i="8" a="1"/>
  <c r="AU130" i="8" a="1"/>
  <c r="AU136" i="8" a="1"/>
  <c r="AU142" i="8" a="1"/>
  <c r="AU148" i="8" a="1"/>
  <c r="AU154" i="8" a="1"/>
  <c r="AU160" i="8" a="1"/>
  <c r="AU166" i="8" a="1"/>
  <c r="AU172" i="8" a="1"/>
  <c r="AU178" i="8" a="1"/>
  <c r="AU184" i="8" a="1"/>
  <c r="AU190" i="8" a="1"/>
  <c r="AU196" i="8" a="1"/>
  <c r="AU202" i="8" a="1"/>
  <c r="AU208" i="8" a="1"/>
  <c r="AU214" i="8" a="1"/>
  <c r="AU220" i="8" a="1"/>
  <c r="AU226" i="8" a="1"/>
  <c r="AU232" i="8" a="1"/>
  <c r="AU238" i="8" a="1"/>
  <c r="AU244" i="8" a="1"/>
  <c r="AU250" i="8" a="1"/>
  <c r="AU256" i="8" a="1"/>
  <c r="AU262" i="8" a="1"/>
  <c r="AU268" i="8" a="1"/>
  <c r="AU274" i="8" a="1"/>
  <c r="AU280" i="8" a="1"/>
  <c r="AU286" i="8" a="1"/>
  <c r="AU292" i="8" a="1"/>
  <c r="AU298" i="8" a="1"/>
  <c r="AU304" i="8" a="1"/>
  <c r="AU310" i="8" a="1"/>
  <c r="AU316" i="8" a="1"/>
  <c r="AU322" i="8" a="1"/>
  <c r="AU5" i="8" a="1"/>
  <c r="AU6" i="8" a="1"/>
  <c r="AU12" i="8" a="1"/>
  <c r="AU18" i="8" a="1"/>
  <c r="AU24" i="8" a="1"/>
  <c r="AU30" i="8" a="1"/>
  <c r="AU36" i="8" a="1"/>
  <c r="AU42" i="8" a="1"/>
  <c r="AU48" i="8" a="1"/>
  <c r="AU54" i="8" a="1"/>
  <c r="AU60" i="8" a="1"/>
  <c r="AU66" i="8" a="1"/>
  <c r="AU72" i="8" a="1"/>
  <c r="AU78" i="8" a="1"/>
  <c r="AU84" i="8" a="1"/>
  <c r="AU90" i="8" a="1"/>
  <c r="AU96" i="8" a="1"/>
  <c r="AU102" i="8" a="1"/>
  <c r="AU108" i="8" a="1"/>
  <c r="AU114" i="8" a="1"/>
  <c r="AU120" i="8" a="1"/>
  <c r="AU126" i="8" a="1"/>
  <c r="AU132" i="8" a="1"/>
  <c r="AU138" i="8" a="1"/>
  <c r="AU144" i="8" a="1"/>
  <c r="AU150" i="8" a="1"/>
  <c r="AU156" i="8" a="1"/>
  <c r="AU162" i="8" a="1"/>
  <c r="AU168" i="8" a="1"/>
  <c r="AU174" i="8" a="1"/>
  <c r="AU180" i="8" a="1"/>
  <c r="AU186" i="8" a="1"/>
  <c r="AU192" i="8" a="1"/>
  <c r="AU198" i="8" a="1"/>
  <c r="AU204" i="8" a="1"/>
  <c r="AU210" i="8" a="1"/>
  <c r="AU216" i="8" a="1"/>
  <c r="AU222" i="8" a="1"/>
  <c r="AU228" i="8" a="1"/>
  <c r="AU234" i="8" a="1"/>
  <c r="AU240" i="8" a="1"/>
  <c r="AU246" i="8" a="1"/>
  <c r="AU252" i="8" a="1"/>
  <c r="AU258" i="8" a="1"/>
  <c r="AU264" i="8" a="1"/>
  <c r="AU270" i="8" a="1"/>
  <c r="AU276" i="8" a="1"/>
  <c r="AU282" i="8" a="1"/>
  <c r="AU288" i="8" a="1"/>
  <c r="AU294" i="8" a="1"/>
  <c r="AU300" i="8" a="1"/>
  <c r="AU306" i="8" a="1"/>
  <c r="AU312" i="8" a="1"/>
  <c r="AU318" i="8" a="1"/>
  <c r="AU324" i="8" a="1"/>
  <c r="AU7" i="8" a="1"/>
  <c r="AU8" i="8" a="1"/>
  <c r="AU9" i="8" a="1"/>
  <c r="AU15" i="8" a="1"/>
  <c r="AU23" i="8" a="1"/>
  <c r="AU35" i="8" a="1"/>
  <c r="AU47" i="8" a="1"/>
  <c r="AU59" i="8" a="1"/>
  <c r="AU80" i="8" a="1"/>
  <c r="AU91" i="8" a="1"/>
  <c r="AU101" i="8" a="1"/>
  <c r="AU111" i="8" a="1"/>
  <c r="AU152" i="8" a="1"/>
  <c r="AU163" i="8" a="1"/>
  <c r="AU173" i="8" a="1"/>
  <c r="AU183" i="8" a="1"/>
  <c r="AU233" i="8" a="1"/>
  <c r="AU251" i="8" a="1"/>
  <c r="AU269" i="8" a="1"/>
  <c r="AU287" i="8" a="1"/>
  <c r="AU320" i="8" a="1"/>
  <c r="AU75" i="8" a="1"/>
  <c r="AU308" i="8" a="1"/>
  <c r="AU283" i="8" a="1"/>
  <c r="AU87" i="8" a="1"/>
  <c r="AU32" i="8" a="1"/>
  <c r="AU33" i="8" a="1"/>
  <c r="AU303" i="8" a="1"/>
  <c r="AU121" i="8" a="1"/>
  <c r="AU203" i="8" a="1"/>
  <c r="AU11" i="8" a="1"/>
  <c r="AU25" i="8" a="1"/>
  <c r="AU37" i="8" a="1"/>
  <c r="AU49" i="8" a="1"/>
  <c r="AU61" i="8" a="1"/>
  <c r="AU71" i="8" a="1"/>
  <c r="AU81" i="8" a="1"/>
  <c r="AU122" i="8" a="1"/>
  <c r="AU133" i="8" a="1"/>
  <c r="AU143" i="8" a="1"/>
  <c r="AU153" i="8" a="1"/>
  <c r="AU194" i="8" a="1"/>
  <c r="AU205" i="8" a="1"/>
  <c r="AU215" i="8" a="1"/>
  <c r="AU224" i="8" a="1"/>
  <c r="AU242" i="8" a="1"/>
  <c r="AU260" i="8" a="1"/>
  <c r="AU278" i="8" a="1"/>
  <c r="AU296" i="8" a="1"/>
  <c r="AU305" i="8" a="1"/>
  <c r="AU313" i="8" a="1"/>
  <c r="AU321" i="8" a="1"/>
  <c r="AU219" i="8" a="1"/>
  <c r="AU247" i="8" a="1"/>
  <c r="AU317" i="8" a="1"/>
  <c r="AU139" i="8" a="1"/>
  <c r="AU239" i="8" a="1"/>
  <c r="AU129" i="8" a="1"/>
  <c r="AU230" i="8" a="1"/>
  <c r="AU45" i="8" a="1"/>
  <c r="AU212" i="8" a="1"/>
  <c r="AU319" i="8" a="1"/>
  <c r="AU182" i="8" a="1"/>
  <c r="AU277" i="8" a="1"/>
  <c r="AU13" i="8" a="1"/>
  <c r="AU92" i="8" a="1"/>
  <c r="AU103" i="8" a="1"/>
  <c r="AU113" i="8" a="1"/>
  <c r="AU123" i="8" a="1"/>
  <c r="AU164" i="8" a="1"/>
  <c r="AU175" i="8" a="1"/>
  <c r="AU185" i="8" a="1"/>
  <c r="AU195" i="8" a="1"/>
  <c r="AU225" i="8" a="1"/>
  <c r="AU243" i="8" a="1"/>
  <c r="AU261" i="8" a="1"/>
  <c r="AU279" i="8" a="1"/>
  <c r="AU297" i="8" a="1"/>
  <c r="AU65" i="8" a="1"/>
  <c r="AU255" i="8" a="1"/>
  <c r="AU309" i="8" a="1"/>
  <c r="AU200" i="8" a="1"/>
  <c r="AU20" i="8" a="1"/>
  <c r="AU201" i="8" a="1"/>
  <c r="AU302" i="8" a="1"/>
  <c r="AU99" i="8" a="1"/>
  <c r="AU69" i="8" a="1"/>
  <c r="AU193" i="8" a="1"/>
  <c r="AU26" i="8" a="1"/>
  <c r="AU38" i="8" a="1"/>
  <c r="AU50" i="8" a="1"/>
  <c r="AU62" i="8" a="1"/>
  <c r="AU73" i="8" a="1"/>
  <c r="AU83" i="8" a="1"/>
  <c r="AU93" i="8" a="1"/>
  <c r="AU134" i="8" a="1"/>
  <c r="AU145" i="8" a="1"/>
  <c r="AU155" i="8" a="1"/>
  <c r="AU165" i="8" a="1"/>
  <c r="AU206" i="8" a="1"/>
  <c r="AU217" i="8" a="1"/>
  <c r="AU235" i="8" a="1"/>
  <c r="AU253" i="8" a="1"/>
  <c r="AU271" i="8" a="1"/>
  <c r="AU289" i="8" a="1"/>
  <c r="AU314" i="8" a="1"/>
  <c r="AU53" i="8" a="1"/>
  <c r="AU273" i="8" a="1"/>
  <c r="AU301" i="8" a="1"/>
  <c r="AU128" i="8" a="1"/>
  <c r="AU191" i="8" a="1"/>
  <c r="AU21" i="8" a="1"/>
  <c r="AU267" i="8" a="1"/>
  <c r="AU110" i="8" a="1"/>
  <c r="AU213" i="8" a="1"/>
  <c r="AU14" i="8" a="1"/>
  <c r="AU27" i="8" a="1"/>
  <c r="AU39" i="8" a="1"/>
  <c r="AU51" i="8" a="1"/>
  <c r="AU63" i="8" a="1"/>
  <c r="AU104" i="8" a="1"/>
  <c r="AU115" i="8" a="1"/>
  <c r="AU125" i="8" a="1"/>
  <c r="AU135" i="8" a="1"/>
  <c r="AU176" i="8" a="1"/>
  <c r="AU187" i="8" a="1"/>
  <c r="AU197" i="8" a="1"/>
  <c r="AU207" i="8" a="1"/>
  <c r="AU227" i="8" a="1"/>
  <c r="AU245" i="8" a="1"/>
  <c r="AU263" i="8" a="1"/>
  <c r="AU281" i="8" a="1"/>
  <c r="AU299" i="8" a="1"/>
  <c r="AU307" i="8" a="1"/>
  <c r="AU315" i="8" a="1"/>
  <c r="AU323" i="8" a="1"/>
  <c r="AU41" i="8" a="1"/>
  <c r="AU116" i="8" a="1"/>
  <c r="AU137" i="8" a="1"/>
  <c r="AU199" i="8" a="1"/>
  <c r="AU291" i="8" a="1"/>
  <c r="AU265" i="8" a="1"/>
  <c r="AU211" i="8" a="1"/>
  <c r="AU44" i="8" a="1"/>
  <c r="AU266" i="8" a="1"/>
  <c r="AU79" i="8" a="1"/>
  <c r="AU161" i="8" a="1"/>
  <c r="AU285" i="8" a="1"/>
  <c r="AU259" i="8" a="1"/>
  <c r="AU74" i="8" a="1"/>
  <c r="AU85" i="8" a="1"/>
  <c r="AU95" i="8" a="1"/>
  <c r="AU105" i="8" a="1"/>
  <c r="AU146" i="8" a="1"/>
  <c r="AU157" i="8" a="1"/>
  <c r="AU167" i="8" a="1"/>
  <c r="AU177" i="8" a="1"/>
  <c r="AU218" i="8" a="1"/>
  <c r="AU236" i="8" a="1"/>
  <c r="AU254" i="8" a="1"/>
  <c r="AU272" i="8" a="1"/>
  <c r="AU290" i="8" a="1"/>
  <c r="AU29" i="8" a="1"/>
  <c r="AU127" i="8" a="1"/>
  <c r="AU147" i="8" a="1"/>
  <c r="AU188" i="8" a="1"/>
  <c r="AU237" i="8" a="1"/>
  <c r="AU325" i="8" a="1"/>
  <c r="AU257" i="8" a="1"/>
  <c r="AU109" i="8" a="1"/>
  <c r="AU170" i="8" a="1"/>
  <c r="AU248" i="8" a="1"/>
  <c r="AU326" i="8" a="1"/>
  <c r="AU89" i="8" a="1"/>
  <c r="AU171" i="8" a="1"/>
  <c r="AU249" i="8" a="1"/>
  <c r="AU327" i="8" a="1"/>
  <c r="AU223" i="8" a="1"/>
  <c r="AU295" i="8" a="1"/>
  <c r="AU17" i="8" a="1"/>
  <c r="AU209" i="8" a="1"/>
  <c r="AU19" i="8" a="1"/>
  <c r="AU31" i="8" a="1"/>
  <c r="AU43" i="8" a="1"/>
  <c r="AU55" i="8" a="1"/>
  <c r="AU86" i="8" a="1"/>
  <c r="AU97" i="8" a="1"/>
  <c r="AU107" i="8" a="1"/>
  <c r="AU117" i="8" a="1"/>
  <c r="AU158" i="8" a="1"/>
  <c r="AU169" i="8" a="1"/>
  <c r="AU179" i="8" a="1"/>
  <c r="AU189" i="8" a="1"/>
  <c r="AU229" i="8" a="1"/>
  <c r="AU149" i="8" a="1"/>
  <c r="AU221" i="8" a="1"/>
  <c r="AU275" i="8" a="1"/>
  <c r="AU56" i="8" a="1"/>
  <c r="AU119" i="8" a="1"/>
  <c r="AU181" i="8" a="1"/>
  <c r="AU57" i="8" a="1"/>
  <c r="AU140" i="8" a="1"/>
  <c r="AU311" i="8" a="1"/>
  <c r="AU131" i="8" a="1"/>
  <c r="AU241" i="8" a="1"/>
  <c r="AU67" i="8" a="1"/>
  <c r="AU77" i="8" a="1"/>
  <c r="AU159" i="8" a="1"/>
  <c r="AU293" i="8" a="1"/>
  <c r="AU98" i="8" a="1"/>
  <c r="AU284" i="8" a="1"/>
  <c r="AU68" i="8" a="1"/>
  <c r="AU151" i="8" a="1"/>
  <c r="AU231" i="8" a="1"/>
  <c r="AU141" i="8" a="1"/>
  <c r="AT4" i="8" a="1"/>
  <c r="AT10" i="8" a="1"/>
  <c r="AT16" i="8" a="1"/>
  <c r="AT22" i="8" a="1"/>
  <c r="AT28" i="8" a="1"/>
  <c r="AT34" i="8" a="1"/>
  <c r="AT40" i="8" a="1"/>
  <c r="AT46" i="8" a="1"/>
  <c r="AT52" i="8" a="1"/>
  <c r="AT58" i="8" a="1"/>
  <c r="AT64" i="8" a="1"/>
  <c r="AT70" i="8" a="1"/>
  <c r="AT76" i="8" a="1"/>
  <c r="AT82" i="8" a="1"/>
  <c r="AT88" i="8" a="1"/>
  <c r="AT94" i="8" a="1"/>
  <c r="AT100" i="8" a="1"/>
  <c r="AT106" i="8" a="1"/>
  <c r="AT112" i="8" a="1"/>
  <c r="AT118" i="8" a="1"/>
  <c r="AT124" i="8" a="1"/>
  <c r="AT130" i="8" a="1"/>
  <c r="AT136" i="8" a="1"/>
  <c r="AT142" i="8" a="1"/>
  <c r="AT148" i="8" a="1"/>
  <c r="AT154" i="8" a="1"/>
  <c r="AT160" i="8" a="1"/>
  <c r="AT166" i="8" a="1"/>
  <c r="AT172" i="8" a="1"/>
  <c r="AT178" i="8" a="1"/>
  <c r="AT184" i="8" a="1"/>
  <c r="AT190" i="8" a="1"/>
  <c r="AT196" i="8" a="1"/>
  <c r="AT202" i="8" a="1"/>
  <c r="AT208" i="8" a="1"/>
  <c r="AT214" i="8" a="1"/>
  <c r="AT220" i="8" a="1"/>
  <c r="AT226" i="8" a="1"/>
  <c r="AT232" i="8" a="1"/>
  <c r="AT238" i="8" a="1"/>
  <c r="AT244" i="8" a="1"/>
  <c r="AT250" i="8" a="1"/>
  <c r="AT256" i="8" a="1"/>
  <c r="AT262" i="8" a="1"/>
  <c r="AT268" i="8" a="1"/>
  <c r="AT274" i="8" a="1"/>
  <c r="AT280" i="8" a="1"/>
  <c r="AT286" i="8" a="1"/>
  <c r="AT292" i="8" a="1"/>
  <c r="AT298" i="8" a="1"/>
  <c r="AT304" i="8" a="1"/>
  <c r="AT310" i="8" a="1"/>
  <c r="AT316" i="8" a="1"/>
  <c r="AT322" i="8" a="1"/>
  <c r="AT17" i="8" a="1"/>
  <c r="AT53" i="8" a="1"/>
  <c r="AT83" i="8" a="1"/>
  <c r="AT95" i="8" a="1"/>
  <c r="AT107" i="8" a="1"/>
  <c r="AT119" i="8" a="1"/>
  <c r="AT131" i="8" a="1"/>
  <c r="AT143" i="8" a="1"/>
  <c r="AT155" i="8" a="1"/>
  <c r="AT167" i="8" a="1"/>
  <c r="AT179" i="8" a="1"/>
  <c r="AT191" i="8" a="1"/>
  <c r="AT203" i="8" a="1"/>
  <c r="AT215" i="8" a="1"/>
  <c r="AT227" i="8" a="1"/>
  <c r="AT239" i="8" a="1"/>
  <c r="AT251" i="8" a="1"/>
  <c r="AT263" i="8" a="1"/>
  <c r="AT275" i="8" a="1"/>
  <c r="AT287" i="8" a="1"/>
  <c r="AT299" i="8" a="1"/>
  <c r="AT311" i="8" a="1"/>
  <c r="AT323" i="8" a="1"/>
  <c r="AT5" i="8" a="1"/>
  <c r="AT11" i="8" a="1"/>
  <c r="AT23" i="8" a="1"/>
  <c r="AT29" i="8" a="1"/>
  <c r="AT35" i="8" a="1"/>
  <c r="AT41" i="8" a="1"/>
  <c r="AT47" i="8" a="1"/>
  <c r="AT59" i="8" a="1"/>
  <c r="AT65" i="8" a="1"/>
  <c r="AT77" i="8" a="1"/>
  <c r="AT89" i="8" a="1"/>
  <c r="AT101" i="8" a="1"/>
  <c r="AT113" i="8" a="1"/>
  <c r="AT125" i="8" a="1"/>
  <c r="AT137" i="8" a="1"/>
  <c r="AT149" i="8" a="1"/>
  <c r="AT161" i="8" a="1"/>
  <c r="AT173" i="8" a="1"/>
  <c r="AT185" i="8" a="1"/>
  <c r="AT197" i="8" a="1"/>
  <c r="AT209" i="8" a="1"/>
  <c r="AT221" i="8" a="1"/>
  <c r="AT233" i="8" a="1"/>
  <c r="AT245" i="8" a="1"/>
  <c r="AT257" i="8" a="1"/>
  <c r="AT269" i="8" a="1"/>
  <c r="AT281" i="8" a="1"/>
  <c r="AT293" i="8" a="1"/>
  <c r="AT305" i="8" a="1"/>
  <c r="AT317" i="8" a="1"/>
  <c r="AT71" i="8" a="1"/>
  <c r="AT6" i="8" a="1"/>
  <c r="AT7" i="8" a="1"/>
  <c r="AT8" i="8" a="1"/>
  <c r="AT9" i="8" a="1"/>
  <c r="AT15" i="8" a="1"/>
  <c r="AT21" i="8" a="1"/>
  <c r="AT27" i="8" a="1"/>
  <c r="AT33" i="8" a="1"/>
  <c r="AT39" i="8" a="1"/>
  <c r="AT45" i="8" a="1"/>
  <c r="AT51" i="8" a="1"/>
  <c r="AT57" i="8" a="1"/>
  <c r="AT63" i="8" a="1"/>
  <c r="AT69" i="8" a="1"/>
  <c r="AT75" i="8" a="1"/>
  <c r="AT81" i="8" a="1"/>
  <c r="AT87" i="8" a="1"/>
  <c r="AT93" i="8" a="1"/>
  <c r="AT99" i="8" a="1"/>
  <c r="AT105" i="8" a="1"/>
  <c r="AT111" i="8" a="1"/>
  <c r="AT117" i="8" a="1"/>
  <c r="AT123" i="8" a="1"/>
  <c r="AT129" i="8" a="1"/>
  <c r="AT135" i="8" a="1"/>
  <c r="AT141" i="8" a="1"/>
  <c r="AT147" i="8" a="1"/>
  <c r="AT153" i="8" a="1"/>
  <c r="AT159" i="8" a="1"/>
  <c r="AT165" i="8" a="1"/>
  <c r="AT171" i="8" a="1"/>
  <c r="AT177" i="8" a="1"/>
  <c r="AT183" i="8" a="1"/>
  <c r="AT189" i="8" a="1"/>
  <c r="AT195" i="8" a="1"/>
  <c r="AT201" i="8" a="1"/>
  <c r="AT207" i="8" a="1"/>
  <c r="AT213" i="8" a="1"/>
  <c r="AT219" i="8" a="1"/>
  <c r="AT225" i="8" a="1"/>
  <c r="AT231" i="8" a="1"/>
  <c r="AT237" i="8" a="1"/>
  <c r="AT243" i="8" a="1"/>
  <c r="AT249" i="8" a="1"/>
  <c r="AT255" i="8" a="1"/>
  <c r="AT261" i="8" a="1"/>
  <c r="AT267" i="8" a="1"/>
  <c r="AT273" i="8" a="1"/>
  <c r="AT279" i="8" a="1"/>
  <c r="AT285" i="8" a="1"/>
  <c r="AT291" i="8" a="1"/>
  <c r="AT297" i="8" a="1"/>
  <c r="AT303" i="8" a="1"/>
  <c r="AT309" i="8" a="1"/>
  <c r="AT315" i="8" a="1"/>
  <c r="AT321" i="8" a="1"/>
  <c r="AT327" i="8" a="1"/>
  <c r="AT24" i="8" a="1"/>
  <c r="AT92" i="8" a="1"/>
  <c r="AT103" i="8" a="1"/>
  <c r="AT114" i="8" a="1"/>
  <c r="AT301" i="8" a="1"/>
  <c r="AT54" i="8" a="1"/>
  <c r="AT115" i="8" a="1"/>
  <c r="AT156" i="8" a="1"/>
  <c r="AT42" i="8" a="1"/>
  <c r="AT74" i="8" a="1"/>
  <c r="AT96" i="8" a="1"/>
  <c r="AT186" i="8" a="1"/>
  <c r="AT204" i="8" a="1"/>
  <c r="AT222" i="8" a="1"/>
  <c r="AT240" i="8" a="1"/>
  <c r="AT248" i="8" a="1"/>
  <c r="AT258" i="8" a="1"/>
  <c r="AT266" i="8" a="1"/>
  <c r="AT276" i="8" a="1"/>
  <c r="AT294" i="8" a="1"/>
  <c r="AT302" i="8" a="1"/>
  <c r="AT127" i="8" a="1"/>
  <c r="AT97" i="8" a="1"/>
  <c r="AT277" i="8" a="1"/>
  <c r="AT78" i="8" a="1"/>
  <c r="AT139" i="8" a="1"/>
  <c r="AT158" i="8" a="1"/>
  <c r="AT25" i="8" a="1"/>
  <c r="AT38" i="8" a="1"/>
  <c r="AT62" i="8" a="1"/>
  <c r="AT73" i="8" a="1"/>
  <c r="AT84" i="8" a="1"/>
  <c r="AT134" i="8" a="1"/>
  <c r="AT145" i="8" a="1"/>
  <c r="AT164" i="8" a="1"/>
  <c r="AT175" i="8" a="1"/>
  <c r="AT193" i="8" a="1"/>
  <c r="AT211" i="8" a="1"/>
  <c r="AT229" i="8" a="1"/>
  <c r="AT247" i="8" a="1"/>
  <c r="AT265" i="8" a="1"/>
  <c r="AT283" i="8" a="1"/>
  <c r="AT319" i="8" a="1"/>
  <c r="AT104" i="8" a="1"/>
  <c r="AT126" i="8" a="1"/>
  <c r="AT26" i="8" a="1"/>
  <c r="AT85" i="8" a="1"/>
  <c r="AT176" i="8" a="1"/>
  <c r="AT194" i="8" a="1"/>
  <c r="AT212" i="8" a="1"/>
  <c r="AT230" i="8" a="1"/>
  <c r="AT284" i="8" a="1"/>
  <c r="AT312" i="8" a="1"/>
  <c r="AT138" i="8" a="1"/>
  <c r="AT168" i="8" a="1"/>
  <c r="AT30" i="8" a="1"/>
  <c r="AT86" i="8" a="1"/>
  <c r="AT187" i="8" a="1"/>
  <c r="AT223" i="8" a="1"/>
  <c r="AT259" i="8" a="1"/>
  <c r="AT295" i="8" a="1"/>
  <c r="AT31" i="8" a="1"/>
  <c r="AT128" i="8" a="1"/>
  <c r="AT169" i="8" a="1"/>
  <c r="AT12" i="8" a="1"/>
  <c r="AT56" i="8" a="1"/>
  <c r="AT13" i="8" a="1"/>
  <c r="AT146" i="8" a="1"/>
  <c r="AT320" i="8" a="1"/>
  <c r="AT205" i="8" a="1"/>
  <c r="AT44" i="8" a="1"/>
  <c r="AT43" i="8" a="1"/>
  <c r="AT55" i="8" a="1"/>
  <c r="AT66" i="8" a="1"/>
  <c r="AT116" i="8" a="1"/>
  <c r="AT157" i="8" a="1"/>
  <c r="AT108" i="8" a="1"/>
  <c r="AT241" i="8" a="1"/>
  <c r="AT67" i="8" a="1"/>
  <c r="AT14" i="8" a="1"/>
  <c r="AT18" i="8" a="1"/>
  <c r="AT49" i="8" a="1"/>
  <c r="AT72" i="8" a="1"/>
  <c r="AT150" i="8" a="1"/>
  <c r="AT192" i="8" a="1"/>
  <c r="AT216" i="8" a="1"/>
  <c r="AT324" i="8" a="1"/>
  <c r="AT236" i="8" a="1"/>
  <c r="AT290" i="8" a="1"/>
  <c r="AT109" i="8" a="1"/>
  <c r="AT152" i="8" a="1"/>
  <c r="AT313" i="8" a="1"/>
  <c r="AT60" i="8" a="1"/>
  <c r="AT224" i="8" a="1"/>
  <c r="AT278" i="8" a="1"/>
  <c r="AT32" i="8" a="1"/>
  <c r="AT90" i="8" a="1"/>
  <c r="AT188" i="8" a="1"/>
  <c r="AT91" i="8" a="1"/>
  <c r="AT163" i="8" a="1"/>
  <c r="AT264" i="8" a="1"/>
  <c r="AT300" i="8" a="1"/>
  <c r="AT121" i="8" a="1"/>
  <c r="AT234" i="8" a="1"/>
  <c r="AT306" i="8" a="1"/>
  <c r="AT19" i="8" a="1"/>
  <c r="AT122" i="8" a="1"/>
  <c r="AT198" i="8" a="1"/>
  <c r="AT235" i="8" a="1"/>
  <c r="AT253" i="8" a="1"/>
  <c r="AT271" i="8" a="1"/>
  <c r="AT289" i="8" a="1"/>
  <c r="AT307" i="8" a="1"/>
  <c r="AT102" i="8" a="1"/>
  <c r="AT174" i="8" a="1"/>
  <c r="AT217" i="8" a="1"/>
  <c r="AT325" i="8" a="1"/>
  <c r="AT20" i="8" a="1"/>
  <c r="AT180" i="8" a="1"/>
  <c r="AT254" i="8" a="1"/>
  <c r="AT308" i="8" a="1"/>
  <c r="AT132" i="8" a="1"/>
  <c r="AT218" i="8" a="1"/>
  <c r="AT326" i="8" a="1"/>
  <c r="AT181" i="8" a="1"/>
  <c r="AT260" i="8" a="1"/>
  <c r="AT110" i="8" a="1"/>
  <c r="AT206" i="8" a="1"/>
  <c r="AT61" i="8" a="1"/>
  <c r="AT182" i="8" a="1"/>
  <c r="AT36" i="8" a="1"/>
  <c r="AT37" i="8" a="1"/>
  <c r="AT120" i="8" a="1"/>
  <c r="AT228" i="8" a="1"/>
  <c r="AT282" i="8" a="1"/>
  <c r="AT210" i="8" a="1"/>
  <c r="AT318" i="8" a="1"/>
  <c r="AT98" i="8" a="1"/>
  <c r="AT170" i="8" a="1"/>
  <c r="AT270" i="8" a="1"/>
  <c r="AT50" i="8" a="1"/>
  <c r="AT79" i="8" a="1"/>
  <c r="AT151" i="8" a="1"/>
  <c r="AT199" i="8" a="1"/>
  <c r="AT272" i="8" a="1"/>
  <c r="AT80" i="8" a="1"/>
  <c r="AT200" i="8" a="1"/>
  <c r="AT242" i="8" a="1"/>
  <c r="AT296" i="8" a="1"/>
  <c r="AT133" i="8" a="1"/>
  <c r="AT314" i="8" a="1"/>
  <c r="AT162" i="8" a="1"/>
  <c r="AT140" i="8" a="1"/>
  <c r="AT68" i="8" a="1"/>
  <c r="AT246" i="8" a="1"/>
  <c r="AT48" i="8" a="1"/>
  <c r="AT144" i="8" a="1"/>
  <c r="AT252" i="8" a="1"/>
  <c r="AT288" i="8" a="1"/>
  <c r="AS4" i="8" a="1"/>
  <c r="AS10" i="8" a="1"/>
  <c r="AS16" i="8" a="1"/>
  <c r="AS22" i="8" a="1"/>
  <c r="AS28" i="8" a="1"/>
  <c r="AS34" i="8" a="1"/>
  <c r="AS40" i="8" a="1"/>
  <c r="AS46" i="8" a="1"/>
  <c r="AS52" i="8" a="1"/>
  <c r="AS58" i="8" a="1"/>
  <c r="AS64" i="8" a="1"/>
  <c r="AS70" i="8" a="1"/>
  <c r="AS76" i="8" a="1"/>
  <c r="AS82" i="8" a="1"/>
  <c r="AS88" i="8" a="1"/>
  <c r="AS94" i="8" a="1"/>
  <c r="AS100" i="8" a="1"/>
  <c r="AS106" i="8" a="1"/>
  <c r="AS112" i="8" a="1"/>
  <c r="AS118" i="8" a="1"/>
  <c r="AS124" i="8" a="1"/>
  <c r="AS130" i="8" a="1"/>
  <c r="AS136" i="8" a="1"/>
  <c r="AS142" i="8" a="1"/>
  <c r="AS148" i="8" a="1"/>
  <c r="AS154" i="8" a="1"/>
  <c r="AS160" i="8" a="1"/>
  <c r="AS166" i="8" a="1"/>
  <c r="AS172" i="8" a="1"/>
  <c r="AS178" i="8" a="1"/>
  <c r="AS184" i="8" a="1"/>
  <c r="AS190" i="8" a="1"/>
  <c r="AS196" i="8" a="1"/>
  <c r="AS202" i="8" a="1"/>
  <c r="AS208" i="8" a="1"/>
  <c r="AS214" i="8" a="1"/>
  <c r="AS220" i="8" a="1"/>
  <c r="AS226" i="8" a="1"/>
  <c r="AS232" i="8" a="1"/>
  <c r="AS238" i="8" a="1"/>
  <c r="AS244" i="8" a="1"/>
  <c r="AS250" i="8" a="1"/>
  <c r="AS256" i="8" a="1"/>
  <c r="AS262" i="8" a="1"/>
  <c r="AS268" i="8" a="1"/>
  <c r="AS274" i="8" a="1"/>
  <c r="AS280" i="8" a="1"/>
  <c r="AS286" i="8" a="1"/>
  <c r="AS292" i="8" a="1"/>
  <c r="AS298" i="8" a="1"/>
  <c r="AS304" i="8" a="1"/>
  <c r="AS310" i="8" a="1"/>
  <c r="AS316" i="8" a="1"/>
  <c r="AS322" i="8" a="1"/>
  <c r="AS17" i="8" a="1"/>
  <c r="AS23" i="8" a="1"/>
  <c r="AS29" i="8" a="1"/>
  <c r="AS35" i="8" a="1"/>
  <c r="AS41" i="8" a="1"/>
  <c r="AS47" i="8" a="1"/>
  <c r="AS53" i="8" a="1"/>
  <c r="AS59" i="8" a="1"/>
  <c r="AS71" i="8" a="1"/>
  <c r="AS77" i="8" a="1"/>
  <c r="AS83" i="8" a="1"/>
  <c r="AS95" i="8" a="1"/>
  <c r="AS101" i="8" a="1"/>
  <c r="AS113" i="8" a="1"/>
  <c r="AS125" i="8" a="1"/>
  <c r="AS137" i="8" a="1"/>
  <c r="AS149" i="8" a="1"/>
  <c r="AS161" i="8" a="1"/>
  <c r="AS173" i="8" a="1"/>
  <c r="AS185" i="8" a="1"/>
  <c r="AS197" i="8" a="1"/>
  <c r="AS209" i="8" a="1"/>
  <c r="AS221" i="8" a="1"/>
  <c r="AS233" i="8" a="1"/>
  <c r="AS245" i="8" a="1"/>
  <c r="AS257" i="8" a="1"/>
  <c r="AS269" i="8" a="1"/>
  <c r="AS281" i="8" a="1"/>
  <c r="AS293" i="8" a="1"/>
  <c r="AS305" i="8" a="1"/>
  <c r="AS317" i="8" a="1"/>
  <c r="AS11" i="8" a="1"/>
  <c r="AS65" i="8" a="1"/>
  <c r="AS89" i="8" a="1"/>
  <c r="AS107" i="8" a="1"/>
  <c r="AS119" i="8" a="1"/>
  <c r="AS131" i="8" a="1"/>
  <c r="AS143" i="8" a="1"/>
  <c r="AS155" i="8" a="1"/>
  <c r="AS167" i="8" a="1"/>
  <c r="AS179" i="8" a="1"/>
  <c r="AS191" i="8" a="1"/>
  <c r="AS203" i="8" a="1"/>
  <c r="AS215" i="8" a="1"/>
  <c r="AS227" i="8" a="1"/>
  <c r="AS239" i="8" a="1"/>
  <c r="AS251" i="8" a="1"/>
  <c r="AS263" i="8" a="1"/>
  <c r="AS275" i="8" a="1"/>
  <c r="AS287" i="8" a="1"/>
  <c r="AS299" i="8" a="1"/>
  <c r="AS311" i="8" a="1"/>
  <c r="AS323" i="8" a="1"/>
  <c r="AS5" i="8" a="1"/>
  <c r="AS6" i="8" a="1"/>
  <c r="AS12" i="8" a="1"/>
  <c r="AS18" i="8" a="1"/>
  <c r="AS24" i="8" a="1"/>
  <c r="AS30" i="8" a="1"/>
  <c r="AS36" i="8" a="1"/>
  <c r="AS42" i="8" a="1"/>
  <c r="AS48" i="8" a="1"/>
  <c r="AS54" i="8" a="1"/>
  <c r="AS60" i="8" a="1"/>
  <c r="AS66" i="8" a="1"/>
  <c r="AS72" i="8" a="1"/>
  <c r="AS78" i="8" a="1"/>
  <c r="AS84" i="8" a="1"/>
  <c r="AS90" i="8" a="1"/>
  <c r="AS96" i="8" a="1"/>
  <c r="AS102" i="8" a="1"/>
  <c r="AS108" i="8" a="1"/>
  <c r="AS114" i="8" a="1"/>
  <c r="AS120" i="8" a="1"/>
  <c r="AS126" i="8" a="1"/>
  <c r="AS132" i="8" a="1"/>
  <c r="AS138" i="8" a="1"/>
  <c r="AS144" i="8" a="1"/>
  <c r="AS150" i="8" a="1"/>
  <c r="AS156" i="8" a="1"/>
  <c r="AS162" i="8" a="1"/>
  <c r="AS168" i="8" a="1"/>
  <c r="AS174" i="8" a="1"/>
  <c r="AS180" i="8" a="1"/>
  <c r="AS186" i="8" a="1"/>
  <c r="AS192" i="8" a="1"/>
  <c r="AS198" i="8" a="1"/>
  <c r="AS204" i="8" a="1"/>
  <c r="AS210" i="8" a="1"/>
  <c r="AS216" i="8" a="1"/>
  <c r="AS222" i="8" a="1"/>
  <c r="AS228" i="8" a="1"/>
  <c r="AS234" i="8" a="1"/>
  <c r="AS240" i="8" a="1"/>
  <c r="AS246" i="8" a="1"/>
  <c r="AS252" i="8" a="1"/>
  <c r="AS258" i="8" a="1"/>
  <c r="AS264" i="8" a="1"/>
  <c r="AS270" i="8" a="1"/>
  <c r="AS276" i="8" a="1"/>
  <c r="AS282" i="8" a="1"/>
  <c r="AS288" i="8" a="1"/>
  <c r="AS294" i="8" a="1"/>
  <c r="AS300" i="8" a="1"/>
  <c r="AS306" i="8" a="1"/>
  <c r="AS312" i="8" a="1"/>
  <c r="AS318" i="8" a="1"/>
  <c r="AS324" i="8" a="1"/>
  <c r="AS7" i="8" a="1"/>
  <c r="AS8" i="8" a="1"/>
  <c r="AS14" i="8" a="1"/>
  <c r="AS20" i="8" a="1"/>
  <c r="AS26" i="8" a="1"/>
  <c r="AS9" i="8" a="1"/>
  <c r="AS15" i="8" a="1"/>
  <c r="AS21" i="8" a="1"/>
  <c r="AS27" i="8" a="1"/>
  <c r="AS33" i="8" a="1"/>
  <c r="AS39" i="8" a="1"/>
  <c r="AS45" i="8" a="1"/>
  <c r="AS51" i="8" a="1"/>
  <c r="AS57" i="8" a="1"/>
  <c r="AS63" i="8" a="1"/>
  <c r="AS69" i="8" a="1"/>
  <c r="AS75" i="8" a="1"/>
  <c r="AS81" i="8" a="1"/>
  <c r="AS87" i="8" a="1"/>
  <c r="AS93" i="8" a="1"/>
  <c r="AS99" i="8" a="1"/>
  <c r="AS105" i="8" a="1"/>
  <c r="AS111" i="8" a="1"/>
  <c r="AS117" i="8" a="1"/>
  <c r="AS123" i="8" a="1"/>
  <c r="AS129" i="8" a="1"/>
  <c r="AS135" i="8" a="1"/>
  <c r="AS32" i="8" a="1"/>
  <c r="AS50" i="8" a="1"/>
  <c r="AS68" i="8" a="1"/>
  <c r="AS86" i="8" a="1"/>
  <c r="AS104" i="8" a="1"/>
  <c r="AS165" i="8" a="1"/>
  <c r="AS176" i="8" a="1"/>
  <c r="AS195" i="8" a="1"/>
  <c r="AS206" i="8" a="1"/>
  <c r="AS224" i="8" a="1"/>
  <c r="AS242" i="8" a="1"/>
  <c r="AS260" i="8" a="1"/>
  <c r="AS278" i="8" a="1"/>
  <c r="AS296" i="8" a="1"/>
  <c r="AS314" i="8" a="1"/>
  <c r="AS207" i="8" a="1"/>
  <c r="AS235" i="8" a="1"/>
  <c r="AS253" i="8" a="1"/>
  <c r="AS279" i="8" a="1"/>
  <c r="AS315" i="8" a="1"/>
  <c r="AS37" i="8" a="1"/>
  <c r="AS109" i="8" a="1"/>
  <c r="AS147" i="8" a="1"/>
  <c r="AS38" i="8" a="1"/>
  <c r="AS92" i="8" a="1"/>
  <c r="AS254" i="8" a="1"/>
  <c r="AS326" i="8" a="1"/>
  <c r="AS110" i="8" a="1"/>
  <c r="AS189" i="8" a="1"/>
  <c r="AS151" i="8" a="1"/>
  <c r="AS219" i="8" a="1"/>
  <c r="AS255" i="8" a="1"/>
  <c r="AS301" i="8" a="1"/>
  <c r="AS43" i="8" a="1"/>
  <c r="AS201" i="8" a="1"/>
  <c r="AS25" i="8" a="1"/>
  <c r="AS98" i="8" a="1"/>
  <c r="AS152" i="8" a="1"/>
  <c r="AS212" i="8" a="1"/>
  <c r="AS284" i="8" a="1"/>
  <c r="AS183" i="8" a="1"/>
  <c r="AS116" i="8" a="1"/>
  <c r="AS175" i="8" a="1"/>
  <c r="AS223" i="8" a="1"/>
  <c r="AS259" i="8" a="1"/>
  <c r="AS295" i="8" a="1"/>
  <c r="AS31" i="8" a="1"/>
  <c r="AS103" i="8" a="1"/>
  <c r="AS121" i="8" a="1"/>
  <c r="AS134" i="8" a="1"/>
  <c r="AS146" i="8" a="1"/>
  <c r="AS157" i="8" a="1"/>
  <c r="AS187" i="8" a="1"/>
  <c r="AS217" i="8" a="1"/>
  <c r="AS243" i="8" a="1"/>
  <c r="AS271" i="8" a="1"/>
  <c r="AS289" i="8" a="1"/>
  <c r="AS307" i="8" a="1"/>
  <c r="AS91" i="8" a="1"/>
  <c r="AS122" i="8" a="1"/>
  <c r="AS158" i="8" a="1"/>
  <c r="AS188" i="8" a="1"/>
  <c r="AS74" i="8" a="1"/>
  <c r="AS139" i="8" a="1"/>
  <c r="AS218" i="8" a="1"/>
  <c r="AS290" i="8" a="1"/>
  <c r="AS19" i="8" a="1"/>
  <c r="AS159" i="8" a="1"/>
  <c r="AS140" i="8" a="1"/>
  <c r="AS229" i="8" a="1"/>
  <c r="AS265" i="8" a="1"/>
  <c r="AS291" i="8" a="1"/>
  <c r="AS97" i="8" a="1"/>
  <c r="AS171" i="8" a="1"/>
  <c r="AS80" i="8" a="1"/>
  <c r="AS141" i="8" a="1"/>
  <c r="AS193" i="8" a="1"/>
  <c r="AS266" i="8" a="1"/>
  <c r="AS320" i="8" a="1"/>
  <c r="AS153" i="8" a="1"/>
  <c r="AS194" i="8" a="1"/>
  <c r="AS231" i="8" a="1"/>
  <c r="AS277" i="8" a="1"/>
  <c r="AS321" i="8" a="1"/>
  <c r="AS85" i="8" a="1"/>
  <c r="AS133" i="8" a="1"/>
  <c r="AS13" i="8" a="1"/>
  <c r="AS177" i="8" a="1"/>
  <c r="AS225" i="8" a="1"/>
  <c r="AS261" i="8" a="1"/>
  <c r="AS297" i="8" a="1"/>
  <c r="AS325" i="8" a="1"/>
  <c r="AS73" i="8" a="1"/>
  <c r="AS169" i="8" a="1"/>
  <c r="AS56" i="8" a="1"/>
  <c r="AS272" i="8" a="1"/>
  <c r="AS181" i="8" a="1"/>
  <c r="AS200" i="8" a="1"/>
  <c r="AS127" i="8" a="1"/>
  <c r="AS211" i="8" a="1"/>
  <c r="AS247" i="8" a="1"/>
  <c r="AS283" i="8" a="1"/>
  <c r="AS309" i="8" a="1"/>
  <c r="AS327" i="8" a="1"/>
  <c r="AS79" i="8" a="1"/>
  <c r="AS62" i="8" a="1"/>
  <c r="AS115" i="8" a="1"/>
  <c r="AS163" i="8" a="1"/>
  <c r="AS230" i="8" a="1"/>
  <c r="AS213" i="8" a="1"/>
  <c r="AS249" i="8" a="1"/>
  <c r="AS285" i="8" a="1"/>
  <c r="AS313" i="8" a="1"/>
  <c r="AS67" i="8" a="1"/>
  <c r="AS145" i="8" a="1"/>
  <c r="AS55" i="8" a="1"/>
  <c r="AS199" i="8" a="1"/>
  <c r="AS236" i="8" a="1"/>
  <c r="AS308" i="8" a="1"/>
  <c r="AS170" i="8" a="1"/>
  <c r="AS237" i="8" a="1"/>
  <c r="AS273" i="8" a="1"/>
  <c r="AS319" i="8" a="1"/>
  <c r="AS61" i="8" a="1"/>
  <c r="AS182" i="8" a="1"/>
  <c r="AS44" i="8" a="1"/>
  <c r="AS128" i="8" a="1"/>
  <c r="AS248" i="8" a="1"/>
  <c r="AS302" i="8" a="1"/>
  <c r="AS164" i="8" a="1"/>
  <c r="AS205" i="8" a="1"/>
  <c r="AS241" i="8" a="1"/>
  <c r="AS267" i="8" a="1"/>
  <c r="AS303" i="8" a="1"/>
  <c r="AS49" i="8" a="1"/>
  <c r="AU3" i="8" a="1"/>
  <c r="AT3" i="8" a="1"/>
  <c r="AS3" i="8" a="1"/>
  <c r="AR4" i="8" a="1"/>
  <c r="AR10" i="8" a="1"/>
  <c r="AR16" i="8" a="1"/>
  <c r="AR22" i="8" a="1"/>
  <c r="AR28" i="8" a="1"/>
  <c r="AR34" i="8" a="1"/>
  <c r="AR40" i="8" a="1"/>
  <c r="AR46" i="8" a="1"/>
  <c r="AR52" i="8" a="1"/>
  <c r="AR58" i="8" a="1"/>
  <c r="AR64" i="8" a="1"/>
  <c r="AR70" i="8" a="1"/>
  <c r="AR76" i="8" a="1"/>
  <c r="AR82" i="8" a="1"/>
  <c r="AR88" i="8" a="1"/>
  <c r="AR94" i="8" a="1"/>
  <c r="AR100" i="8" a="1"/>
  <c r="AR106" i="8" a="1"/>
  <c r="AR11" i="8" a="1"/>
  <c r="AR17" i="8" a="1"/>
  <c r="AR47" i="8" a="1"/>
  <c r="AR59" i="8" a="1"/>
  <c r="AR71" i="8" a="1"/>
  <c r="AR77" i="8" a="1"/>
  <c r="AR89" i="8" a="1"/>
  <c r="AR95" i="8" a="1"/>
  <c r="AR107" i="8" a="1"/>
  <c r="AR113" i="8" a="1"/>
  <c r="AR125" i="8" a="1"/>
  <c r="AR131" i="8" a="1"/>
  <c r="AR143" i="8" a="1"/>
  <c r="AR149" i="8" a="1"/>
  <c r="AR161" i="8" a="1"/>
  <c r="AR167" i="8" a="1"/>
  <c r="AR173" i="8" a="1"/>
  <c r="AR179" i="8" a="1"/>
  <c r="AR185" i="8" a="1"/>
  <c r="AR191" i="8" a="1"/>
  <c r="AR197" i="8" a="1"/>
  <c r="AR203" i="8" a="1"/>
  <c r="AR209" i="8" a="1"/>
  <c r="AR215" i="8" a="1"/>
  <c r="AR221" i="8" a="1"/>
  <c r="AR227" i="8" a="1"/>
  <c r="AR233" i="8" a="1"/>
  <c r="AR239" i="8" a="1"/>
  <c r="AR245" i="8" a="1"/>
  <c r="AR251" i="8" a="1"/>
  <c r="AR257" i="8" a="1"/>
  <c r="AR263" i="8" a="1"/>
  <c r="AR269" i="8" a="1"/>
  <c r="AR275" i="8" a="1"/>
  <c r="AR281" i="8" a="1"/>
  <c r="AR287" i="8" a="1"/>
  <c r="AR293" i="8" a="1"/>
  <c r="AR299" i="8" a="1"/>
  <c r="AR305" i="8" a="1"/>
  <c r="AR311" i="8" a="1"/>
  <c r="AR317" i="8" a="1"/>
  <c r="AR323" i="8" a="1"/>
  <c r="AR5" i="8" a="1"/>
  <c r="AR23" i="8" a="1"/>
  <c r="AR29" i="8" a="1"/>
  <c r="AR35" i="8" a="1"/>
  <c r="AR41" i="8" a="1"/>
  <c r="AR53" i="8" a="1"/>
  <c r="AR65" i="8" a="1"/>
  <c r="AR83" i="8" a="1"/>
  <c r="AR101" i="8" a="1"/>
  <c r="AR119" i="8" a="1"/>
  <c r="AR137" i="8" a="1"/>
  <c r="AR155" i="8" a="1"/>
  <c r="AR6" i="8" a="1"/>
  <c r="AR7" i="8" a="1"/>
  <c r="AR8" i="8" a="1"/>
  <c r="AR18" i="8" a="1"/>
  <c r="AR26" i="8" a="1"/>
  <c r="AR50" i="8" a="1"/>
  <c r="AR74" i="8" a="1"/>
  <c r="AR98" i="8" a="1"/>
  <c r="AR114" i="8" a="1"/>
  <c r="AR121" i="8" a="1"/>
  <c r="AR128" i="8" a="1"/>
  <c r="AR135" i="8" a="1"/>
  <c r="AR142" i="8" a="1"/>
  <c r="AR150" i="8" a="1"/>
  <c r="AR157" i="8" a="1"/>
  <c r="AR164" i="8" a="1"/>
  <c r="AR171" i="8" a="1"/>
  <c r="AR178" i="8" a="1"/>
  <c r="AR186" i="8" a="1"/>
  <c r="AR193" i="8" a="1"/>
  <c r="AR200" i="8" a="1"/>
  <c r="AR207" i="8" a="1"/>
  <c r="AR214" i="8" a="1"/>
  <c r="AR222" i="8" a="1"/>
  <c r="AR229" i="8" a="1"/>
  <c r="AR236" i="8" a="1"/>
  <c r="AR243" i="8" a="1"/>
  <c r="AR250" i="8" a="1"/>
  <c r="AR258" i="8" a="1"/>
  <c r="AR265" i="8" a="1"/>
  <c r="AR272" i="8" a="1"/>
  <c r="AR279" i="8" a="1"/>
  <c r="AR286" i="8" a="1"/>
  <c r="AR294" i="8" a="1"/>
  <c r="AR301" i="8" a="1"/>
  <c r="AR308" i="8" a="1"/>
  <c r="AR315" i="8" a="1"/>
  <c r="AR322" i="8" a="1"/>
  <c r="AR172" i="8" a="1"/>
  <c r="AR230" i="8" a="1"/>
  <c r="AR252" i="8" a="1"/>
  <c r="AR266" i="8" a="1"/>
  <c r="AR280" i="8" a="1"/>
  <c r="AR295" i="8" a="1"/>
  <c r="AR309" i="8" a="1"/>
  <c r="AR324" i="8" a="1"/>
  <c r="AR92" i="8" a="1"/>
  <c r="AR20" i="8" a="1"/>
  <c r="AR85" i="8" a="1"/>
  <c r="AR109" i="8" a="1"/>
  <c r="AR123" i="8" a="1"/>
  <c r="AR145" i="8" a="1"/>
  <c r="AR159" i="8" a="1"/>
  <c r="AR174" i="8" a="1"/>
  <c r="AR188" i="8" a="1"/>
  <c r="AR202" i="8" a="1"/>
  <c r="AR217" i="8" a="1"/>
  <c r="AR231" i="8" a="1"/>
  <c r="AR246" i="8" a="1"/>
  <c r="AR260" i="8" a="1"/>
  <c r="AR274" i="8" a="1"/>
  <c r="AR289" i="8" a="1"/>
  <c r="AR303" i="8" a="1"/>
  <c r="AR318" i="8" a="1"/>
  <c r="AR54" i="8" a="1"/>
  <c r="AR78" i="8" a="1"/>
  <c r="AR93" i="8" a="1"/>
  <c r="AR43" i="8" a="1"/>
  <c r="AR67" i="8" a="1"/>
  <c r="AR91" i="8" a="1"/>
  <c r="AR9" i="8" a="1"/>
  <c r="AR19" i="8" a="1"/>
  <c r="AR27" i="8" a="1"/>
  <c r="AR36" i="8" a="1"/>
  <c r="AR51" i="8" a="1"/>
  <c r="AR60" i="8" a="1"/>
  <c r="AR75" i="8" a="1"/>
  <c r="AR84" i="8" a="1"/>
  <c r="AR99" i="8" a="1"/>
  <c r="AR108" i="8" a="1"/>
  <c r="AR115" i="8" a="1"/>
  <c r="AR122" i="8" a="1"/>
  <c r="AR136" i="8" a="1"/>
  <c r="AR144" i="8" a="1"/>
  <c r="AR151" i="8" a="1"/>
  <c r="AR158" i="8" a="1"/>
  <c r="AR165" i="8" a="1"/>
  <c r="AR180" i="8" a="1"/>
  <c r="AR187" i="8" a="1"/>
  <c r="AR194" i="8" a="1"/>
  <c r="AR201" i="8" a="1"/>
  <c r="AR208" i="8" a="1"/>
  <c r="AR216" i="8" a="1"/>
  <c r="AR223" i="8" a="1"/>
  <c r="AR237" i="8" a="1"/>
  <c r="AR244" i="8" a="1"/>
  <c r="AR259" i="8" a="1"/>
  <c r="AR273" i="8" a="1"/>
  <c r="AR288" i="8" a="1"/>
  <c r="AR302" i="8" a="1"/>
  <c r="AR316" i="8" a="1"/>
  <c r="AR68" i="8" a="1"/>
  <c r="AR37" i="8" a="1"/>
  <c r="AR61" i="8" a="1"/>
  <c r="AR116" i="8" a="1"/>
  <c r="AR138" i="8" a="1"/>
  <c r="AR152" i="8" a="1"/>
  <c r="AR166" i="8" a="1"/>
  <c r="AR181" i="8" a="1"/>
  <c r="AR195" i="8" a="1"/>
  <c r="AR210" i="8" a="1"/>
  <c r="AR224" i="8" a="1"/>
  <c r="AR238" i="8" a="1"/>
  <c r="AR253" i="8" a="1"/>
  <c r="AR267" i="8" a="1"/>
  <c r="AR282" i="8" a="1"/>
  <c r="AR296" i="8" a="1"/>
  <c r="AR310" i="8" a="1"/>
  <c r="AR325" i="8" a="1"/>
  <c r="AR45" i="8" a="1"/>
  <c r="AR69" i="8" a="1"/>
  <c r="AR102" i="8" a="1"/>
  <c r="AR129" i="8" a="1"/>
  <c r="AR44" i="8" a="1"/>
  <c r="AR12" i="8" a="1"/>
  <c r="AR130" i="8" a="1"/>
  <c r="AR30" i="8" a="1"/>
  <c r="AR31" i="8" a="1"/>
  <c r="AR14" i="8" a="1"/>
  <c r="AR24" i="8" a="1"/>
  <c r="AR39" i="8" a="1"/>
  <c r="AR48" i="8" a="1"/>
  <c r="AR63" i="8" a="1"/>
  <c r="AR72" i="8" a="1"/>
  <c r="AR87" i="8" a="1"/>
  <c r="AR96" i="8" a="1"/>
  <c r="AR111" i="8" a="1"/>
  <c r="AR118" i="8" a="1"/>
  <c r="AR126" i="8" a="1"/>
  <c r="AR133" i="8" a="1"/>
  <c r="AR140" i="8" a="1"/>
  <c r="AR147" i="8" a="1"/>
  <c r="AR154" i="8" a="1"/>
  <c r="AR162" i="8" a="1"/>
  <c r="AR169" i="8" a="1"/>
  <c r="AR176" i="8" a="1"/>
  <c r="AR183" i="8" a="1"/>
  <c r="AR190" i="8" a="1"/>
  <c r="AR198" i="8" a="1"/>
  <c r="AR205" i="8" a="1"/>
  <c r="AR212" i="8" a="1"/>
  <c r="AR219" i="8" a="1"/>
  <c r="AR226" i="8" a="1"/>
  <c r="AR234" i="8" a="1"/>
  <c r="AR241" i="8" a="1"/>
  <c r="AR248" i="8" a="1"/>
  <c r="AR255" i="8" a="1"/>
  <c r="AR262" i="8" a="1"/>
  <c r="AR270" i="8" a="1"/>
  <c r="AR277" i="8" a="1"/>
  <c r="AR284" i="8" a="1"/>
  <c r="AR291" i="8" a="1"/>
  <c r="AR15" i="8" a="1"/>
  <c r="AR13" i="8" a="1"/>
  <c r="AR148" i="8" a="1"/>
  <c r="AR168" i="8" a="1"/>
  <c r="AR235" i="8" a="1"/>
  <c r="AR254" i="8" a="1"/>
  <c r="AR196" i="8" a="1"/>
  <c r="AR213" i="8" a="1"/>
  <c r="AR112" i="8" a="1"/>
  <c r="AR57" i="8" a="1"/>
  <c r="AR79" i="8" a="1"/>
  <c r="AR97" i="8" a="1"/>
  <c r="AR117" i="8" a="1"/>
  <c r="AR184" i="8" a="1"/>
  <c r="AR204" i="8" a="1"/>
  <c r="AR271" i="8" a="1"/>
  <c r="AR290" i="8" a="1"/>
  <c r="AR304" i="8" a="1"/>
  <c r="AR319" i="8" a="1"/>
  <c r="AR321" i="8" a="1"/>
  <c r="AR160" i="8" a="1"/>
  <c r="AR283" i="8" a="1"/>
  <c r="AR62" i="8" a="1"/>
  <c r="AR80" i="8" a="1"/>
  <c r="AR134" i="8" a="1"/>
  <c r="AR153" i="8" a="1"/>
  <c r="AR220" i="8" a="1"/>
  <c r="AR240" i="8" a="1"/>
  <c r="AR21" i="8" a="1"/>
  <c r="AR189" i="8" a="1"/>
  <c r="AR256" i="8" a="1"/>
  <c r="AR306" i="8" a="1"/>
  <c r="AR320" i="8" a="1"/>
  <c r="AR81" i="8" a="1"/>
  <c r="AR120" i="8" a="1"/>
  <c r="AR139" i="8" a="1"/>
  <c r="AR206" i="8" a="1"/>
  <c r="AR292" i="8" a="1"/>
  <c r="AR25" i="8" a="1"/>
  <c r="AR261" i="8" a="1"/>
  <c r="AR192" i="8" a="1"/>
  <c r="AR278" i="8" a="1"/>
  <c r="AR312" i="8" a="1"/>
  <c r="AR32" i="8" a="1"/>
  <c r="AR127" i="8" a="1"/>
  <c r="AR327" i="8" a="1"/>
  <c r="AR285" i="8" a="1"/>
  <c r="AR42" i="8" a="1"/>
  <c r="AR170" i="8" a="1"/>
  <c r="AR276" i="8" a="1"/>
  <c r="AR225" i="8" a="1"/>
  <c r="AR86" i="8" a="1"/>
  <c r="AR307" i="8" a="1"/>
  <c r="AR110" i="8" a="1"/>
  <c r="AR326" i="8" a="1"/>
  <c r="AR232" i="8" a="1"/>
  <c r="AR103" i="8" a="1"/>
  <c r="AR104" i="8" a="1"/>
  <c r="AR156" i="8" a="1"/>
  <c r="AR242" i="8" a="1"/>
  <c r="AR124" i="8" a="1"/>
  <c r="AR211" i="8" a="1"/>
  <c r="AR297" i="8" a="1"/>
  <c r="AR105" i="8" a="1"/>
  <c r="AR247" i="8" a="1"/>
  <c r="AR298" i="8" a="1"/>
  <c r="AR146" i="8" a="1"/>
  <c r="AR56" i="8" a="1"/>
  <c r="AR199" i="8" a="1"/>
  <c r="AR175" i="8" a="1"/>
  <c r="AR177" i="8" a="1"/>
  <c r="AR314" i="8" a="1"/>
  <c r="AR66" i="8" a="1"/>
  <c r="AR264" i="8" a="1"/>
  <c r="AR218" i="8" a="1"/>
  <c r="AR49" i="8" a="1"/>
  <c r="AR141" i="8" a="1"/>
  <c r="AR228" i="8" a="1"/>
  <c r="AR90" i="8" a="1"/>
  <c r="AR313" i="8" a="1"/>
  <c r="AR132" i="8" a="1"/>
  <c r="AR33" i="8" a="1"/>
  <c r="AR55" i="8" a="1"/>
  <c r="AR73" i="8" a="1"/>
  <c r="AR163" i="8" a="1"/>
  <c r="AR182" i="8" a="1"/>
  <c r="AR249" i="8" a="1"/>
  <c r="AR268" i="8" a="1"/>
  <c r="AR300" i="8" a="1"/>
  <c r="AR38" i="8" a="1"/>
  <c r="AR3" i="8" a="1"/>
  <c r="Y13" i="8" a="1"/>
  <c r="Y14" i="8" a="1"/>
  <c r="AB13" i="8" a="1"/>
  <c r="AB14" i="8" a="1"/>
  <c r="AA13" i="8" a="1"/>
  <c r="AA14" i="8" a="1"/>
  <c r="Z13" i="8" a="1"/>
  <c r="Z14" i="8" a="1"/>
  <c r="S13" i="8" a="1"/>
  <c r="S14" i="8" a="1"/>
  <c r="R13" i="8" a="1"/>
  <c r="R14" i="8" a="1"/>
  <c r="Q13" i="8" a="1"/>
  <c r="Q14" i="8" a="1"/>
  <c r="P13" i="8" a="1"/>
  <c r="P15" i="8" a="1"/>
  <c r="P14" i="8" a="1"/>
  <c r="AK13" i="8" a="1"/>
  <c r="AK15" i="8" a="1"/>
  <c r="AK14" i="8" a="1"/>
  <c r="AJ14" i="8" a="1"/>
  <c r="AJ15" i="8" a="1"/>
  <c r="AJ13" i="8" a="1"/>
  <c r="AI13" i="8" a="1"/>
  <c r="AI19" i="8" a="1"/>
  <c r="AI25" i="8" a="1"/>
  <c r="AI31" i="8" a="1"/>
  <c r="AI37" i="8" a="1"/>
  <c r="AI43" i="8" a="1"/>
  <c r="AI49" i="8" a="1"/>
  <c r="AI55" i="8" a="1"/>
  <c r="AI61" i="8" a="1"/>
  <c r="AI67" i="8" a="1"/>
  <c r="AI73" i="8" a="1"/>
  <c r="AI79" i="8" a="1"/>
  <c r="AI85" i="8" a="1"/>
  <c r="AI91" i="8" a="1"/>
  <c r="AI97" i="8" a="1"/>
  <c r="AI103" i="8" a="1"/>
  <c r="AI109" i="8" a="1"/>
  <c r="AI115" i="8" a="1"/>
  <c r="AI121" i="8" a="1"/>
  <c r="AI127" i="8" a="1"/>
  <c r="AI133" i="8" a="1"/>
  <c r="AI139" i="8" a="1"/>
  <c r="AI145" i="8" a="1"/>
  <c r="AI151" i="8" a="1"/>
  <c r="AI157" i="8" a="1"/>
  <c r="AI163" i="8" a="1"/>
  <c r="AI169" i="8" a="1"/>
  <c r="AI175" i="8" a="1"/>
  <c r="AI181" i="8" a="1"/>
  <c r="AI187" i="8" a="1"/>
  <c r="AI193" i="8" a="1"/>
  <c r="AI199" i="8" a="1"/>
  <c r="AI205" i="8" a="1"/>
  <c r="AI211" i="8" a="1"/>
  <c r="AI217" i="8" a="1"/>
  <c r="AI223" i="8" a="1"/>
  <c r="AI229" i="8" a="1"/>
  <c r="AI235" i="8" a="1"/>
  <c r="AI241" i="8" a="1"/>
  <c r="AI247" i="8" a="1"/>
  <c r="AI253" i="8" a="1"/>
  <c r="AI259" i="8" a="1"/>
  <c r="AI265" i="8" a="1"/>
  <c r="AI271" i="8" a="1"/>
  <c r="AI277" i="8" a="1"/>
  <c r="AI283" i="8" a="1"/>
  <c r="AI289" i="8" a="1"/>
  <c r="AI295" i="8" a="1"/>
  <c r="AI301" i="8" a="1"/>
  <c r="AI307" i="8" a="1"/>
  <c r="AI313" i="8" a="1"/>
  <c r="AI319" i="8" a="1"/>
  <c r="AI325" i="8" a="1"/>
  <c r="AI152" i="8" a="1"/>
  <c r="AI170" i="8" a="1"/>
  <c r="AI182" i="8" a="1"/>
  <c r="AI194" i="8" a="1"/>
  <c r="AI212" i="8" a="1"/>
  <c r="AI224" i="8" a="1"/>
  <c r="AI236" i="8" a="1"/>
  <c r="AI254" i="8" a="1"/>
  <c r="AI266" i="8" a="1"/>
  <c r="AI278" i="8" a="1"/>
  <c r="AI290" i="8" a="1"/>
  <c r="AI308" i="8" a="1"/>
  <c r="AI326" i="8" a="1"/>
  <c r="AI248" i="8" a="1"/>
  <c r="AI302" i="8" a="1"/>
  <c r="AI320" i="8" a="1"/>
  <c r="AI321" i="8" a="1"/>
  <c r="AI14" i="8" a="1"/>
  <c r="AI20" i="8" a="1"/>
  <c r="AI26" i="8" a="1"/>
  <c r="AI32" i="8" a="1"/>
  <c r="AI38" i="8" a="1"/>
  <c r="AI44" i="8" a="1"/>
  <c r="AI50" i="8" a="1"/>
  <c r="AI56" i="8" a="1"/>
  <c r="AI62" i="8" a="1"/>
  <c r="AI68" i="8" a="1"/>
  <c r="AI74" i="8" a="1"/>
  <c r="AI80" i="8" a="1"/>
  <c r="AI86" i="8" a="1"/>
  <c r="AI92" i="8" a="1"/>
  <c r="AI98" i="8" a="1"/>
  <c r="AI104" i="8" a="1"/>
  <c r="AI110" i="8" a="1"/>
  <c r="AI116" i="8" a="1"/>
  <c r="AI122" i="8" a="1"/>
  <c r="AI128" i="8" a="1"/>
  <c r="AI134" i="8" a="1"/>
  <c r="AI140" i="8" a="1"/>
  <c r="AI146" i="8" a="1"/>
  <c r="AI158" i="8" a="1"/>
  <c r="AI164" i="8" a="1"/>
  <c r="AI176" i="8" a="1"/>
  <c r="AI188" i="8" a="1"/>
  <c r="AI200" i="8" a="1"/>
  <c r="AI206" i="8" a="1"/>
  <c r="AI218" i="8" a="1"/>
  <c r="AI230" i="8" a="1"/>
  <c r="AI242" i="8" a="1"/>
  <c r="AI260" i="8" a="1"/>
  <c r="AI272" i="8" a="1"/>
  <c r="AI284" i="8" a="1"/>
  <c r="AI296" i="8" a="1"/>
  <c r="AI314" i="8" a="1"/>
  <c r="AI315" i="8" a="1"/>
  <c r="AI15" i="8" a="1"/>
  <c r="AI21" i="8" a="1"/>
  <c r="AI27" i="8" a="1"/>
  <c r="AI33" i="8" a="1"/>
  <c r="AI39" i="8" a="1"/>
  <c r="AI45" i="8" a="1"/>
  <c r="AI51" i="8" a="1"/>
  <c r="AI57" i="8" a="1"/>
  <c r="AI63" i="8" a="1"/>
  <c r="AI69" i="8" a="1"/>
  <c r="AI75" i="8" a="1"/>
  <c r="AI81" i="8" a="1"/>
  <c r="AI87" i="8" a="1"/>
  <c r="AI93" i="8" a="1"/>
  <c r="AI99" i="8" a="1"/>
  <c r="AI105" i="8" a="1"/>
  <c r="AI111" i="8" a="1"/>
  <c r="AI117" i="8" a="1"/>
  <c r="AI123" i="8" a="1"/>
  <c r="AI129" i="8" a="1"/>
  <c r="AI135" i="8" a="1"/>
  <c r="AI141" i="8" a="1"/>
  <c r="AI147" i="8" a="1"/>
  <c r="AI153" i="8" a="1"/>
  <c r="AI159" i="8" a="1"/>
  <c r="AI165" i="8" a="1"/>
  <c r="AI171" i="8" a="1"/>
  <c r="AI177" i="8" a="1"/>
  <c r="AI183" i="8" a="1"/>
  <c r="AI189" i="8" a="1"/>
  <c r="AI195" i="8" a="1"/>
  <c r="AI201" i="8" a="1"/>
  <c r="AI207" i="8" a="1"/>
  <c r="AI213" i="8" a="1"/>
  <c r="AI219" i="8" a="1"/>
  <c r="AI225" i="8" a="1"/>
  <c r="AI231" i="8" a="1"/>
  <c r="AI237" i="8" a="1"/>
  <c r="AI243" i="8" a="1"/>
  <c r="AI249" i="8" a="1"/>
  <c r="AI255" i="8" a="1"/>
  <c r="AI261" i="8" a="1"/>
  <c r="AI267" i="8" a="1"/>
  <c r="AI273" i="8" a="1"/>
  <c r="AI279" i="8" a="1"/>
  <c r="AI285" i="8" a="1"/>
  <c r="AI291" i="8" a="1"/>
  <c r="AI297" i="8" a="1"/>
  <c r="AI303" i="8" a="1"/>
  <c r="AI309" i="8" a="1"/>
  <c r="AI327" i="8" a="1"/>
  <c r="AI82" i="8" a="1"/>
  <c r="AI154" i="8" a="1"/>
  <c r="AI166" i="8" a="1"/>
  <c r="AI178" i="8" a="1"/>
  <c r="AI196" i="8" a="1"/>
  <c r="AI208" i="8" a="1"/>
  <c r="AI220" i="8" a="1"/>
  <c r="AI238" i="8" a="1"/>
  <c r="AI250" i="8" a="1"/>
  <c r="AI268" i="8" a="1"/>
  <c r="AI280" i="8" a="1"/>
  <c r="AI292" i="8" a="1"/>
  <c r="AI304" i="8" a="1"/>
  <c r="AI316" i="8" a="1"/>
  <c r="AI16" i="8" a="1"/>
  <c r="AI22" i="8" a="1"/>
  <c r="AI28" i="8" a="1"/>
  <c r="AI34" i="8" a="1"/>
  <c r="AI40" i="8" a="1"/>
  <c r="AI46" i="8" a="1"/>
  <c r="AI52" i="8" a="1"/>
  <c r="AI58" i="8" a="1"/>
  <c r="AI64" i="8" a="1"/>
  <c r="AI70" i="8" a="1"/>
  <c r="AI76" i="8" a="1"/>
  <c r="AI88" i="8" a="1"/>
  <c r="AI94" i="8" a="1"/>
  <c r="AI100" i="8" a="1"/>
  <c r="AI106" i="8" a="1"/>
  <c r="AI112" i="8" a="1"/>
  <c r="AI118" i="8" a="1"/>
  <c r="AI124" i="8" a="1"/>
  <c r="AI130" i="8" a="1"/>
  <c r="AI136" i="8" a="1"/>
  <c r="AI142" i="8" a="1"/>
  <c r="AI148" i="8" a="1"/>
  <c r="AI160" i="8" a="1"/>
  <c r="AI172" i="8" a="1"/>
  <c r="AI184" i="8" a="1"/>
  <c r="AI190" i="8" a="1"/>
  <c r="AI202" i="8" a="1"/>
  <c r="AI214" i="8" a="1"/>
  <c r="AI226" i="8" a="1"/>
  <c r="AI232" i="8" a="1"/>
  <c r="AI244" i="8" a="1"/>
  <c r="AI256" i="8" a="1"/>
  <c r="AI262" i="8" a="1"/>
  <c r="AI274" i="8" a="1"/>
  <c r="AI286" i="8" a="1"/>
  <c r="AI298" i="8" a="1"/>
  <c r="AI310" i="8" a="1"/>
  <c r="AI322" i="8" a="1"/>
  <c r="AI24" i="8" a="1"/>
  <c r="AI30" i="8" a="1"/>
  <c r="AI36" i="8" a="1"/>
  <c r="AI42" i="8" a="1"/>
  <c r="AI48" i="8" a="1"/>
  <c r="AI54" i="8" a="1"/>
  <c r="AI60" i="8" a="1"/>
  <c r="AI66" i="8" a="1"/>
  <c r="AI72" i="8" a="1"/>
  <c r="AI78" i="8" a="1"/>
  <c r="AI84" i="8" a="1"/>
  <c r="AI90" i="8" a="1"/>
  <c r="AI96" i="8" a="1"/>
  <c r="AI102" i="8" a="1"/>
  <c r="AI108" i="8" a="1"/>
  <c r="AI114" i="8" a="1"/>
  <c r="AI120" i="8" a="1"/>
  <c r="AI126" i="8" a="1"/>
  <c r="AI132" i="8" a="1"/>
  <c r="AI144" i="8" a="1"/>
  <c r="AI150" i="8" a="1"/>
  <c r="AI156" i="8" a="1"/>
  <c r="AI168" i="8" a="1"/>
  <c r="AI174" i="8" a="1"/>
  <c r="AI186" i="8" a="1"/>
  <c r="AI198" i="8" a="1"/>
  <c r="AI18" i="8" a="1"/>
  <c r="AI138" i="8" a="1"/>
  <c r="AI162" i="8" a="1"/>
  <c r="AI180" i="8" a="1"/>
  <c r="AI192" i="8" a="1"/>
  <c r="AI17" i="8" a="1"/>
  <c r="AI53" i="8" a="1"/>
  <c r="AI89" i="8" a="1"/>
  <c r="AI125" i="8" a="1"/>
  <c r="AI161" i="8" a="1"/>
  <c r="AI197" i="8" a="1"/>
  <c r="AI221" i="8" a="1"/>
  <c r="AI59" i="8" a="1"/>
  <c r="AI167" i="8" a="1"/>
  <c r="AI245" i="8" a="1"/>
  <c r="AI281" i="8" a="1"/>
  <c r="AI317" i="8" a="1"/>
  <c r="AI204" i="8" a="1"/>
  <c r="AI246" i="8" a="1"/>
  <c r="AI300" i="8" a="1"/>
  <c r="AI29" i="8" a="1"/>
  <c r="AI137" i="8" a="1"/>
  <c r="AI209" i="8" a="1"/>
  <c r="AI71" i="8" a="1"/>
  <c r="AI107" i="8" a="1"/>
  <c r="AI179" i="8" a="1"/>
  <c r="AI233" i="8" a="1"/>
  <c r="AI269" i="8" a="1"/>
  <c r="AI305" i="8" a="1"/>
  <c r="AI252" i="8" a="1"/>
  <c r="AI324" i="8" a="1"/>
  <c r="AI185" i="8" a="1"/>
  <c r="AI191" i="8" a="1"/>
  <c r="AI311" i="8" a="1"/>
  <c r="AI312" i="8" a="1"/>
  <c r="AI222" i="8" a="1"/>
  <c r="AI95" i="8" a="1"/>
  <c r="AI203" i="8" a="1"/>
  <c r="AI263" i="8" a="1"/>
  <c r="AI299" i="8" a="1"/>
  <c r="AI227" i="8" a="1"/>
  <c r="AI282" i="8" a="1"/>
  <c r="AI318" i="8" a="1"/>
  <c r="AI65" i="8" a="1"/>
  <c r="AI101" i="8" a="1"/>
  <c r="AI173" i="8" a="1"/>
  <c r="AI35" i="8" a="1"/>
  <c r="AI143" i="8" a="1"/>
  <c r="AI210" i="8" a="1"/>
  <c r="AI251" i="8" a="1"/>
  <c r="AI287" i="8" a="1"/>
  <c r="AI323" i="8" a="1"/>
  <c r="AI234" i="8" a="1"/>
  <c r="AI306" i="8" a="1"/>
  <c r="AI149" i="8" a="1"/>
  <c r="AI239" i="8" a="1"/>
  <c r="AI23" i="8" a="1"/>
  <c r="AI131" i="8" a="1"/>
  <c r="AI288" i="8" a="1"/>
  <c r="AI113" i="8" a="1"/>
  <c r="AI216" i="8" a="1"/>
  <c r="AI83" i="8" a="1"/>
  <c r="AI293" i="8" a="1"/>
  <c r="AI276" i="8" a="1"/>
  <c r="AI264" i="8" a="1"/>
  <c r="AI270" i="8" a="1"/>
  <c r="AI77" i="8" a="1"/>
  <c r="AI215" i="8" a="1"/>
  <c r="AI155" i="8" a="1"/>
  <c r="AI257" i="8" a="1"/>
  <c r="AI294" i="8" a="1"/>
  <c r="AI228" i="8" a="1"/>
  <c r="AI41" i="8" a="1"/>
  <c r="AI119" i="8" a="1"/>
  <c r="AI275" i="8" a="1"/>
  <c r="AI258" i="8" a="1"/>
  <c r="AI47" i="8" a="1"/>
  <c r="AI240" i="8" a="1"/>
  <c r="AH13" i="8" a="1"/>
  <c r="AH19" i="8" a="1"/>
  <c r="AH25" i="8" a="1"/>
  <c r="AH31" i="8" a="1"/>
  <c r="AH37" i="8" a="1"/>
  <c r="AH43" i="8" a="1"/>
  <c r="AH49" i="8" a="1"/>
  <c r="AH55" i="8" a="1"/>
  <c r="AH61" i="8" a="1"/>
  <c r="AH67" i="8" a="1"/>
  <c r="AH73" i="8" a="1"/>
  <c r="AH79" i="8" a="1"/>
  <c r="AH85" i="8" a="1"/>
  <c r="AH91" i="8" a="1"/>
  <c r="AH97" i="8" a="1"/>
  <c r="AH103" i="8" a="1"/>
  <c r="AH109" i="8" a="1"/>
  <c r="AH115" i="8" a="1"/>
  <c r="AH121" i="8" a="1"/>
  <c r="AH127" i="8" a="1"/>
  <c r="AH133" i="8" a="1"/>
  <c r="AH139" i="8" a="1"/>
  <c r="AH145" i="8" a="1"/>
  <c r="AH151" i="8" a="1"/>
  <c r="AH157" i="8" a="1"/>
  <c r="AH163" i="8" a="1"/>
  <c r="AH169" i="8" a="1"/>
  <c r="AH175" i="8" a="1"/>
  <c r="AH181" i="8" a="1"/>
  <c r="AH187" i="8" a="1"/>
  <c r="AH193" i="8" a="1"/>
  <c r="AH199" i="8" a="1"/>
  <c r="AH205" i="8" a="1"/>
  <c r="AH211" i="8" a="1"/>
  <c r="AH217" i="8" a="1"/>
  <c r="AH223" i="8" a="1"/>
  <c r="AH229" i="8" a="1"/>
  <c r="AH235" i="8" a="1"/>
  <c r="AH241" i="8" a="1"/>
  <c r="AH247" i="8" a="1"/>
  <c r="AH253" i="8" a="1"/>
  <c r="AH259" i="8" a="1"/>
  <c r="AH265" i="8" a="1"/>
  <c r="AH271" i="8" a="1"/>
  <c r="AH277" i="8" a="1"/>
  <c r="AH283" i="8" a="1"/>
  <c r="AH289" i="8" a="1"/>
  <c r="AH20" i="8" a="1"/>
  <c r="AH26" i="8" a="1"/>
  <c r="AH38" i="8" a="1"/>
  <c r="AH44" i="8" a="1"/>
  <c r="AH56" i="8" a="1"/>
  <c r="AH62" i="8" a="1"/>
  <c r="AH74" i="8" a="1"/>
  <c r="AH86" i="8" a="1"/>
  <c r="AH98" i="8" a="1"/>
  <c r="AH110" i="8" a="1"/>
  <c r="AH128" i="8" a="1"/>
  <c r="AH140" i="8" a="1"/>
  <c r="AH146" i="8" a="1"/>
  <c r="AH158" i="8" a="1"/>
  <c r="AH164" i="8" a="1"/>
  <c r="AH176" i="8" a="1"/>
  <c r="AH182" i="8" a="1"/>
  <c r="AH188" i="8" a="1"/>
  <c r="AH200" i="8" a="1"/>
  <c r="AH206" i="8" a="1"/>
  <c r="AH218" i="8" a="1"/>
  <c r="AH224" i="8" a="1"/>
  <c r="AH236" i="8" a="1"/>
  <c r="AH242" i="8" a="1"/>
  <c r="AH254" i="8" a="1"/>
  <c r="AH260" i="8" a="1"/>
  <c r="AH272" i="8" a="1"/>
  <c r="AH278" i="8" a="1"/>
  <c r="AH290" i="8" a="1"/>
  <c r="AH302" i="8" a="1"/>
  <c r="AH308" i="8" a="1"/>
  <c r="AH320" i="8" a="1"/>
  <c r="AH14" i="8" a="1"/>
  <c r="AH32" i="8" a="1"/>
  <c r="AH50" i="8" a="1"/>
  <c r="AH68" i="8" a="1"/>
  <c r="AH80" i="8" a="1"/>
  <c r="AH92" i="8" a="1"/>
  <c r="AH104" i="8" a="1"/>
  <c r="AH116" i="8" a="1"/>
  <c r="AH122" i="8" a="1"/>
  <c r="AH134" i="8" a="1"/>
  <c r="AH152" i="8" a="1"/>
  <c r="AH170" i="8" a="1"/>
  <c r="AH194" i="8" a="1"/>
  <c r="AH212" i="8" a="1"/>
  <c r="AH230" i="8" a="1"/>
  <c r="AH248" i="8" a="1"/>
  <c r="AH266" i="8" a="1"/>
  <c r="AH284" i="8" a="1"/>
  <c r="AH296" i="8" a="1"/>
  <c r="AH314" i="8" a="1"/>
  <c r="AH326" i="8" a="1"/>
  <c r="AH18" i="8" a="1"/>
  <c r="AH15" i="8" a="1"/>
  <c r="AH35" i="8" a="1"/>
  <c r="AH46" i="8" a="1"/>
  <c r="AH57" i="8" a="1"/>
  <c r="AH66" i="8" a="1"/>
  <c r="AH96" i="8" a="1"/>
  <c r="AH114" i="8" a="1"/>
  <c r="AH132" i="8" a="1"/>
  <c r="AH150" i="8" a="1"/>
  <c r="AH168" i="8" a="1"/>
  <c r="AH186" i="8" a="1"/>
  <c r="AH204" i="8" a="1"/>
  <c r="AH222" i="8" a="1"/>
  <c r="AH240" i="8" a="1"/>
  <c r="AH258" i="8" a="1"/>
  <c r="AH276" i="8" a="1"/>
  <c r="AH294" i="8" a="1"/>
  <c r="AH310" i="8" a="1"/>
  <c r="AH318" i="8" a="1"/>
  <c r="AH28" i="8" a="1"/>
  <c r="AH99" i="8" a="1"/>
  <c r="AH125" i="8" a="1"/>
  <c r="AH171" i="8" a="1"/>
  <c r="AH197" i="8" a="1"/>
  <c r="AH225" i="8" a="1"/>
  <c r="AH251" i="8" a="1"/>
  <c r="AH279" i="8" a="1"/>
  <c r="AH312" i="8" a="1"/>
  <c r="AH126" i="8" a="1"/>
  <c r="AH162" i="8" a="1"/>
  <c r="AH198" i="8" a="1"/>
  <c r="AH234" i="8" a="1"/>
  <c r="AH270" i="8" a="1"/>
  <c r="AH51" i="8" a="1"/>
  <c r="AH100" i="8" a="1"/>
  <c r="AH136" i="8" a="1"/>
  <c r="AH172" i="8" a="1"/>
  <c r="AH208" i="8" a="1"/>
  <c r="AH280" i="8" a="1"/>
  <c r="AH21" i="8" a="1"/>
  <c r="AH82" i="8" a="1"/>
  <c r="AH322" i="8" a="1"/>
  <c r="AH41" i="8" a="1"/>
  <c r="AH72" i="8" a="1"/>
  <c r="AH101" i="8" a="1"/>
  <c r="AH129" i="8" a="1"/>
  <c r="AH155" i="8" a="1"/>
  <c r="AH183" i="8" a="1"/>
  <c r="AH201" i="8" a="1"/>
  <c r="AH227" i="8" a="1"/>
  <c r="AH255" i="8" a="1"/>
  <c r="AH27" i="8" a="1"/>
  <c r="AH36" i="8" a="1"/>
  <c r="AH77" i="8" a="1"/>
  <c r="AH88" i="8" a="1"/>
  <c r="AH106" i="8" a="1"/>
  <c r="AH124" i="8" a="1"/>
  <c r="AH142" i="8" a="1"/>
  <c r="AH160" i="8" a="1"/>
  <c r="AH178" i="8" a="1"/>
  <c r="AH196" i="8" a="1"/>
  <c r="AH214" i="8" a="1"/>
  <c r="AH232" i="8" a="1"/>
  <c r="AH250" i="8" a="1"/>
  <c r="AH268" i="8" a="1"/>
  <c r="AH286" i="8" a="1"/>
  <c r="AH303" i="8" a="1"/>
  <c r="AH327" i="8" a="1"/>
  <c r="AH39" i="8" a="1"/>
  <c r="AH89" i="8" a="1"/>
  <c r="AH117" i="8" a="1"/>
  <c r="AH143" i="8" a="1"/>
  <c r="AH153" i="8" a="1"/>
  <c r="AH179" i="8" a="1"/>
  <c r="AH215" i="8" a="1"/>
  <c r="AH243" i="8" a="1"/>
  <c r="AH269" i="8" a="1"/>
  <c r="AH304" i="8" a="1"/>
  <c r="AH17" i="8" a="1"/>
  <c r="AH70" i="8" a="1"/>
  <c r="AH90" i="8" a="1"/>
  <c r="AH180" i="8" a="1"/>
  <c r="AH252" i="8" a="1"/>
  <c r="AH288" i="8" a="1"/>
  <c r="AH29" i="8" a="1"/>
  <c r="AH60" i="8" a="1"/>
  <c r="AH118" i="8" a="1"/>
  <c r="AH154" i="8" a="1"/>
  <c r="AH190" i="8" a="1"/>
  <c r="AH226" i="8" a="1"/>
  <c r="AH262" i="8" a="1"/>
  <c r="AH313" i="8" a="1"/>
  <c r="AH71" i="8" a="1"/>
  <c r="AH306" i="8" a="1"/>
  <c r="AH52" i="8" a="1"/>
  <c r="AH93" i="8" a="1"/>
  <c r="AH119" i="8" a="1"/>
  <c r="AH147" i="8" a="1"/>
  <c r="AH173" i="8" a="1"/>
  <c r="AH209" i="8" a="1"/>
  <c r="AH245" i="8" a="1"/>
  <c r="AH263" i="8" a="1"/>
  <c r="AH16" i="8" a="1"/>
  <c r="AH47" i="8" a="1"/>
  <c r="AH58" i="8" a="1"/>
  <c r="AH69" i="8" a="1"/>
  <c r="AH78" i="8" a="1"/>
  <c r="AH295" i="8" a="1"/>
  <c r="AH311" i="8" a="1"/>
  <c r="AH319" i="8" a="1"/>
  <c r="AH48" i="8" a="1"/>
  <c r="AH107" i="8" a="1"/>
  <c r="AH135" i="8" a="1"/>
  <c r="AH161" i="8" a="1"/>
  <c r="AH189" i="8" a="1"/>
  <c r="AH207" i="8" a="1"/>
  <c r="AH233" i="8" a="1"/>
  <c r="AH261" i="8" a="1"/>
  <c r="AH287" i="8" a="1"/>
  <c r="AH59" i="8" a="1"/>
  <c r="AH81" i="8" a="1"/>
  <c r="AH108" i="8" a="1"/>
  <c r="AH144" i="8" a="1"/>
  <c r="AH216" i="8" a="1"/>
  <c r="AH297" i="8" a="1"/>
  <c r="AH321" i="8" a="1"/>
  <c r="AH40" i="8" a="1"/>
  <c r="AH244" i="8" a="1"/>
  <c r="AH305" i="8" a="1"/>
  <c r="AH30" i="8" a="1"/>
  <c r="AH298" i="8" a="1"/>
  <c r="AH63" i="8" a="1"/>
  <c r="AH111" i="8" a="1"/>
  <c r="AH137" i="8" a="1"/>
  <c r="AH165" i="8" a="1"/>
  <c r="AH191" i="8" a="1"/>
  <c r="AH219" i="8" a="1"/>
  <c r="AH237" i="8" a="1"/>
  <c r="AH53" i="8" a="1"/>
  <c r="AH64" i="8" a="1"/>
  <c r="AH75" i="8" a="1"/>
  <c r="AH84" i="8" a="1"/>
  <c r="AH94" i="8" a="1"/>
  <c r="AH112" i="8" a="1"/>
  <c r="AH130" i="8" a="1"/>
  <c r="AH148" i="8" a="1"/>
  <c r="AH166" i="8" a="1"/>
  <c r="AH184" i="8" a="1"/>
  <c r="AH202" i="8" a="1"/>
  <c r="AH220" i="8" a="1"/>
  <c r="AH238" i="8" a="1"/>
  <c r="AH256" i="8" a="1"/>
  <c r="AH274" i="8" a="1"/>
  <c r="AH292" i="8" a="1"/>
  <c r="AH300" i="8" a="1"/>
  <c r="AH316" i="8" a="1"/>
  <c r="AH324" i="8" a="1"/>
  <c r="AH22" i="8" a="1"/>
  <c r="AH102" i="8" a="1"/>
  <c r="AH138" i="8" a="1"/>
  <c r="AH174" i="8" a="1"/>
  <c r="AH210" i="8" a="1"/>
  <c r="AH246" i="8" a="1"/>
  <c r="AH275" i="8" a="1"/>
  <c r="AH301" i="8" a="1"/>
  <c r="AH325" i="8" a="1"/>
  <c r="AH177" i="8" a="1"/>
  <c r="AH282" i="8" a="1"/>
  <c r="AH309" i="8" a="1"/>
  <c r="AH285" i="8" a="1"/>
  <c r="AH113" i="8" a="1"/>
  <c r="AH221" i="8" a="1"/>
  <c r="AH42" i="8" a="1"/>
  <c r="AH156" i="8" a="1"/>
  <c r="AH264" i="8" a="1"/>
  <c r="AH123" i="8" a="1"/>
  <c r="AH231" i="8" a="1"/>
  <c r="AH317" i="8" a="1"/>
  <c r="AH54" i="8" a="1"/>
  <c r="AH323" i="8" a="1"/>
  <c r="AH167" i="8" a="1"/>
  <c r="AH23" i="8" a="1"/>
  <c r="AH281" i="8" a="1"/>
  <c r="AH105" i="8" a="1"/>
  <c r="AH213" i="8" a="1"/>
  <c r="AH307" i="8" a="1"/>
  <c r="AH33" i="8" a="1"/>
  <c r="AH76" i="8" a="1"/>
  <c r="AH185" i="8" a="1"/>
  <c r="AH291" i="8" a="1"/>
  <c r="AH120" i="8" a="1"/>
  <c r="AH228" i="8" a="1"/>
  <c r="AH87" i="8" a="1"/>
  <c r="AH195" i="8" a="1"/>
  <c r="AH293" i="8" a="1"/>
  <c r="AH273" i="8" a="1"/>
  <c r="AH299" i="8" a="1"/>
  <c r="AH131" i="8" a="1"/>
  <c r="AH239" i="8" a="1"/>
  <c r="AH24" i="8" a="1"/>
  <c r="AH65" i="8" a="1"/>
  <c r="AH141" i="8" a="1"/>
  <c r="AH249" i="8" a="1"/>
  <c r="AH34" i="8" a="1"/>
  <c r="AH149" i="8" a="1"/>
  <c r="AH257" i="8" a="1"/>
  <c r="AH315" i="8" a="1"/>
  <c r="AH83" i="8" a="1"/>
  <c r="AH192" i="8" a="1"/>
  <c r="AH45" i="8" a="1"/>
  <c r="AH159" i="8" a="1"/>
  <c r="AH267" i="8" a="1"/>
  <c r="AH95" i="8" a="1"/>
  <c r="AH203" i="8" a="1"/>
  <c r="BV248" i="8" l="1"/>
  <c r="BV324" i="8"/>
  <c r="BV283" i="8"/>
  <c r="BV240" i="8"/>
  <c r="BV212" i="8"/>
  <c r="BV176" i="8"/>
  <c r="BV132" i="8"/>
  <c r="BV80" i="8"/>
  <c r="BV19" i="8"/>
  <c r="BV314" i="8"/>
  <c r="BV321" i="8"/>
  <c r="BV282" i="8"/>
  <c r="BV157" i="8"/>
  <c r="BV120" i="8"/>
  <c r="BV109" i="8"/>
  <c r="BV90" i="8"/>
  <c r="BV79" i="8"/>
  <c r="BV68" i="8"/>
  <c r="BV18" i="8"/>
  <c r="BV313" i="8"/>
  <c r="BV289" i="8"/>
  <c r="BV128" i="8"/>
  <c r="BV98" i="8"/>
  <c r="BV48" i="8"/>
  <c r="BV37" i="8"/>
  <c r="BV26" i="8"/>
  <c r="BV315" i="8"/>
  <c r="BV140" i="8"/>
  <c r="BV246" i="8"/>
  <c r="BV156" i="8"/>
  <c r="BV67" i="8"/>
  <c r="BV56" i="8"/>
  <c r="BV102" i="8"/>
  <c r="BV121" i="8"/>
  <c r="BV127" i="8"/>
  <c r="BV14" i="8"/>
  <c r="BV291" i="8"/>
  <c r="BV50" i="8"/>
  <c r="BV222" i="8"/>
  <c r="BV306" i="8"/>
  <c r="BV211" i="8"/>
  <c r="BV272" i="8"/>
  <c r="BV192" i="8"/>
  <c r="BV288" i="8"/>
  <c r="BV217" i="8"/>
  <c r="BV181" i="8"/>
  <c r="BV163" i="8"/>
  <c r="BV145" i="8"/>
  <c r="BV66" i="8"/>
  <c r="BV55" i="8"/>
  <c r="BV44" i="8"/>
  <c r="BV300" i="8"/>
  <c r="BV61" i="8"/>
  <c r="BV186" i="8"/>
  <c r="BV49" i="8"/>
  <c r="BV218" i="8"/>
  <c r="BV108" i="8"/>
  <c r="BV303" i="8"/>
  <c r="BV97" i="8"/>
  <c r="BV302" i="8"/>
  <c r="BV126" i="8"/>
  <c r="BV96" i="8"/>
  <c r="BV74" i="8"/>
  <c r="BV24" i="8"/>
  <c r="BV13" i="8"/>
  <c r="BV72" i="8"/>
  <c r="BV307" i="8"/>
  <c r="BV168" i="8"/>
  <c r="BV60" i="8"/>
  <c r="BV175" i="8"/>
  <c r="BV200" i="8"/>
  <c r="BV327" i="8"/>
  <c r="BV36" i="8"/>
  <c r="BV198" i="8"/>
  <c r="BV266" i="8"/>
  <c r="BV230" i="8"/>
  <c r="BV194" i="8"/>
  <c r="BV158" i="8"/>
  <c r="BV110" i="8"/>
  <c r="BV30" i="8"/>
  <c r="BV290" i="8"/>
  <c r="BV38" i="8"/>
  <c r="BV297" i="8"/>
  <c r="BV265" i="8"/>
  <c r="BV229" i="8"/>
  <c r="BV320" i="8"/>
  <c r="BV254" i="8"/>
  <c r="BV228" i="8"/>
  <c r="BV174" i="8"/>
  <c r="BV146" i="8"/>
  <c r="BV312" i="8"/>
  <c r="BV279" i="8"/>
  <c r="BV116" i="8"/>
  <c r="BV86" i="8"/>
  <c r="BV25" i="8"/>
  <c r="BV319" i="8"/>
  <c r="BV295" i="8"/>
  <c r="BV271" i="8"/>
  <c r="BV253" i="8"/>
  <c r="BV235" i="8"/>
  <c r="BV199" i="8"/>
  <c r="BV326" i="8"/>
  <c r="BV278" i="8"/>
  <c r="BV115" i="8"/>
  <c r="BV104" i="8"/>
  <c r="BV85" i="8"/>
  <c r="BV318" i="8"/>
  <c r="BV309" i="8"/>
  <c r="BV294" i="8"/>
  <c r="BV285" i="8"/>
  <c r="BV270" i="8"/>
  <c r="BV260" i="8"/>
  <c r="BV242" i="8"/>
  <c r="BV224" i="8"/>
  <c r="BV206" i="8"/>
  <c r="BV180" i="8"/>
  <c r="BV43" i="8"/>
  <c r="BV325" i="8"/>
  <c r="BV301" i="8"/>
  <c r="BV277" i="8"/>
  <c r="BV114" i="8"/>
  <c r="BV103" i="8"/>
  <c r="BV84" i="8"/>
  <c r="BV73" i="8"/>
  <c r="BV62" i="8"/>
  <c r="BV12" i="8"/>
  <c r="BV276" i="8"/>
  <c r="BV258" i="8"/>
  <c r="BV204" i="8"/>
  <c r="BV150" i="8"/>
  <c r="BV91" i="8"/>
  <c r="BV273" i="8"/>
  <c r="BV247" i="8"/>
  <c r="BV193" i="8"/>
  <c r="BV139" i="8"/>
  <c r="BV296" i="8"/>
  <c r="BV264" i="8"/>
  <c r="BV236" i="8"/>
  <c r="BV210" i="8"/>
  <c r="BV182" i="8"/>
  <c r="BV164" i="8"/>
  <c r="BV138" i="8"/>
  <c r="BV78" i="8"/>
  <c r="BV252" i="8"/>
  <c r="BV234" i="8"/>
  <c r="BV216" i="8"/>
  <c r="BV188" i="8"/>
  <c r="BV170" i="8"/>
  <c r="BV162" i="8"/>
  <c r="BV152" i="8"/>
  <c r="BV144" i="8"/>
  <c r="BV134" i="8"/>
  <c r="BV54" i="8"/>
  <c r="BV32" i="8"/>
  <c r="BV308" i="8"/>
  <c r="BV284" i="8"/>
  <c r="BV259" i="8"/>
  <c r="BV241" i="8"/>
  <c r="BV223" i="8"/>
  <c r="BV205" i="8"/>
  <c r="BV187" i="8"/>
  <c r="BV169" i="8"/>
  <c r="BV151" i="8"/>
  <c r="BV133" i="8"/>
  <c r="BV122" i="8"/>
  <c r="BV92" i="8"/>
  <c r="BV42" i="8"/>
  <c r="BV31" i="8"/>
  <c r="BV20" i="8"/>
  <c r="BV267" i="8"/>
  <c r="BV261" i="8"/>
  <c r="BV255" i="8"/>
  <c r="BV249" i="8"/>
  <c r="BV243" i="8"/>
  <c r="BV237" i="8"/>
  <c r="BV231" i="8"/>
  <c r="BV225" i="8"/>
  <c r="BV219" i="8"/>
  <c r="BV213" i="8"/>
  <c r="BV207" i="8"/>
  <c r="BV201" i="8"/>
  <c r="BV195" i="8"/>
  <c r="BV189" i="8"/>
  <c r="BV183" i="8"/>
  <c r="BV177" i="8"/>
  <c r="BV171" i="8"/>
  <c r="BV165" i="8"/>
  <c r="BV159" i="8"/>
  <c r="BV153" i="8"/>
  <c r="BV147" i="8"/>
  <c r="BV141" i="8"/>
  <c r="BV135" i="8"/>
  <c r="BV129" i="8"/>
  <c r="BV123" i="8"/>
  <c r="BV117" i="8"/>
  <c r="BV111" i="8"/>
  <c r="BV105" i="8"/>
  <c r="BV99" i="8"/>
  <c r="BV93" i="8"/>
  <c r="BV87" i="8"/>
  <c r="BV81" i="8"/>
  <c r="BV75" i="8"/>
  <c r="BV69" i="8"/>
  <c r="BV63" i="8"/>
  <c r="BV57" i="8"/>
  <c r="BV51" i="8"/>
  <c r="BV45" i="8"/>
  <c r="BV39" i="8"/>
  <c r="BV33" i="8"/>
  <c r="BV27" i="8"/>
  <c r="BV21" i="8"/>
  <c r="BV15" i="8"/>
  <c r="BV9" i="8"/>
  <c r="BV8" i="8"/>
  <c r="BV7" i="8"/>
  <c r="BV6" i="8"/>
  <c r="BV323" i="8"/>
  <c r="BV311" i="8"/>
  <c r="BV299" i="8"/>
  <c r="BV287" i="8"/>
  <c r="BV275" i="8"/>
  <c r="BV263" i="8"/>
  <c r="BV251" i="8"/>
  <c r="BV239" i="8"/>
  <c r="BV227" i="8"/>
  <c r="BV215" i="8"/>
  <c r="BV203" i="8"/>
  <c r="BV191" i="8"/>
  <c r="BV179" i="8"/>
  <c r="BV167" i="8"/>
  <c r="BV155" i="8"/>
  <c r="BV143" i="8"/>
  <c r="BV131" i="8"/>
  <c r="BV119" i="8"/>
  <c r="BV107" i="8"/>
  <c r="BV101" i="8"/>
  <c r="BV95" i="8"/>
  <c r="BV83" i="8"/>
  <c r="BV77" i="8"/>
  <c r="BV71" i="8"/>
  <c r="BV65" i="8"/>
  <c r="BV59" i="8"/>
  <c r="BV53" i="8"/>
  <c r="BV47" i="8"/>
  <c r="BV41" i="8"/>
  <c r="BV35" i="8"/>
  <c r="BV29" i="8"/>
  <c r="BV23" i="8"/>
  <c r="BV17" i="8"/>
  <c r="BV11" i="8"/>
  <c r="BV5" i="8"/>
  <c r="BV317" i="8"/>
  <c r="BV305" i="8"/>
  <c r="BV293" i="8"/>
  <c r="BV281" i="8"/>
  <c r="BV269" i="8"/>
  <c r="BV257" i="8"/>
  <c r="BV245" i="8"/>
  <c r="BV233" i="8"/>
  <c r="BV221" i="8"/>
  <c r="BV209" i="8"/>
  <c r="BV197" i="8"/>
  <c r="BV185" i="8"/>
  <c r="BV173" i="8"/>
  <c r="BV161" i="8"/>
  <c r="BV149" i="8"/>
  <c r="BV137" i="8"/>
  <c r="BV125" i="8"/>
  <c r="BV113" i="8"/>
  <c r="BV89" i="8"/>
  <c r="BV322" i="8"/>
  <c r="BV316" i="8"/>
  <c r="BV310" i="8"/>
  <c r="BV304" i="8"/>
  <c r="BV298" i="8"/>
  <c r="BV292" i="8"/>
  <c r="BV286" i="8"/>
  <c r="BV280" i="8"/>
  <c r="BV274" i="8"/>
  <c r="BV268" i="8"/>
  <c r="BV262" i="8"/>
  <c r="BV256" i="8"/>
  <c r="BV250" i="8"/>
  <c r="BV244" i="8"/>
  <c r="BV238" i="8"/>
  <c r="BV232" i="8"/>
  <c r="BV226" i="8"/>
  <c r="BV220" i="8"/>
  <c r="BV214" i="8"/>
  <c r="BV208" i="8"/>
  <c r="BV202" i="8"/>
  <c r="BV196" i="8"/>
  <c r="BV190" i="8"/>
  <c r="BV184" i="8"/>
  <c r="BV178" i="8"/>
  <c r="BV172" i="8"/>
  <c r="BV166" i="8"/>
  <c r="BV160" i="8"/>
  <c r="BV154" i="8"/>
  <c r="BV148" i="8"/>
  <c r="BV142" i="8"/>
  <c r="BV136" i="8"/>
  <c r="BV130" i="8"/>
  <c r="BV124" i="8"/>
  <c r="BV118" i="8"/>
  <c r="BV112" i="8"/>
  <c r="BV106" i="8"/>
  <c r="BV100" i="8"/>
  <c r="BV94" i="8"/>
  <c r="BV88" i="8"/>
  <c r="BV82" i="8"/>
  <c r="BV76" i="8"/>
  <c r="BV70" i="8"/>
  <c r="BV64" i="8"/>
  <c r="BV58" i="8"/>
  <c r="BV52" i="8"/>
  <c r="BV46" i="8"/>
  <c r="BV40" i="8"/>
  <c r="BV34" i="8"/>
  <c r="BV28" i="8"/>
  <c r="BV22" i="8"/>
  <c r="BV16" i="8"/>
  <c r="BV10" i="8"/>
  <c r="BV4" i="8"/>
  <c r="BU200" i="8"/>
  <c r="BU187" i="8"/>
  <c r="BU61" i="8"/>
  <c r="BU37" i="8"/>
  <c r="BU314" i="8"/>
  <c r="BU301" i="8"/>
  <c r="BU258" i="8"/>
  <c r="BU242" i="8"/>
  <c r="BU229" i="8"/>
  <c r="BU169" i="8"/>
  <c r="BU151" i="8"/>
  <c r="BU133" i="8"/>
  <c r="BU115" i="8"/>
  <c r="BU97" i="8"/>
  <c r="BU79" i="8"/>
  <c r="BU300" i="8"/>
  <c r="BU284" i="8"/>
  <c r="BU271" i="8"/>
  <c r="BU228" i="8"/>
  <c r="BU212" i="8"/>
  <c r="BU199" i="8"/>
  <c r="BU182" i="8"/>
  <c r="BU56" i="8"/>
  <c r="BU32" i="8"/>
  <c r="BU259" i="8"/>
  <c r="BU198" i="8"/>
  <c r="BU92" i="8"/>
  <c r="BU312" i="8"/>
  <c r="BU240" i="8"/>
  <c r="BU163" i="8"/>
  <c r="BU91" i="8"/>
  <c r="BU324" i="8"/>
  <c r="BU252" i="8"/>
  <c r="BU140" i="8"/>
  <c r="BU104" i="8"/>
  <c r="BU86" i="8"/>
  <c r="BU68" i="8"/>
  <c r="BU216" i="8"/>
  <c r="BU254" i="8"/>
  <c r="BU128" i="8"/>
  <c r="BU74" i="8"/>
  <c r="BU296" i="8"/>
  <c r="BU181" i="8"/>
  <c r="BU282" i="8"/>
  <c r="BU180" i="8"/>
  <c r="BU109" i="8"/>
  <c r="BU26" i="8"/>
  <c r="BU223" i="8"/>
  <c r="BU49" i="8"/>
  <c r="BU294" i="8"/>
  <c r="BU193" i="8"/>
  <c r="BU320" i="8"/>
  <c r="BU307" i="8"/>
  <c r="BU264" i="8"/>
  <c r="BU248" i="8"/>
  <c r="BU235" i="8"/>
  <c r="BU192" i="8"/>
  <c r="BU44" i="8"/>
  <c r="BU20" i="8"/>
  <c r="BU288" i="8"/>
  <c r="BU326" i="8"/>
  <c r="BU270" i="8"/>
  <c r="BU146" i="8"/>
  <c r="BU55" i="8"/>
  <c r="BU211" i="8"/>
  <c r="BU325" i="8"/>
  <c r="BU266" i="8"/>
  <c r="BU194" i="8"/>
  <c r="BU127" i="8"/>
  <c r="BU50" i="8"/>
  <c r="BU308" i="8"/>
  <c r="BU265" i="8"/>
  <c r="BU206" i="8"/>
  <c r="BU158" i="8"/>
  <c r="BU306" i="8"/>
  <c r="BU290" i="8"/>
  <c r="BU277" i="8"/>
  <c r="BU234" i="8"/>
  <c r="BU218" i="8"/>
  <c r="BU205" i="8"/>
  <c r="BU175" i="8"/>
  <c r="BU157" i="8"/>
  <c r="BU139" i="8"/>
  <c r="BU121" i="8"/>
  <c r="BU103" i="8"/>
  <c r="BU85" i="8"/>
  <c r="BU67" i="8"/>
  <c r="BU43" i="8"/>
  <c r="BU19" i="8"/>
  <c r="BU272" i="8"/>
  <c r="BU313" i="8"/>
  <c r="BU241" i="8"/>
  <c r="BU164" i="8"/>
  <c r="BU110" i="8"/>
  <c r="BU31" i="8"/>
  <c r="BU283" i="8"/>
  <c r="BU224" i="8"/>
  <c r="BU253" i="8"/>
  <c r="BU210" i="8"/>
  <c r="BU145" i="8"/>
  <c r="BU73" i="8"/>
  <c r="BU295" i="8"/>
  <c r="BU236" i="8"/>
  <c r="BU25" i="8"/>
  <c r="BU278" i="8"/>
  <c r="BU222" i="8"/>
  <c r="BU176" i="8"/>
  <c r="BU276" i="8"/>
  <c r="BU247" i="8"/>
  <c r="BU204" i="8"/>
  <c r="BU188" i="8"/>
  <c r="BU122" i="8"/>
  <c r="BU319" i="8"/>
  <c r="BU260" i="8"/>
  <c r="BU318" i="8"/>
  <c r="BU302" i="8"/>
  <c r="BU289" i="8"/>
  <c r="BU246" i="8"/>
  <c r="BU230" i="8"/>
  <c r="BU217" i="8"/>
  <c r="BU170" i="8"/>
  <c r="BU152" i="8"/>
  <c r="BU134" i="8"/>
  <c r="BU116" i="8"/>
  <c r="BU98" i="8"/>
  <c r="BU80" i="8"/>
  <c r="BU62" i="8"/>
  <c r="BU38" i="8"/>
  <c r="BU14" i="8"/>
  <c r="BU327" i="8"/>
  <c r="BU321" i="8"/>
  <c r="BU315" i="8"/>
  <c r="BU309" i="8"/>
  <c r="BU303" i="8"/>
  <c r="BU297" i="8"/>
  <c r="BU291" i="8"/>
  <c r="BU285" i="8"/>
  <c r="BU279" i="8"/>
  <c r="BU273" i="8"/>
  <c r="BU267" i="8"/>
  <c r="BU261" i="8"/>
  <c r="BU255" i="8"/>
  <c r="BU249" i="8"/>
  <c r="BU243" i="8"/>
  <c r="BU237" i="8"/>
  <c r="BU231" i="8"/>
  <c r="BU225" i="8"/>
  <c r="BU219" i="8"/>
  <c r="BU213" i="8"/>
  <c r="BU207" i="8"/>
  <c r="BU201" i="8"/>
  <c r="BU195" i="8"/>
  <c r="BU189" i="8"/>
  <c r="BU183" i="8"/>
  <c r="BU177" i="8"/>
  <c r="BU171" i="8"/>
  <c r="BU165" i="8"/>
  <c r="BU159" i="8"/>
  <c r="BU153" i="8"/>
  <c r="BU147" i="8"/>
  <c r="BU141" i="8"/>
  <c r="BU135" i="8"/>
  <c r="BU129" i="8"/>
  <c r="BU123" i="8"/>
  <c r="BU117" i="8"/>
  <c r="BU111" i="8"/>
  <c r="BU105" i="8"/>
  <c r="BU99" i="8"/>
  <c r="BU93" i="8"/>
  <c r="BU87" i="8"/>
  <c r="BU81" i="8"/>
  <c r="BU75" i="8"/>
  <c r="BU69" i="8"/>
  <c r="BU63" i="8"/>
  <c r="BU57" i="8"/>
  <c r="BU51" i="8"/>
  <c r="BU45" i="8"/>
  <c r="BU39" i="8"/>
  <c r="BU33" i="8"/>
  <c r="BU27" i="8"/>
  <c r="BU21" i="8"/>
  <c r="BU15" i="8"/>
  <c r="BU9" i="8"/>
  <c r="BU8" i="8"/>
  <c r="BU7" i="8"/>
  <c r="BU13" i="8"/>
  <c r="BU6" i="8"/>
  <c r="BU72" i="8"/>
  <c r="BU5" i="8"/>
  <c r="BU168" i="8"/>
  <c r="BU156" i="8"/>
  <c r="BU144" i="8"/>
  <c r="BU132" i="8"/>
  <c r="BU120" i="8"/>
  <c r="BU108" i="8"/>
  <c r="BU96" i="8"/>
  <c r="BU84" i="8"/>
  <c r="BU66" i="8"/>
  <c r="BU54" i="8"/>
  <c r="BU42" i="8"/>
  <c r="BU30" i="8"/>
  <c r="BU18" i="8"/>
  <c r="BU317" i="8"/>
  <c r="BU305" i="8"/>
  <c r="BU293" i="8"/>
  <c r="BU281" i="8"/>
  <c r="BU269" i="8"/>
  <c r="BU257" i="8"/>
  <c r="BU245" i="8"/>
  <c r="BU233" i="8"/>
  <c r="BU221" i="8"/>
  <c r="BU209" i="8"/>
  <c r="BU197" i="8"/>
  <c r="BU185" i="8"/>
  <c r="BU173" i="8"/>
  <c r="BU161" i="8"/>
  <c r="BU149" i="8"/>
  <c r="BU137" i="8"/>
  <c r="BU125" i="8"/>
  <c r="BU113" i="8"/>
  <c r="BU101" i="8"/>
  <c r="BU89" i="8"/>
  <c r="BU77" i="8"/>
  <c r="BU65" i="8"/>
  <c r="BU53" i="8"/>
  <c r="BU41" i="8"/>
  <c r="BU29" i="8"/>
  <c r="BU23" i="8"/>
  <c r="BU11" i="8"/>
  <c r="BU186" i="8"/>
  <c r="BU174" i="8"/>
  <c r="BU162" i="8"/>
  <c r="BU150" i="8"/>
  <c r="BU138" i="8"/>
  <c r="BU126" i="8"/>
  <c r="BU114" i="8"/>
  <c r="BU102" i="8"/>
  <c r="BU90" i="8"/>
  <c r="BU78" i="8"/>
  <c r="BU60" i="8"/>
  <c r="BU48" i="8"/>
  <c r="BU36" i="8"/>
  <c r="BU24" i="8"/>
  <c r="BU12" i="8"/>
  <c r="BU323" i="8"/>
  <c r="BU311" i="8"/>
  <c r="BU299" i="8"/>
  <c r="BU287" i="8"/>
  <c r="BU275" i="8"/>
  <c r="BU263" i="8"/>
  <c r="BU251" i="8"/>
  <c r="BU239" i="8"/>
  <c r="BU227" i="8"/>
  <c r="BU215" i="8"/>
  <c r="BU203" i="8"/>
  <c r="BU191" i="8"/>
  <c r="BU179" i="8"/>
  <c r="BU167" i="8"/>
  <c r="BU155" i="8"/>
  <c r="BU143" i="8"/>
  <c r="BU131" i="8"/>
  <c r="BU119" i="8"/>
  <c r="BU107" i="8"/>
  <c r="BU95" i="8"/>
  <c r="BU83" i="8"/>
  <c r="BU71" i="8"/>
  <c r="BU59" i="8"/>
  <c r="BU47" i="8"/>
  <c r="BU35" i="8"/>
  <c r="BU17" i="8"/>
  <c r="BU322" i="8"/>
  <c r="BU316" i="8"/>
  <c r="BU310" i="8"/>
  <c r="BU304" i="8"/>
  <c r="BU298" i="8"/>
  <c r="BU292" i="8"/>
  <c r="BU286" i="8"/>
  <c r="BU280" i="8"/>
  <c r="BU274" i="8"/>
  <c r="BU268" i="8"/>
  <c r="BU262" i="8"/>
  <c r="BU256" i="8"/>
  <c r="BU250" i="8"/>
  <c r="BU244" i="8"/>
  <c r="BU238" i="8"/>
  <c r="BU232" i="8"/>
  <c r="BU226" i="8"/>
  <c r="BU220" i="8"/>
  <c r="BU214" i="8"/>
  <c r="BU208" i="8"/>
  <c r="BU202" i="8"/>
  <c r="BU196" i="8"/>
  <c r="BU190" i="8"/>
  <c r="BU184" i="8"/>
  <c r="BU178" i="8"/>
  <c r="BU172" i="8"/>
  <c r="BU166" i="8"/>
  <c r="BU160" i="8"/>
  <c r="BU154" i="8"/>
  <c r="BU148" i="8"/>
  <c r="BU142" i="8"/>
  <c r="BU136" i="8"/>
  <c r="BU130" i="8"/>
  <c r="BU124" i="8"/>
  <c r="BU118" i="8"/>
  <c r="BU112" i="8"/>
  <c r="BU106" i="8"/>
  <c r="BU100" i="8"/>
  <c r="BU94" i="8"/>
  <c r="BU88" i="8"/>
  <c r="BU82" i="8"/>
  <c r="BU76" i="8"/>
  <c r="BU70" i="8"/>
  <c r="BU64" i="8"/>
  <c r="BU58" i="8"/>
  <c r="BU52" i="8"/>
  <c r="BU46" i="8"/>
  <c r="BU40" i="8"/>
  <c r="BU34" i="8"/>
  <c r="BU28" i="8"/>
  <c r="BU22" i="8"/>
  <c r="BU16" i="8"/>
  <c r="BU10" i="8"/>
  <c r="BU4" i="8"/>
  <c r="BT288" i="8"/>
  <c r="BT241" i="8"/>
  <c r="BT163" i="8"/>
  <c r="BT81" i="8"/>
  <c r="BT61" i="8"/>
  <c r="BT302" i="8"/>
  <c r="BT224" i="8"/>
  <c r="BT194" i="8"/>
  <c r="BT177" i="8"/>
  <c r="BT159" i="8"/>
  <c r="BT120" i="8"/>
  <c r="BT98" i="8"/>
  <c r="BT57" i="8"/>
  <c r="BT33" i="8"/>
  <c r="BT319" i="8"/>
  <c r="BT225" i="8"/>
  <c r="BT315" i="8"/>
  <c r="BT285" i="8"/>
  <c r="BT270" i="8"/>
  <c r="BT255" i="8"/>
  <c r="BT240" i="8"/>
  <c r="BT223" i="8"/>
  <c r="BT207" i="8"/>
  <c r="BT193" i="8"/>
  <c r="BT176" i="8"/>
  <c r="BT158" i="8"/>
  <c r="BT139" i="8"/>
  <c r="BT78" i="8"/>
  <c r="BT55" i="8"/>
  <c r="BT31" i="8"/>
  <c r="BT48" i="8"/>
  <c r="BT303" i="8"/>
  <c r="BT144" i="8"/>
  <c r="BT206" i="8"/>
  <c r="BT252" i="8"/>
  <c r="BT74" i="8"/>
  <c r="BT296" i="8"/>
  <c r="BT50" i="8"/>
  <c r="BT295" i="8"/>
  <c r="BT219" i="8"/>
  <c r="BT248" i="8"/>
  <c r="BT169" i="8"/>
  <c r="BT129" i="8"/>
  <c r="BT109" i="8"/>
  <c r="BT44" i="8"/>
  <c r="BT20" i="8"/>
  <c r="BT258" i="8"/>
  <c r="BT122" i="8"/>
  <c r="BT314" i="8"/>
  <c r="BT138" i="8"/>
  <c r="BT297" i="8"/>
  <c r="BT205" i="8"/>
  <c r="BT26" i="8"/>
  <c r="BT188" i="8"/>
  <c r="BT312" i="8"/>
  <c r="BT234" i="8"/>
  <c r="BT277" i="8"/>
  <c r="BT186" i="8"/>
  <c r="BT150" i="8"/>
  <c r="BT128" i="8"/>
  <c r="BT87" i="8"/>
  <c r="BT67" i="8"/>
  <c r="BT211" i="8"/>
  <c r="BT301" i="8"/>
  <c r="BT267" i="8"/>
  <c r="BT51" i="8"/>
  <c r="BT266" i="8"/>
  <c r="BT114" i="8"/>
  <c r="BT279" i="8"/>
  <c r="BT187" i="8"/>
  <c r="BT147" i="8"/>
  <c r="BT66" i="8"/>
  <c r="BT42" i="8"/>
  <c r="BT195" i="8"/>
  <c r="BT75" i="8"/>
  <c r="BT313" i="8"/>
  <c r="BT222" i="8"/>
  <c r="BT96" i="8"/>
  <c r="BT92" i="8"/>
  <c r="BT327" i="8"/>
  <c r="BT249" i="8"/>
  <c r="BT105" i="8"/>
  <c r="BT13" i="8"/>
  <c r="BT273" i="8"/>
  <c r="BT180" i="8"/>
  <c r="BT284" i="8"/>
  <c r="BT157" i="8"/>
  <c r="BT116" i="8"/>
  <c r="BT283" i="8"/>
  <c r="BT237" i="8"/>
  <c r="BT189" i="8"/>
  <c r="BT174" i="8"/>
  <c r="BT265" i="8"/>
  <c r="BT204" i="8"/>
  <c r="BT153" i="8"/>
  <c r="BT133" i="8"/>
  <c r="BT72" i="8"/>
  <c r="BT24" i="8"/>
  <c r="BT278" i="8"/>
  <c r="BT324" i="8"/>
  <c r="BT309" i="8"/>
  <c r="BT294" i="8"/>
  <c r="BT261" i="8"/>
  <c r="BT247" i="8"/>
  <c r="BT231" i="8"/>
  <c r="BT216" i="8"/>
  <c r="BT201" i="8"/>
  <c r="BT168" i="8"/>
  <c r="BT260" i="8"/>
  <c r="BT230" i="8"/>
  <c r="BT127" i="8"/>
  <c r="BT321" i="8"/>
  <c r="BT306" i="8"/>
  <c r="BT291" i="8"/>
  <c r="BT276" i="8"/>
  <c r="BT259" i="8"/>
  <c r="BT243" i="8"/>
  <c r="BT229" i="8"/>
  <c r="BT213" i="8"/>
  <c r="BT198" i="8"/>
  <c r="BT183" i="8"/>
  <c r="BT165" i="8"/>
  <c r="BT146" i="8"/>
  <c r="BT85" i="8"/>
  <c r="BT320" i="8"/>
  <c r="BT242" i="8"/>
  <c r="BT212" i="8"/>
  <c r="BT123" i="8"/>
  <c r="BT103" i="8"/>
  <c r="BT37" i="8"/>
  <c r="BT15" i="8"/>
  <c r="BT56" i="8"/>
  <c r="BT117" i="8"/>
  <c r="BT108" i="8"/>
  <c r="BT97" i="8"/>
  <c r="BT86" i="8"/>
  <c r="BT45" i="8"/>
  <c r="BT36" i="8"/>
  <c r="BT25" i="8"/>
  <c r="BT14" i="8"/>
  <c r="BT156" i="8"/>
  <c r="BT135" i="8"/>
  <c r="BT126" i="8"/>
  <c r="BT115" i="8"/>
  <c r="BT104" i="8"/>
  <c r="BT63" i="8"/>
  <c r="BT54" i="8"/>
  <c r="BT43" i="8"/>
  <c r="BT32" i="8"/>
  <c r="BT175" i="8"/>
  <c r="BT164" i="8"/>
  <c r="BT145" i="8"/>
  <c r="BT134" i="8"/>
  <c r="BT93" i="8"/>
  <c r="BT84" i="8"/>
  <c r="BT73" i="8"/>
  <c r="BT62" i="8"/>
  <c r="BT21" i="8"/>
  <c r="BT12" i="8"/>
  <c r="BT9" i="8"/>
  <c r="BT326" i="8"/>
  <c r="BT318" i="8"/>
  <c r="BT308" i="8"/>
  <c r="BT300" i="8"/>
  <c r="BT290" i="8"/>
  <c r="BT282" i="8"/>
  <c r="BT272" i="8"/>
  <c r="BT264" i="8"/>
  <c r="BT254" i="8"/>
  <c r="BT246" i="8"/>
  <c r="BT236" i="8"/>
  <c r="BT228" i="8"/>
  <c r="BT218" i="8"/>
  <c r="BT210" i="8"/>
  <c r="BT200" i="8"/>
  <c r="BT192" i="8"/>
  <c r="BT182" i="8"/>
  <c r="BT152" i="8"/>
  <c r="BT111" i="8"/>
  <c r="BT102" i="8"/>
  <c r="BT91" i="8"/>
  <c r="BT80" i="8"/>
  <c r="BT39" i="8"/>
  <c r="BT30" i="8"/>
  <c r="BT19" i="8"/>
  <c r="BT8" i="8"/>
  <c r="BT171" i="8"/>
  <c r="BT162" i="8"/>
  <c r="BT141" i="8"/>
  <c r="BT132" i="8"/>
  <c r="BT121" i="8"/>
  <c r="BT110" i="8"/>
  <c r="BT69" i="8"/>
  <c r="BT60" i="8"/>
  <c r="BT49" i="8"/>
  <c r="BT38" i="8"/>
  <c r="BT325" i="8"/>
  <c r="BT307" i="8"/>
  <c r="BT289" i="8"/>
  <c r="BT271" i="8"/>
  <c r="BT253" i="8"/>
  <c r="BT235" i="8"/>
  <c r="BT217" i="8"/>
  <c r="BT199" i="8"/>
  <c r="BT181" i="8"/>
  <c r="BT170" i="8"/>
  <c r="BT151" i="8"/>
  <c r="BT140" i="8"/>
  <c r="BT99" i="8"/>
  <c r="BT90" i="8"/>
  <c r="BT79" i="8"/>
  <c r="BT68" i="8"/>
  <c r="BT27" i="8"/>
  <c r="BT18" i="8"/>
  <c r="BT7" i="8"/>
  <c r="BT6" i="8"/>
  <c r="BT5" i="8"/>
  <c r="BT317" i="8"/>
  <c r="BT305" i="8"/>
  <c r="BT293" i="8"/>
  <c r="BT281" i="8"/>
  <c r="BT269" i="8"/>
  <c r="BT257" i="8"/>
  <c r="BT245" i="8"/>
  <c r="BT233" i="8"/>
  <c r="BT215" i="8"/>
  <c r="BT203" i="8"/>
  <c r="BT191" i="8"/>
  <c r="BT179" i="8"/>
  <c r="BT167" i="8"/>
  <c r="BT155" i="8"/>
  <c r="BT143" i="8"/>
  <c r="BT131" i="8"/>
  <c r="BT119" i="8"/>
  <c r="BT107" i="8"/>
  <c r="BT95" i="8"/>
  <c r="BT83" i="8"/>
  <c r="BT71" i="8"/>
  <c r="BT59" i="8"/>
  <c r="BT47" i="8"/>
  <c r="BT35" i="8"/>
  <c r="BT29" i="8"/>
  <c r="BT17" i="8"/>
  <c r="BT11" i="8"/>
  <c r="BT323" i="8"/>
  <c r="BT311" i="8"/>
  <c r="BT299" i="8"/>
  <c r="BT287" i="8"/>
  <c r="BT275" i="8"/>
  <c r="BT263" i="8"/>
  <c r="BT251" i="8"/>
  <c r="BT239" i="8"/>
  <c r="BT227" i="8"/>
  <c r="BT221" i="8"/>
  <c r="BT209" i="8"/>
  <c r="BT197" i="8"/>
  <c r="BT185" i="8"/>
  <c r="BT173" i="8"/>
  <c r="BT161" i="8"/>
  <c r="BT149" i="8"/>
  <c r="BT137" i="8"/>
  <c r="BT125" i="8"/>
  <c r="BT113" i="8"/>
  <c r="BT101" i="8"/>
  <c r="BT89" i="8"/>
  <c r="BT77" i="8"/>
  <c r="BT65" i="8"/>
  <c r="BT53" i="8"/>
  <c r="BT41" i="8"/>
  <c r="BT23" i="8"/>
  <c r="BT322" i="8"/>
  <c r="BT316" i="8"/>
  <c r="BT310" i="8"/>
  <c r="BT304" i="8"/>
  <c r="BT298" i="8"/>
  <c r="BT292" i="8"/>
  <c r="BT286" i="8"/>
  <c r="BT280" i="8"/>
  <c r="BT274" i="8"/>
  <c r="BT268" i="8"/>
  <c r="BT262" i="8"/>
  <c r="BT256" i="8"/>
  <c r="BT250" i="8"/>
  <c r="BT244" i="8"/>
  <c r="BT238" i="8"/>
  <c r="BT232" i="8"/>
  <c r="BT226" i="8"/>
  <c r="BT220" i="8"/>
  <c r="BT214" i="8"/>
  <c r="BT208" i="8"/>
  <c r="BT202" i="8"/>
  <c r="BT196" i="8"/>
  <c r="BT190" i="8"/>
  <c r="BT184" i="8"/>
  <c r="BT178" i="8"/>
  <c r="BT172" i="8"/>
  <c r="BT166" i="8"/>
  <c r="BT160" i="8"/>
  <c r="BT154" i="8"/>
  <c r="BT148" i="8"/>
  <c r="BT142" i="8"/>
  <c r="BT136" i="8"/>
  <c r="BT130" i="8"/>
  <c r="BT124" i="8"/>
  <c r="BT118" i="8"/>
  <c r="BT112" i="8"/>
  <c r="BT106" i="8"/>
  <c r="BT100" i="8"/>
  <c r="BT94" i="8"/>
  <c r="BT88" i="8"/>
  <c r="BT82" i="8"/>
  <c r="BT76" i="8"/>
  <c r="BT70" i="8"/>
  <c r="BT64" i="8"/>
  <c r="BT58" i="8"/>
  <c r="BT52" i="8"/>
  <c r="BT46" i="8"/>
  <c r="BT40" i="8"/>
  <c r="BT34" i="8"/>
  <c r="BT28" i="8"/>
  <c r="BT22" i="8"/>
  <c r="BT16" i="8"/>
  <c r="BT10" i="8"/>
  <c r="BT4" i="8"/>
  <c r="BS207" i="8"/>
  <c r="BS327" i="8"/>
  <c r="BS279" i="8"/>
  <c r="BS225" i="8"/>
  <c r="BS309" i="8"/>
  <c r="BS261" i="8"/>
  <c r="BS303" i="8"/>
  <c r="BS297" i="8"/>
  <c r="BS243" i="8"/>
  <c r="BS291" i="8"/>
  <c r="BS321" i="8"/>
  <c r="BS315" i="8"/>
  <c r="BS117" i="8"/>
  <c r="BS33" i="8"/>
  <c r="BS314" i="8"/>
  <c r="BS224" i="8"/>
  <c r="BS170" i="8"/>
  <c r="BS146" i="8"/>
  <c r="BS128" i="8"/>
  <c r="BS122" i="8"/>
  <c r="BS116" i="8"/>
  <c r="BS110" i="8"/>
  <c r="BS104" i="8"/>
  <c r="BS98" i="8"/>
  <c r="BS92" i="8"/>
  <c r="BS86" i="8"/>
  <c r="BS80" i="8"/>
  <c r="BS74" i="8"/>
  <c r="BS68" i="8"/>
  <c r="BS62" i="8"/>
  <c r="BS56" i="8"/>
  <c r="BS50" i="8"/>
  <c r="BS44" i="8"/>
  <c r="BS38" i="8"/>
  <c r="BS32" i="8"/>
  <c r="BS26" i="8"/>
  <c r="BS20" i="8"/>
  <c r="BS14" i="8"/>
  <c r="BS8" i="8"/>
  <c r="BS39" i="8"/>
  <c r="BS123" i="8"/>
  <c r="BS51" i="8"/>
  <c r="BS259" i="8"/>
  <c r="BS169" i="8"/>
  <c r="BS115" i="8"/>
  <c r="BS85" i="8"/>
  <c r="BS67" i="8"/>
  <c r="BS55" i="8"/>
  <c r="BS49" i="8"/>
  <c r="BS37" i="8"/>
  <c r="BS13" i="8"/>
  <c r="BS7" i="8"/>
  <c r="BS273" i="8"/>
  <c r="BS237" i="8"/>
  <c r="BS195" i="8"/>
  <c r="BS165" i="8"/>
  <c r="BS135" i="8"/>
  <c r="BS111" i="8"/>
  <c r="BS81" i="8"/>
  <c r="BS45" i="8"/>
  <c r="BS326" i="8"/>
  <c r="BS296" i="8"/>
  <c r="BS272" i="8"/>
  <c r="BS242" i="8"/>
  <c r="BS194" i="8"/>
  <c r="BS140" i="8"/>
  <c r="BS325" i="8"/>
  <c r="BS301" i="8"/>
  <c r="BS277" i="8"/>
  <c r="BS247" i="8"/>
  <c r="BS211" i="8"/>
  <c r="BS151" i="8"/>
  <c r="BS19" i="8"/>
  <c r="BS267" i="8"/>
  <c r="BS213" i="8"/>
  <c r="BS177" i="8"/>
  <c r="BS147" i="8"/>
  <c r="BS105" i="8"/>
  <c r="BS69" i="8"/>
  <c r="BS21" i="8"/>
  <c r="BS308" i="8"/>
  <c r="BS278" i="8"/>
  <c r="BS254" i="8"/>
  <c r="BS218" i="8"/>
  <c r="BS188" i="8"/>
  <c r="BS164" i="8"/>
  <c r="BS295" i="8"/>
  <c r="BS265" i="8"/>
  <c r="BS229" i="8"/>
  <c r="BS199" i="8"/>
  <c r="BS175" i="8"/>
  <c r="BS133" i="8"/>
  <c r="BS103" i="8"/>
  <c r="BS25" i="8"/>
  <c r="BS324" i="8"/>
  <c r="BS318" i="8"/>
  <c r="BS306" i="8"/>
  <c r="BS300" i="8"/>
  <c r="BS294" i="8"/>
  <c r="BS288" i="8"/>
  <c r="BS282" i="8"/>
  <c r="BS276" i="8"/>
  <c r="BS270" i="8"/>
  <c r="BS264" i="8"/>
  <c r="BS258" i="8"/>
  <c r="BS252" i="8"/>
  <c r="BS246" i="8"/>
  <c r="BS240" i="8"/>
  <c r="BS234" i="8"/>
  <c r="BS228" i="8"/>
  <c r="BS222" i="8"/>
  <c r="BS216" i="8"/>
  <c r="BS210" i="8"/>
  <c r="BS204" i="8"/>
  <c r="BS198" i="8"/>
  <c r="BS192" i="8"/>
  <c r="BS186" i="8"/>
  <c r="BS180" i="8"/>
  <c r="BS174" i="8"/>
  <c r="BS168" i="8"/>
  <c r="BS162" i="8"/>
  <c r="BS156" i="8"/>
  <c r="BS150" i="8"/>
  <c r="BS144" i="8"/>
  <c r="BS138" i="8"/>
  <c r="BS132" i="8"/>
  <c r="BS126" i="8"/>
  <c r="BS120" i="8"/>
  <c r="BS114" i="8"/>
  <c r="BS108" i="8"/>
  <c r="BS102" i="8"/>
  <c r="BS96" i="8"/>
  <c r="BS90" i="8"/>
  <c r="BS84" i="8"/>
  <c r="BS78" i="8"/>
  <c r="BS72" i="8"/>
  <c r="BS66" i="8"/>
  <c r="BS60" i="8"/>
  <c r="BS54" i="8"/>
  <c r="BS48" i="8"/>
  <c r="BS42" i="8"/>
  <c r="BS36" i="8"/>
  <c r="BS30" i="8"/>
  <c r="BS24" i="8"/>
  <c r="BS18" i="8"/>
  <c r="BS12" i="8"/>
  <c r="BS6" i="8"/>
  <c r="BS285" i="8"/>
  <c r="BS249" i="8"/>
  <c r="BS201" i="8"/>
  <c r="BS159" i="8"/>
  <c r="BS87" i="8"/>
  <c r="BS9" i="8"/>
  <c r="BS284" i="8"/>
  <c r="BS248" i="8"/>
  <c r="BS200" i="8"/>
  <c r="BS134" i="8"/>
  <c r="BS313" i="8"/>
  <c r="BS283" i="8"/>
  <c r="BS241" i="8"/>
  <c r="BS217" i="8"/>
  <c r="BS181" i="8"/>
  <c r="BS145" i="8"/>
  <c r="BS121" i="8"/>
  <c r="BS109" i="8"/>
  <c r="BS91" i="8"/>
  <c r="BS79" i="8"/>
  <c r="BS73" i="8"/>
  <c r="BS61" i="8"/>
  <c r="BS43" i="8"/>
  <c r="BS312" i="8"/>
  <c r="BS255" i="8"/>
  <c r="BS219" i="8"/>
  <c r="BS189" i="8"/>
  <c r="BS171" i="8"/>
  <c r="BS153" i="8"/>
  <c r="BS129" i="8"/>
  <c r="BS99" i="8"/>
  <c r="BS75" i="8"/>
  <c r="BS27" i="8"/>
  <c r="BS320" i="8"/>
  <c r="BS290" i="8"/>
  <c r="BS260" i="8"/>
  <c r="BS236" i="8"/>
  <c r="BS206" i="8"/>
  <c r="BS176" i="8"/>
  <c r="BS158" i="8"/>
  <c r="BS319" i="8"/>
  <c r="BS289" i="8"/>
  <c r="BS253" i="8"/>
  <c r="BS223" i="8"/>
  <c r="BS193" i="8"/>
  <c r="BS163" i="8"/>
  <c r="BS139" i="8"/>
  <c r="BS97" i="8"/>
  <c r="BS31" i="8"/>
  <c r="BS323" i="8"/>
  <c r="BS317" i="8"/>
  <c r="BS311" i="8"/>
  <c r="BS305" i="8"/>
  <c r="BS299" i="8"/>
  <c r="BS293" i="8"/>
  <c r="BS287" i="8"/>
  <c r="BS281" i="8"/>
  <c r="BS275" i="8"/>
  <c r="BS269" i="8"/>
  <c r="BS263" i="8"/>
  <c r="BS257" i="8"/>
  <c r="BS251" i="8"/>
  <c r="BS245" i="8"/>
  <c r="BS239" i="8"/>
  <c r="BS233" i="8"/>
  <c r="BS227" i="8"/>
  <c r="BS221" i="8"/>
  <c r="BS215" i="8"/>
  <c r="BS209" i="8"/>
  <c r="BS203" i="8"/>
  <c r="BS197" i="8"/>
  <c r="BS191" i="8"/>
  <c r="BS185" i="8"/>
  <c r="BS179" i="8"/>
  <c r="BS173" i="8"/>
  <c r="BS167" i="8"/>
  <c r="BS161" i="8"/>
  <c r="BS155" i="8"/>
  <c r="BS149" i="8"/>
  <c r="BS143" i="8"/>
  <c r="BS137" i="8"/>
  <c r="BS131" i="8"/>
  <c r="BS125" i="8"/>
  <c r="BS119" i="8"/>
  <c r="BS113" i="8"/>
  <c r="BS107" i="8"/>
  <c r="BS101" i="8"/>
  <c r="BS95" i="8"/>
  <c r="BS89" i="8"/>
  <c r="BS83" i="8"/>
  <c r="BS77" i="8"/>
  <c r="BS71" i="8"/>
  <c r="BS65" i="8"/>
  <c r="BS59" i="8"/>
  <c r="BS53" i="8"/>
  <c r="BS47" i="8"/>
  <c r="BS41" i="8"/>
  <c r="BS35" i="8"/>
  <c r="BS29" i="8"/>
  <c r="BS23" i="8"/>
  <c r="BS17" i="8"/>
  <c r="BS11" i="8"/>
  <c r="BS5" i="8"/>
  <c r="BS57" i="8"/>
  <c r="BS231" i="8"/>
  <c r="BS183" i="8"/>
  <c r="BS141" i="8"/>
  <c r="BS93" i="8"/>
  <c r="BS63" i="8"/>
  <c r="BS15" i="8"/>
  <c r="BS302" i="8"/>
  <c r="BS266" i="8"/>
  <c r="BS230" i="8"/>
  <c r="BS212" i="8"/>
  <c r="BS182" i="8"/>
  <c r="BS152" i="8"/>
  <c r="BS307" i="8"/>
  <c r="BS271" i="8"/>
  <c r="BS235" i="8"/>
  <c r="BS205" i="8"/>
  <c r="BS187" i="8"/>
  <c r="BS157" i="8"/>
  <c r="BS127" i="8"/>
  <c r="BS322" i="8"/>
  <c r="BS316" i="8"/>
  <c r="BS310" i="8"/>
  <c r="BS304" i="8"/>
  <c r="BS298" i="8"/>
  <c r="BS292" i="8"/>
  <c r="BS286" i="8"/>
  <c r="BS280" i="8"/>
  <c r="BS274" i="8"/>
  <c r="BS268" i="8"/>
  <c r="BS262" i="8"/>
  <c r="BS256" i="8"/>
  <c r="BS250" i="8"/>
  <c r="BS244" i="8"/>
  <c r="BS238" i="8"/>
  <c r="BS232" i="8"/>
  <c r="BS226" i="8"/>
  <c r="BS220" i="8"/>
  <c r="BS214" i="8"/>
  <c r="BS208" i="8"/>
  <c r="BS202" i="8"/>
  <c r="BS196" i="8"/>
  <c r="BS190" i="8"/>
  <c r="BS184" i="8"/>
  <c r="BS178" i="8"/>
  <c r="BS172" i="8"/>
  <c r="BS166" i="8"/>
  <c r="BS160" i="8"/>
  <c r="BS154" i="8"/>
  <c r="BS148" i="8"/>
  <c r="BS142" i="8"/>
  <c r="BS136" i="8"/>
  <c r="BS130" i="8"/>
  <c r="BS124" i="8"/>
  <c r="BS118" i="8"/>
  <c r="BS112" i="8"/>
  <c r="BS106" i="8"/>
  <c r="BS100" i="8"/>
  <c r="BS94" i="8"/>
  <c r="BS88" i="8"/>
  <c r="BS82" i="8"/>
  <c r="BS76" i="8"/>
  <c r="BS70" i="8"/>
  <c r="BS64" i="8"/>
  <c r="BS58" i="8"/>
  <c r="BS52" i="8"/>
  <c r="BS46" i="8"/>
  <c r="BS40" i="8"/>
  <c r="BS34" i="8"/>
  <c r="BS28" i="8"/>
  <c r="BS22" i="8"/>
  <c r="BS16" i="8"/>
  <c r="BS10" i="8"/>
  <c r="BS4" i="8"/>
  <c r="BV3" i="8"/>
  <c r="BU3" i="8"/>
  <c r="BT3" i="8"/>
  <c r="BS3" i="8"/>
  <c r="BM294" i="8"/>
  <c r="BM276" i="8"/>
  <c r="BM258" i="8"/>
  <c r="BM240" i="8"/>
  <c r="BM323" i="8"/>
  <c r="BM204" i="8"/>
  <c r="BM285" i="8"/>
  <c r="BM267" i="8"/>
  <c r="BM249" i="8"/>
  <c r="BM231" i="8"/>
  <c r="BM213" i="8"/>
  <c r="BM186" i="8"/>
  <c r="BM69" i="8"/>
  <c r="BM104" i="8"/>
  <c r="BM149" i="8"/>
  <c r="BM131" i="8"/>
  <c r="BM113" i="8"/>
  <c r="BM95" i="8"/>
  <c r="BM77" i="8"/>
  <c r="BM59" i="8"/>
  <c r="BM41" i="8"/>
  <c r="BM23" i="8"/>
  <c r="BM78" i="8"/>
  <c r="BM194" i="8"/>
  <c r="BM121" i="8"/>
  <c r="BM67" i="8"/>
  <c r="BM49" i="8"/>
  <c r="BM31" i="8"/>
  <c r="BM13" i="8"/>
  <c r="BM42" i="8"/>
  <c r="BM12" i="8"/>
  <c r="BM141" i="8"/>
  <c r="BM284" i="8"/>
  <c r="BM150" i="8"/>
  <c r="BM309" i="8"/>
  <c r="BM60" i="8"/>
  <c r="BM248" i="8"/>
  <c r="BM239" i="8"/>
  <c r="BM283" i="8"/>
  <c r="BM282" i="8"/>
  <c r="BM219" i="8"/>
  <c r="BM271" i="8"/>
  <c r="BM199" i="8"/>
  <c r="BM181" i="8"/>
  <c r="BM163" i="8"/>
  <c r="BM145" i="8"/>
  <c r="BM127" i="8"/>
  <c r="BM109" i="8"/>
  <c r="BM91" i="8"/>
  <c r="BM73" i="8"/>
  <c r="BM55" i="8"/>
  <c r="BM37" i="8"/>
  <c r="BM19" i="8"/>
  <c r="BM51" i="8"/>
  <c r="BM50" i="8"/>
  <c r="BM203" i="8"/>
  <c r="BM300" i="8"/>
  <c r="BM183" i="8"/>
  <c r="BM180" i="8"/>
  <c r="BM135" i="8"/>
  <c r="BM108" i="8"/>
  <c r="BM90" i="8"/>
  <c r="BM81" i="8"/>
  <c r="BM72" i="8"/>
  <c r="BM63" i="8"/>
  <c r="BM54" i="8"/>
  <c r="BM45" i="8"/>
  <c r="BM36" i="8"/>
  <c r="BM27" i="8"/>
  <c r="BM18" i="8"/>
  <c r="BM9" i="8"/>
  <c r="BM222" i="8"/>
  <c r="BM177" i="8"/>
  <c r="BM132" i="8"/>
  <c r="BM96" i="8"/>
  <c r="BM15" i="8"/>
  <c r="BM176" i="8"/>
  <c r="BM122" i="8"/>
  <c r="BM14" i="8"/>
  <c r="BM315" i="8"/>
  <c r="BM221" i="8"/>
  <c r="BM167" i="8"/>
  <c r="BM308" i="8"/>
  <c r="BM265" i="8"/>
  <c r="BM211" i="8"/>
  <c r="BM157" i="8"/>
  <c r="BM85" i="8"/>
  <c r="BM314" i="8"/>
  <c r="BM273" i="8"/>
  <c r="BM246" i="8"/>
  <c r="BM210" i="8"/>
  <c r="BM174" i="8"/>
  <c r="BM147" i="8"/>
  <c r="BM120" i="8"/>
  <c r="BM93" i="8"/>
  <c r="BM66" i="8"/>
  <c r="BM39" i="8"/>
  <c r="BM320" i="8"/>
  <c r="BM290" i="8"/>
  <c r="BM218" i="8"/>
  <c r="BM182" i="8"/>
  <c r="BM110" i="8"/>
  <c r="BM56" i="8"/>
  <c r="BM38" i="8"/>
  <c r="BM326" i="8"/>
  <c r="BM306" i="8"/>
  <c r="BM263" i="8"/>
  <c r="BM227" i="8"/>
  <c r="BM173" i="8"/>
  <c r="BM83" i="8"/>
  <c r="BM47" i="8"/>
  <c r="BM289" i="8"/>
  <c r="BM312" i="8"/>
  <c r="BM288" i="8"/>
  <c r="BM261" i="8"/>
  <c r="BM234" i="8"/>
  <c r="BM198" i="8"/>
  <c r="BM162" i="8"/>
  <c r="BM99" i="8"/>
  <c r="BM318" i="8"/>
  <c r="BM296" i="8"/>
  <c r="BM278" i="8"/>
  <c r="BM260" i="8"/>
  <c r="BM242" i="8"/>
  <c r="BM224" i="8"/>
  <c r="BM206" i="8"/>
  <c r="BM188" i="8"/>
  <c r="BM170" i="8"/>
  <c r="BM152" i="8"/>
  <c r="BM134" i="8"/>
  <c r="BM116" i="8"/>
  <c r="BM98" i="8"/>
  <c r="BM80" i="8"/>
  <c r="BM62" i="8"/>
  <c r="BM44" i="8"/>
  <c r="BM26" i="8"/>
  <c r="BM8" i="8"/>
  <c r="BM168" i="8"/>
  <c r="BM123" i="8"/>
  <c r="BM105" i="8"/>
  <c r="BM33" i="8"/>
  <c r="BM266" i="8"/>
  <c r="BM212" i="8"/>
  <c r="BM140" i="8"/>
  <c r="BM86" i="8"/>
  <c r="BM32" i="8"/>
  <c r="BM275" i="8"/>
  <c r="BM185" i="8"/>
  <c r="BM321" i="8"/>
  <c r="BM247" i="8"/>
  <c r="BM193" i="8"/>
  <c r="BM139" i="8"/>
  <c r="BM103" i="8"/>
  <c r="BM291" i="8"/>
  <c r="BM255" i="8"/>
  <c r="BM228" i="8"/>
  <c r="BM192" i="8"/>
  <c r="BM156" i="8"/>
  <c r="BM129" i="8"/>
  <c r="BM102" i="8"/>
  <c r="BM75" i="8"/>
  <c r="BM48" i="8"/>
  <c r="BM30" i="8"/>
  <c r="BM307" i="8"/>
  <c r="BM254" i="8"/>
  <c r="BM200" i="8"/>
  <c r="BM146" i="8"/>
  <c r="BM74" i="8"/>
  <c r="BM20" i="8"/>
  <c r="BM281" i="8"/>
  <c r="BM245" i="8"/>
  <c r="BM209" i="8"/>
  <c r="BM137" i="8"/>
  <c r="BM101" i="8"/>
  <c r="BM11" i="8"/>
  <c r="BM235" i="8"/>
  <c r="BM325" i="8"/>
  <c r="BM297" i="8"/>
  <c r="BM279" i="8"/>
  <c r="BM252" i="8"/>
  <c r="BM225" i="8"/>
  <c r="BM207" i="8"/>
  <c r="BM171" i="8"/>
  <c r="BM144" i="8"/>
  <c r="BM117" i="8"/>
  <c r="BM324" i="8"/>
  <c r="BM311" i="8"/>
  <c r="BM287" i="8"/>
  <c r="BM269" i="8"/>
  <c r="BM251" i="8"/>
  <c r="BM233" i="8"/>
  <c r="BM215" i="8"/>
  <c r="BM197" i="8"/>
  <c r="BM179" i="8"/>
  <c r="BM161" i="8"/>
  <c r="BM143" i="8"/>
  <c r="BM125" i="8"/>
  <c r="BM107" i="8"/>
  <c r="BM89" i="8"/>
  <c r="BM71" i="8"/>
  <c r="BM53" i="8"/>
  <c r="BM35" i="8"/>
  <c r="BM17" i="8"/>
  <c r="BM195" i="8"/>
  <c r="BM159" i="8"/>
  <c r="BM114" i="8"/>
  <c r="BM87" i="8"/>
  <c r="BM24" i="8"/>
  <c r="BM302" i="8"/>
  <c r="BM230" i="8"/>
  <c r="BM158" i="8"/>
  <c r="BM68" i="8"/>
  <c r="BM293" i="8"/>
  <c r="BM257" i="8"/>
  <c r="BM301" i="8"/>
  <c r="BM229" i="8"/>
  <c r="BM175" i="8"/>
  <c r="BM327" i="8"/>
  <c r="BM264" i="8"/>
  <c r="BM237" i="8"/>
  <c r="BM201" i="8"/>
  <c r="BM165" i="8"/>
  <c r="BM138" i="8"/>
  <c r="BM111" i="8"/>
  <c r="BM84" i="8"/>
  <c r="BM57" i="8"/>
  <c r="BM21" i="8"/>
  <c r="BM272" i="8"/>
  <c r="BM236" i="8"/>
  <c r="BM164" i="8"/>
  <c r="BM128" i="8"/>
  <c r="BM92" i="8"/>
  <c r="BM313" i="8"/>
  <c r="BM299" i="8"/>
  <c r="BM191" i="8"/>
  <c r="BM155" i="8"/>
  <c r="BM119" i="8"/>
  <c r="BM65" i="8"/>
  <c r="BM29" i="8"/>
  <c r="BM319" i="8"/>
  <c r="BM253" i="8"/>
  <c r="BM217" i="8"/>
  <c r="BM305" i="8"/>
  <c r="BM270" i="8"/>
  <c r="BM243" i="8"/>
  <c r="BM216" i="8"/>
  <c r="BM189" i="8"/>
  <c r="BM153" i="8"/>
  <c r="BM126" i="8"/>
  <c r="BM317" i="8"/>
  <c r="BM303" i="8"/>
  <c r="BM295" i="8"/>
  <c r="BM277" i="8"/>
  <c r="BM259" i="8"/>
  <c r="BM241" i="8"/>
  <c r="BM223" i="8"/>
  <c r="BM205" i="8"/>
  <c r="BM187" i="8"/>
  <c r="BM169" i="8"/>
  <c r="BM151" i="8"/>
  <c r="BM133" i="8"/>
  <c r="BM115" i="8"/>
  <c r="BM97" i="8"/>
  <c r="BM79" i="8"/>
  <c r="BM61" i="8"/>
  <c r="BM43" i="8"/>
  <c r="BM25" i="8"/>
  <c r="BM7" i="8"/>
  <c r="BM6" i="8"/>
  <c r="BM5" i="8"/>
  <c r="BM322" i="8"/>
  <c r="BM316" i="8"/>
  <c r="BM310" i="8"/>
  <c r="BM304" i="8"/>
  <c r="BM298" i="8"/>
  <c r="BM292" i="8"/>
  <c r="BM286" i="8"/>
  <c r="BM280" i="8"/>
  <c r="BM274" i="8"/>
  <c r="BM268" i="8"/>
  <c r="BM262" i="8"/>
  <c r="BM256" i="8"/>
  <c r="BM250" i="8"/>
  <c r="BM244" i="8"/>
  <c r="BM238" i="8"/>
  <c r="BM232" i="8"/>
  <c r="BM226" i="8"/>
  <c r="BM220" i="8"/>
  <c r="BM214" i="8"/>
  <c r="BM208" i="8"/>
  <c r="BM202" i="8"/>
  <c r="BM196" i="8"/>
  <c r="BM190" i="8"/>
  <c r="BM184" i="8"/>
  <c r="BM178" i="8"/>
  <c r="BM172" i="8"/>
  <c r="BM166" i="8"/>
  <c r="BM160" i="8"/>
  <c r="BM154" i="8"/>
  <c r="BM148" i="8"/>
  <c r="BM142" i="8"/>
  <c r="BM136" i="8"/>
  <c r="BM130" i="8"/>
  <c r="BM124" i="8"/>
  <c r="BM118" i="8"/>
  <c r="BM112" i="8"/>
  <c r="BM106" i="8"/>
  <c r="BM100" i="8"/>
  <c r="BM94" i="8"/>
  <c r="BM88" i="8"/>
  <c r="BM82" i="8"/>
  <c r="BM76" i="8"/>
  <c r="BM70" i="8"/>
  <c r="BM64" i="8"/>
  <c r="BM58" i="8"/>
  <c r="BM52" i="8"/>
  <c r="BM46" i="8"/>
  <c r="BM40" i="8"/>
  <c r="BM34" i="8"/>
  <c r="BM28" i="8"/>
  <c r="BM22" i="8"/>
  <c r="BM16" i="8"/>
  <c r="BM10" i="8"/>
  <c r="BM4" i="8"/>
  <c r="BL223" i="8"/>
  <c r="BL187" i="8"/>
  <c r="BL151" i="8"/>
  <c r="BL258" i="8"/>
  <c r="BL152" i="8"/>
  <c r="BL80" i="8"/>
  <c r="BL144" i="8"/>
  <c r="BL108" i="8"/>
  <c r="BL326" i="8"/>
  <c r="BL248" i="8"/>
  <c r="BL143" i="8"/>
  <c r="BL35" i="8"/>
  <c r="BL270" i="8"/>
  <c r="BL241" i="8"/>
  <c r="BL134" i="8"/>
  <c r="BL98" i="8"/>
  <c r="BL319" i="8"/>
  <c r="BL133" i="8"/>
  <c r="BL25" i="8"/>
  <c r="BL240" i="8"/>
  <c r="BL313" i="8"/>
  <c r="BL288" i="8"/>
  <c r="BL260" i="8"/>
  <c r="BL234" i="8"/>
  <c r="BL198" i="8"/>
  <c r="BL162" i="8"/>
  <c r="BL126" i="8"/>
  <c r="BL90" i="8"/>
  <c r="BL54" i="8"/>
  <c r="BL18" i="8"/>
  <c r="BL311" i="8"/>
  <c r="BL224" i="8"/>
  <c r="BL44" i="8"/>
  <c r="BL180" i="8"/>
  <c r="BL36" i="8"/>
  <c r="BL302" i="8"/>
  <c r="BL215" i="8"/>
  <c r="BL71" i="8"/>
  <c r="BL296" i="8"/>
  <c r="BL269" i="8"/>
  <c r="BL170" i="8"/>
  <c r="BL26" i="8"/>
  <c r="BL169" i="8"/>
  <c r="BL61" i="8"/>
  <c r="BL294" i="8"/>
  <c r="BL312" i="8"/>
  <c r="BL287" i="8"/>
  <c r="BL259" i="8"/>
  <c r="BL233" i="8"/>
  <c r="BL197" i="8"/>
  <c r="BL161" i="8"/>
  <c r="BL125" i="8"/>
  <c r="BL89" i="8"/>
  <c r="BL53" i="8"/>
  <c r="BL17" i="8"/>
  <c r="BL284" i="8"/>
  <c r="BL188" i="8"/>
  <c r="BL116" i="8"/>
  <c r="BL278" i="8"/>
  <c r="BL252" i="8"/>
  <c r="BL115" i="8"/>
  <c r="BL79" i="8"/>
  <c r="BL43" i="8"/>
  <c r="BL277" i="8"/>
  <c r="BL251" i="8"/>
  <c r="BL216" i="8"/>
  <c r="BL72" i="8"/>
  <c r="BL276" i="8"/>
  <c r="BL179" i="8"/>
  <c r="BL107" i="8"/>
  <c r="BL242" i="8"/>
  <c r="BL295" i="8"/>
  <c r="BL206" i="8"/>
  <c r="BL62" i="8"/>
  <c r="BL205" i="8"/>
  <c r="BL97" i="8"/>
  <c r="BL266" i="8"/>
  <c r="BL320" i="8"/>
  <c r="BL305" i="8"/>
  <c r="BL230" i="8"/>
  <c r="BL212" i="8"/>
  <c r="BL194" i="8"/>
  <c r="BL176" i="8"/>
  <c r="BL158" i="8"/>
  <c r="BL140" i="8"/>
  <c r="BL122" i="8"/>
  <c r="BL104" i="8"/>
  <c r="BL86" i="8"/>
  <c r="BL68" i="8"/>
  <c r="BL50" i="8"/>
  <c r="BL32" i="8"/>
  <c r="BL14" i="8"/>
  <c r="BL325" i="8"/>
  <c r="BL293" i="8"/>
  <c r="BL265" i="8"/>
  <c r="BL247" i="8"/>
  <c r="BL239" i="8"/>
  <c r="BL221" i="8"/>
  <c r="BL193" i="8"/>
  <c r="BL175" i="8"/>
  <c r="BL157" i="8"/>
  <c r="BL149" i="8"/>
  <c r="BL131" i="8"/>
  <c r="BL103" i="8"/>
  <c r="BL67" i="8"/>
  <c r="BL49" i="8"/>
  <c r="BL31" i="8"/>
  <c r="BL13" i="8"/>
  <c r="BL308" i="8"/>
  <c r="BL282" i="8"/>
  <c r="BL264" i="8"/>
  <c r="BL254" i="8"/>
  <c r="BL236" i="8"/>
  <c r="BL228" i="8"/>
  <c r="BL218" i="8"/>
  <c r="BL210" i="8"/>
  <c r="BL200" i="8"/>
  <c r="BL192" i="8"/>
  <c r="BL182" i="8"/>
  <c r="BL174" i="8"/>
  <c r="BL164" i="8"/>
  <c r="BL156" i="8"/>
  <c r="BL146" i="8"/>
  <c r="BL138" i="8"/>
  <c r="BL128" i="8"/>
  <c r="BL120" i="8"/>
  <c r="BL110" i="8"/>
  <c r="BL102" i="8"/>
  <c r="BL92" i="8"/>
  <c r="BL84" i="8"/>
  <c r="BL74" i="8"/>
  <c r="BL66" i="8"/>
  <c r="BL56" i="8"/>
  <c r="BL48" i="8"/>
  <c r="BL38" i="8"/>
  <c r="BL30" i="8"/>
  <c r="BL20" i="8"/>
  <c r="BL12" i="8"/>
  <c r="BL101" i="8"/>
  <c r="BL222" i="8"/>
  <c r="BL204" i="8"/>
  <c r="BL186" i="8"/>
  <c r="BL168" i="8"/>
  <c r="BL150" i="8"/>
  <c r="BL132" i="8"/>
  <c r="BL114" i="8"/>
  <c r="BL96" i="8"/>
  <c r="BL78" i="8"/>
  <c r="BL60" i="8"/>
  <c r="BL42" i="8"/>
  <c r="BL24" i="8"/>
  <c r="BL318" i="8"/>
  <c r="BL301" i="8"/>
  <c r="BL283" i="8"/>
  <c r="BL275" i="8"/>
  <c r="BL257" i="8"/>
  <c r="BL229" i="8"/>
  <c r="BL211" i="8"/>
  <c r="BL203" i="8"/>
  <c r="BL185" i="8"/>
  <c r="BL167" i="8"/>
  <c r="BL139" i="8"/>
  <c r="BL121" i="8"/>
  <c r="BL113" i="8"/>
  <c r="BL95" i="8"/>
  <c r="BL85" i="8"/>
  <c r="BL77" i="8"/>
  <c r="BL59" i="8"/>
  <c r="BL41" i="8"/>
  <c r="BL23" i="8"/>
  <c r="BL317" i="8"/>
  <c r="BL324" i="8"/>
  <c r="BL300" i="8"/>
  <c r="BL290" i="8"/>
  <c r="BL272" i="8"/>
  <c r="BL246" i="8"/>
  <c r="BL307" i="8"/>
  <c r="BL323" i="8"/>
  <c r="BL314" i="8"/>
  <c r="BL299" i="8"/>
  <c r="BL289" i="8"/>
  <c r="BL281" i="8"/>
  <c r="BL271" i="8"/>
  <c r="BL263" i="8"/>
  <c r="BL253" i="8"/>
  <c r="BL245" i="8"/>
  <c r="BL235" i="8"/>
  <c r="BL227" i="8"/>
  <c r="BL217" i="8"/>
  <c r="BL209" i="8"/>
  <c r="BL199" i="8"/>
  <c r="BL191" i="8"/>
  <c r="BL181" i="8"/>
  <c r="BL173" i="8"/>
  <c r="BL163" i="8"/>
  <c r="BL155" i="8"/>
  <c r="BL145" i="8"/>
  <c r="BL137" i="8"/>
  <c r="BL127" i="8"/>
  <c r="BL119" i="8"/>
  <c r="BL109" i="8"/>
  <c r="BL91" i="8"/>
  <c r="BL83" i="8"/>
  <c r="BL73" i="8"/>
  <c r="BL65" i="8"/>
  <c r="BL55" i="8"/>
  <c r="BL47" i="8"/>
  <c r="BL37" i="8"/>
  <c r="BL29" i="8"/>
  <c r="BL19" i="8"/>
  <c r="BL11" i="8"/>
  <c r="BL306" i="8"/>
  <c r="BL8" i="8"/>
  <c r="BL321" i="8"/>
  <c r="BL309" i="8"/>
  <c r="BL297" i="8"/>
  <c r="BL285" i="8"/>
  <c r="BL273" i="8"/>
  <c r="BL267" i="8"/>
  <c r="BL255" i="8"/>
  <c r="BL249" i="8"/>
  <c r="BL243" i="8"/>
  <c r="BL237" i="8"/>
  <c r="BL231" i="8"/>
  <c r="BL225" i="8"/>
  <c r="BL219" i="8"/>
  <c r="BL213" i="8"/>
  <c r="BL207" i="8"/>
  <c r="BL195" i="8"/>
  <c r="BL189" i="8"/>
  <c r="BL183" i="8"/>
  <c r="BL177" i="8"/>
  <c r="BL171" i="8"/>
  <c r="BL165" i="8"/>
  <c r="BL159" i="8"/>
  <c r="BL153" i="8"/>
  <c r="BL147" i="8"/>
  <c r="BL141" i="8"/>
  <c r="BL135" i="8"/>
  <c r="BL129" i="8"/>
  <c r="BL123" i="8"/>
  <c r="BL117" i="8"/>
  <c r="BL111" i="8"/>
  <c r="BL105" i="8"/>
  <c r="BL99" i="8"/>
  <c r="BL93" i="8"/>
  <c r="BL87" i="8"/>
  <c r="BL81" i="8"/>
  <c r="BL75" i="8"/>
  <c r="BL69" i="8"/>
  <c r="BL63" i="8"/>
  <c r="BL57" i="8"/>
  <c r="BL51" i="8"/>
  <c r="BL45" i="8"/>
  <c r="BL39" i="8"/>
  <c r="BL33" i="8"/>
  <c r="BL27" i="8"/>
  <c r="BL21" i="8"/>
  <c r="BL15" i="8"/>
  <c r="BL9" i="8"/>
  <c r="BL327" i="8"/>
  <c r="BL315" i="8"/>
  <c r="BL303" i="8"/>
  <c r="BL291" i="8"/>
  <c r="BL279" i="8"/>
  <c r="BL261" i="8"/>
  <c r="BL201" i="8"/>
  <c r="BL7" i="8"/>
  <c r="BL6" i="8"/>
  <c r="BL5" i="8"/>
  <c r="BL322" i="8"/>
  <c r="BL316" i="8"/>
  <c r="BL310" i="8"/>
  <c r="BL304" i="8"/>
  <c r="BL298" i="8"/>
  <c r="BL292" i="8"/>
  <c r="BL286" i="8"/>
  <c r="BL280" i="8"/>
  <c r="BL274" i="8"/>
  <c r="BL268" i="8"/>
  <c r="BL262" i="8"/>
  <c r="BL256" i="8"/>
  <c r="BL250" i="8"/>
  <c r="BL244" i="8"/>
  <c r="BL238" i="8"/>
  <c r="BL232" i="8"/>
  <c r="BL226" i="8"/>
  <c r="BL220" i="8"/>
  <c r="BL214" i="8"/>
  <c r="BL208" i="8"/>
  <c r="BL202" i="8"/>
  <c r="BL196" i="8"/>
  <c r="BL190" i="8"/>
  <c r="BL184" i="8"/>
  <c r="BL178" i="8"/>
  <c r="BL172" i="8"/>
  <c r="BL166" i="8"/>
  <c r="BL160" i="8"/>
  <c r="BL154" i="8"/>
  <c r="BL148" i="8"/>
  <c r="BL142" i="8"/>
  <c r="BL136" i="8"/>
  <c r="BL130" i="8"/>
  <c r="BL124" i="8"/>
  <c r="BL118" i="8"/>
  <c r="BL112" i="8"/>
  <c r="BL106" i="8"/>
  <c r="BL100" i="8"/>
  <c r="BL94" i="8"/>
  <c r="BL88" i="8"/>
  <c r="BL82" i="8"/>
  <c r="BL76" i="8"/>
  <c r="BL70" i="8"/>
  <c r="BL64" i="8"/>
  <c r="BL58" i="8"/>
  <c r="BL52" i="8"/>
  <c r="BL46" i="8"/>
  <c r="BL40" i="8"/>
  <c r="BL34" i="8"/>
  <c r="BL28" i="8"/>
  <c r="BL22" i="8"/>
  <c r="BL16" i="8"/>
  <c r="BL10" i="8"/>
  <c r="BL4" i="8"/>
  <c r="BK289" i="8"/>
  <c r="BK277" i="8"/>
  <c r="BK207" i="8"/>
  <c r="BK135" i="8"/>
  <c r="BK259" i="8"/>
  <c r="BK153" i="8"/>
  <c r="BK321" i="8"/>
  <c r="BK276" i="8"/>
  <c r="BK312" i="8"/>
  <c r="BK261" i="8"/>
  <c r="BK117" i="8"/>
  <c r="BK187" i="8"/>
  <c r="BK301" i="8"/>
  <c r="BK243" i="8"/>
  <c r="BK75" i="8"/>
  <c r="BK241" i="8"/>
  <c r="BK72" i="8"/>
  <c r="BK291" i="8"/>
  <c r="BK165" i="8"/>
  <c r="BK223" i="8"/>
  <c r="BK151" i="8"/>
  <c r="BK205" i="8"/>
  <c r="BK311" i="8"/>
  <c r="BK189" i="8"/>
  <c r="BK99" i="8"/>
  <c r="BK96" i="8"/>
  <c r="BK171" i="8"/>
  <c r="BK300" i="8"/>
  <c r="BK169" i="8"/>
  <c r="BK225" i="8"/>
  <c r="BK39" i="8"/>
  <c r="BK115" i="8"/>
  <c r="BK299" i="8"/>
  <c r="BK204" i="8"/>
  <c r="BK93" i="8"/>
  <c r="BK297" i="8"/>
  <c r="BK201" i="8"/>
  <c r="BK63" i="8"/>
  <c r="BK235" i="8"/>
  <c r="BK163" i="8"/>
  <c r="BK127" i="8"/>
  <c r="BK109" i="8"/>
  <c r="BK87" i="8"/>
  <c r="BK240" i="8"/>
  <c r="BK114" i="8"/>
  <c r="BK90" i="8"/>
  <c r="BK327" i="8"/>
  <c r="BK255" i="8"/>
  <c r="BK111" i="8"/>
  <c r="BK252" i="8"/>
  <c r="BK144" i="8"/>
  <c r="BK57" i="8"/>
  <c r="BK258" i="8"/>
  <c r="BK150" i="8"/>
  <c r="BK129" i="8"/>
  <c r="BK309" i="8"/>
  <c r="BK222" i="8"/>
  <c r="BK132" i="8"/>
  <c r="BK307" i="8"/>
  <c r="BK219" i="8"/>
  <c r="BK195" i="8"/>
  <c r="BK51" i="8"/>
  <c r="BK15" i="8"/>
  <c r="BK133" i="8"/>
  <c r="BK186" i="8"/>
  <c r="BK69" i="8"/>
  <c r="BK288" i="8"/>
  <c r="BK319" i="8"/>
  <c r="BK168" i="8"/>
  <c r="BK33" i="8"/>
  <c r="BK273" i="8"/>
  <c r="BK318" i="8"/>
  <c r="BK271" i="8"/>
  <c r="BK237" i="8"/>
  <c r="BK183" i="8"/>
  <c r="BK147" i="8"/>
  <c r="BK27" i="8"/>
  <c r="BK317" i="8"/>
  <c r="BK285" i="8"/>
  <c r="BK253" i="8"/>
  <c r="BK217" i="8"/>
  <c r="BK199" i="8"/>
  <c r="BK181" i="8"/>
  <c r="BK145" i="8"/>
  <c r="BK325" i="8"/>
  <c r="BK306" i="8"/>
  <c r="BK295" i="8"/>
  <c r="BK283" i="8"/>
  <c r="BK270" i="8"/>
  <c r="BK234" i="8"/>
  <c r="BK216" i="8"/>
  <c r="BK198" i="8"/>
  <c r="BK180" i="8"/>
  <c r="BK162" i="8"/>
  <c r="BK126" i="8"/>
  <c r="BK108" i="8"/>
  <c r="BK84" i="8"/>
  <c r="BK21" i="8"/>
  <c r="BK315" i="8"/>
  <c r="BK305" i="8"/>
  <c r="BK324" i="8"/>
  <c r="BK294" i="8"/>
  <c r="BK282" i="8"/>
  <c r="BK267" i="8"/>
  <c r="BK249" i="8"/>
  <c r="BK231" i="8"/>
  <c r="BK213" i="8"/>
  <c r="BK177" i="8"/>
  <c r="BK159" i="8"/>
  <c r="BK141" i="8"/>
  <c r="BK123" i="8"/>
  <c r="BK105" i="8"/>
  <c r="BK81" i="8"/>
  <c r="BK323" i="8"/>
  <c r="BK313" i="8"/>
  <c r="BK303" i="8"/>
  <c r="BK293" i="8"/>
  <c r="BK265" i="8"/>
  <c r="BK247" i="8"/>
  <c r="BK229" i="8"/>
  <c r="BK211" i="8"/>
  <c r="BK193" i="8"/>
  <c r="BK175" i="8"/>
  <c r="BK157" i="8"/>
  <c r="BK139" i="8"/>
  <c r="BK121" i="8"/>
  <c r="BK102" i="8"/>
  <c r="BK78" i="8"/>
  <c r="BK322" i="8"/>
  <c r="BK279" i="8"/>
  <c r="BK264" i="8"/>
  <c r="BK246" i="8"/>
  <c r="BK228" i="8"/>
  <c r="BK210" i="8"/>
  <c r="BK192" i="8"/>
  <c r="BK174" i="8"/>
  <c r="BK156" i="8"/>
  <c r="BK138" i="8"/>
  <c r="BK120" i="8"/>
  <c r="BK45" i="8"/>
  <c r="BK9" i="8"/>
  <c r="BK320" i="8"/>
  <c r="BK308" i="8"/>
  <c r="BK296" i="8"/>
  <c r="BK284" i="8"/>
  <c r="BK272" i="8"/>
  <c r="BK260" i="8"/>
  <c r="BK248" i="8"/>
  <c r="BK236" i="8"/>
  <c r="BK224" i="8"/>
  <c r="BK212" i="8"/>
  <c r="BK200" i="8"/>
  <c r="BK188" i="8"/>
  <c r="BK176" i="8"/>
  <c r="BK170" i="8"/>
  <c r="BK158" i="8"/>
  <c r="BK152" i="8"/>
  <c r="BK146" i="8"/>
  <c r="BK140" i="8"/>
  <c r="BK134" i="8"/>
  <c r="BK128" i="8"/>
  <c r="BK122" i="8"/>
  <c r="BK110" i="8"/>
  <c r="BK104" i="8"/>
  <c r="BK98" i="8"/>
  <c r="BK92" i="8"/>
  <c r="BK86" i="8"/>
  <c r="BK80" i="8"/>
  <c r="BK74" i="8"/>
  <c r="BK68" i="8"/>
  <c r="BK62" i="8"/>
  <c r="BK56" i="8"/>
  <c r="BK50" i="8"/>
  <c r="BK44" i="8"/>
  <c r="BK38" i="8"/>
  <c r="BK32" i="8"/>
  <c r="BK26" i="8"/>
  <c r="BK20" i="8"/>
  <c r="BK14" i="8"/>
  <c r="BK8" i="8"/>
  <c r="BK326" i="8"/>
  <c r="BK314" i="8"/>
  <c r="BK302" i="8"/>
  <c r="BK290" i="8"/>
  <c r="BK278" i="8"/>
  <c r="BK266" i="8"/>
  <c r="BK254" i="8"/>
  <c r="BK242" i="8"/>
  <c r="BK230" i="8"/>
  <c r="BK218" i="8"/>
  <c r="BK206" i="8"/>
  <c r="BK194" i="8"/>
  <c r="BK182" i="8"/>
  <c r="BK164" i="8"/>
  <c r="BK116" i="8"/>
  <c r="BK103" i="8"/>
  <c r="BK97" i="8"/>
  <c r="BK91" i="8"/>
  <c r="BK85" i="8"/>
  <c r="BK79" i="8"/>
  <c r="BK73" i="8"/>
  <c r="BK67" i="8"/>
  <c r="BK61" i="8"/>
  <c r="BK55" i="8"/>
  <c r="BK49" i="8"/>
  <c r="BK43" i="8"/>
  <c r="BK37" i="8"/>
  <c r="BK31" i="8"/>
  <c r="BK25" i="8"/>
  <c r="BK19" i="8"/>
  <c r="BK13" i="8"/>
  <c r="BK7" i="8"/>
  <c r="BK6" i="8"/>
  <c r="BK66" i="8"/>
  <c r="BK60" i="8"/>
  <c r="BK54" i="8"/>
  <c r="BK48" i="8"/>
  <c r="BK42" i="8"/>
  <c r="BK36" i="8"/>
  <c r="BK30" i="8"/>
  <c r="BK24" i="8"/>
  <c r="BK18" i="8"/>
  <c r="BK12" i="8"/>
  <c r="BK281" i="8"/>
  <c r="BK269" i="8"/>
  <c r="BK257" i="8"/>
  <c r="BK245" i="8"/>
  <c r="BK233" i="8"/>
  <c r="BK221" i="8"/>
  <c r="BK209" i="8"/>
  <c r="BK203" i="8"/>
  <c r="BK197" i="8"/>
  <c r="BK185" i="8"/>
  <c r="BK179" i="8"/>
  <c r="BK173" i="8"/>
  <c r="BK167" i="8"/>
  <c r="BK161" i="8"/>
  <c r="BK155" i="8"/>
  <c r="BK149" i="8"/>
  <c r="BK143" i="8"/>
  <c r="BK137" i="8"/>
  <c r="BK131" i="8"/>
  <c r="BK125" i="8"/>
  <c r="BK113" i="8"/>
  <c r="BK107" i="8"/>
  <c r="BK101" i="8"/>
  <c r="BK95" i="8"/>
  <c r="BK89" i="8"/>
  <c r="BK83" i="8"/>
  <c r="BK77" i="8"/>
  <c r="BK71" i="8"/>
  <c r="BK65" i="8"/>
  <c r="BK59" i="8"/>
  <c r="BK53" i="8"/>
  <c r="BK47" i="8"/>
  <c r="BK41" i="8"/>
  <c r="BK35" i="8"/>
  <c r="BK29" i="8"/>
  <c r="BK23" i="8"/>
  <c r="BK17" i="8"/>
  <c r="BK11" i="8"/>
  <c r="BK5" i="8"/>
  <c r="BK287" i="8"/>
  <c r="BK275" i="8"/>
  <c r="BK263" i="8"/>
  <c r="BK251" i="8"/>
  <c r="BK239" i="8"/>
  <c r="BK227" i="8"/>
  <c r="BK215" i="8"/>
  <c r="BK191" i="8"/>
  <c r="BK119" i="8"/>
  <c r="BK316" i="8"/>
  <c r="BK310" i="8"/>
  <c r="BK304" i="8"/>
  <c r="BK298" i="8"/>
  <c r="BK292" i="8"/>
  <c r="BK286" i="8"/>
  <c r="BK280" i="8"/>
  <c r="BK274" i="8"/>
  <c r="BK268" i="8"/>
  <c r="BK262" i="8"/>
  <c r="BK256" i="8"/>
  <c r="BK250" i="8"/>
  <c r="BK244" i="8"/>
  <c r="BK238" i="8"/>
  <c r="BK232" i="8"/>
  <c r="BK226" i="8"/>
  <c r="BK220" i="8"/>
  <c r="BK214" i="8"/>
  <c r="BK208" i="8"/>
  <c r="BK202" i="8"/>
  <c r="BK196" i="8"/>
  <c r="BK190" i="8"/>
  <c r="BK184" i="8"/>
  <c r="BK178" i="8"/>
  <c r="BK172" i="8"/>
  <c r="BK166" i="8"/>
  <c r="BK160" i="8"/>
  <c r="BK154" i="8"/>
  <c r="BK148" i="8"/>
  <c r="BK142" i="8"/>
  <c r="BK136" i="8"/>
  <c r="BK130" i="8"/>
  <c r="BK124" i="8"/>
  <c r="BK118" i="8"/>
  <c r="BK112" i="8"/>
  <c r="BK106" i="8"/>
  <c r="BK100" i="8"/>
  <c r="BK94" i="8"/>
  <c r="BK88" i="8"/>
  <c r="BK82" i="8"/>
  <c r="BK76" i="8"/>
  <c r="BK70" i="8"/>
  <c r="BK64" i="8"/>
  <c r="BK58" i="8"/>
  <c r="BK52" i="8"/>
  <c r="BK46" i="8"/>
  <c r="BK40" i="8"/>
  <c r="BK34" i="8"/>
  <c r="BK28" i="8"/>
  <c r="BK22" i="8"/>
  <c r="BK16" i="8"/>
  <c r="BK10" i="8"/>
  <c r="BK4" i="8"/>
  <c r="BJ302" i="8"/>
  <c r="BJ232" i="8"/>
  <c r="BJ270" i="8"/>
  <c r="BJ185" i="8"/>
  <c r="BJ295" i="8"/>
  <c r="BJ221" i="8"/>
  <c r="BJ260" i="8"/>
  <c r="BJ125" i="8"/>
  <c r="BJ288" i="8"/>
  <c r="BJ251" i="8"/>
  <c r="BJ209" i="8"/>
  <c r="BJ280" i="8"/>
  <c r="BJ197" i="8"/>
  <c r="BJ149" i="8"/>
  <c r="BJ230" i="8"/>
  <c r="BJ137" i="8"/>
  <c r="BJ222" i="8"/>
  <c r="BJ262" i="8"/>
  <c r="BJ326" i="8"/>
  <c r="BJ173" i="8"/>
  <c r="BJ252" i="8"/>
  <c r="BJ319" i="8"/>
  <c r="BJ287" i="8"/>
  <c r="BJ161" i="8"/>
  <c r="BJ312" i="8"/>
  <c r="BJ311" i="8"/>
  <c r="BJ278" i="8"/>
  <c r="BJ240" i="8"/>
  <c r="BJ304" i="8"/>
  <c r="BJ101" i="8"/>
  <c r="BJ110" i="8"/>
  <c r="BJ50" i="8"/>
  <c r="BJ38" i="8"/>
  <c r="BJ26" i="8"/>
  <c r="BJ14" i="8"/>
  <c r="BJ41" i="8"/>
  <c r="BJ269" i="8"/>
  <c r="BJ28" i="8"/>
  <c r="BJ65" i="8"/>
  <c r="BJ239" i="8"/>
  <c r="BJ160" i="8"/>
  <c r="BJ323" i="8"/>
  <c r="BJ53" i="8"/>
  <c r="BJ250" i="8"/>
  <c r="BJ16" i="8"/>
  <c r="BJ245" i="8"/>
  <c r="BJ59" i="8"/>
  <c r="BJ11" i="8"/>
  <c r="BJ89" i="8"/>
  <c r="BJ29" i="8"/>
  <c r="BJ318" i="8"/>
  <c r="BJ294" i="8"/>
  <c r="BJ220" i="8"/>
  <c r="BJ317" i="8"/>
  <c r="BJ293" i="8"/>
  <c r="BJ248" i="8"/>
  <c r="BJ208" i="8"/>
  <c r="BJ184" i="8"/>
  <c r="BJ148" i="8"/>
  <c r="BJ124" i="8"/>
  <c r="BJ100" i="8"/>
  <c r="BJ76" i="8"/>
  <c r="BJ40" i="8"/>
  <c r="BJ268" i="8"/>
  <c r="BJ238" i="8"/>
  <c r="BJ206" i="8"/>
  <c r="BJ182" i="8"/>
  <c r="BJ158" i="8"/>
  <c r="BJ134" i="8"/>
  <c r="BJ98" i="8"/>
  <c r="BJ74" i="8"/>
  <c r="BJ324" i="8"/>
  <c r="BJ300" i="8"/>
  <c r="BJ257" i="8"/>
  <c r="BJ227" i="8"/>
  <c r="BJ299" i="8"/>
  <c r="BJ275" i="8"/>
  <c r="BJ246" i="8"/>
  <c r="BJ216" i="8"/>
  <c r="BJ290" i="8"/>
  <c r="BJ215" i="8"/>
  <c r="BJ179" i="8"/>
  <c r="BJ143" i="8"/>
  <c r="BJ107" i="8"/>
  <c r="BJ71" i="8"/>
  <c r="BJ23" i="8"/>
  <c r="BJ322" i="8"/>
  <c r="BJ306" i="8"/>
  <c r="BJ298" i="8"/>
  <c r="BJ282" i="8"/>
  <c r="BJ274" i="8"/>
  <c r="BJ254" i="8"/>
  <c r="BJ224" i="8"/>
  <c r="BJ113" i="8"/>
  <c r="BJ77" i="8"/>
  <c r="BJ17" i="8"/>
  <c r="BJ310" i="8"/>
  <c r="BJ286" i="8"/>
  <c r="BJ325" i="8"/>
  <c r="BJ301" i="8"/>
  <c r="BJ277" i="8"/>
  <c r="BJ218" i="8"/>
  <c r="BJ196" i="8"/>
  <c r="BJ172" i="8"/>
  <c r="BJ136" i="8"/>
  <c r="BJ112" i="8"/>
  <c r="BJ88" i="8"/>
  <c r="BJ64" i="8"/>
  <c r="BJ52" i="8"/>
  <c r="BJ308" i="8"/>
  <c r="BJ284" i="8"/>
  <c r="BJ258" i="8"/>
  <c r="BJ228" i="8"/>
  <c r="BJ194" i="8"/>
  <c r="BJ170" i="8"/>
  <c r="BJ146" i="8"/>
  <c r="BJ122" i="8"/>
  <c r="BJ86" i="8"/>
  <c r="BJ62" i="8"/>
  <c r="BJ316" i="8"/>
  <c r="BJ292" i="8"/>
  <c r="BJ276" i="8"/>
  <c r="BJ307" i="8"/>
  <c r="BJ283" i="8"/>
  <c r="BJ266" i="8"/>
  <c r="BJ236" i="8"/>
  <c r="BJ314" i="8"/>
  <c r="BJ226" i="8"/>
  <c r="BJ191" i="8"/>
  <c r="BJ155" i="8"/>
  <c r="BJ119" i="8"/>
  <c r="BJ83" i="8"/>
  <c r="BJ35" i="8"/>
  <c r="BJ313" i="8"/>
  <c r="BJ305" i="8"/>
  <c r="BJ289" i="8"/>
  <c r="BJ281" i="8"/>
  <c r="BJ264" i="8"/>
  <c r="BJ244" i="8"/>
  <c r="BJ234" i="8"/>
  <c r="BJ214" i="8"/>
  <c r="BJ202" i="8"/>
  <c r="BJ190" i="8"/>
  <c r="BJ178" i="8"/>
  <c r="BJ166" i="8"/>
  <c r="BJ154" i="8"/>
  <c r="BJ142" i="8"/>
  <c r="BJ130" i="8"/>
  <c r="BJ118" i="8"/>
  <c r="BJ106" i="8"/>
  <c r="BJ94" i="8"/>
  <c r="BJ82" i="8"/>
  <c r="BJ70" i="8"/>
  <c r="BJ58" i="8"/>
  <c r="BJ46" i="8"/>
  <c r="BJ34" i="8"/>
  <c r="BJ22" i="8"/>
  <c r="BJ10" i="8"/>
  <c r="BJ256" i="8"/>
  <c r="BJ203" i="8"/>
  <c r="BJ167" i="8"/>
  <c r="BJ131" i="8"/>
  <c r="BJ95" i="8"/>
  <c r="BJ47" i="8"/>
  <c r="BJ320" i="8"/>
  <c r="BJ296" i="8"/>
  <c r="BJ272" i="8"/>
  <c r="BJ263" i="8"/>
  <c r="BJ242" i="8"/>
  <c r="BJ233" i="8"/>
  <c r="BJ212" i="8"/>
  <c r="BJ200" i="8"/>
  <c r="BJ188" i="8"/>
  <c r="BJ176" i="8"/>
  <c r="BJ164" i="8"/>
  <c r="BJ152" i="8"/>
  <c r="BJ140" i="8"/>
  <c r="BJ128" i="8"/>
  <c r="BJ116" i="8"/>
  <c r="BJ104" i="8"/>
  <c r="BJ92" i="8"/>
  <c r="BJ80" i="8"/>
  <c r="BJ68" i="8"/>
  <c r="BJ56" i="8"/>
  <c r="BJ44" i="8"/>
  <c r="BJ32" i="8"/>
  <c r="BJ20" i="8"/>
  <c r="BJ321" i="8"/>
  <c r="BJ303" i="8"/>
  <c r="BJ279" i="8"/>
  <c r="BJ267" i="8"/>
  <c r="BJ255" i="8"/>
  <c r="BJ243" i="8"/>
  <c r="BJ231" i="8"/>
  <c r="BJ219" i="8"/>
  <c r="BJ207" i="8"/>
  <c r="BJ195" i="8"/>
  <c r="BJ183" i="8"/>
  <c r="BJ171" i="8"/>
  <c r="BJ147" i="8"/>
  <c r="BJ141" i="8"/>
  <c r="BJ135" i="8"/>
  <c r="BJ129" i="8"/>
  <c r="BJ123" i="8"/>
  <c r="BJ117" i="8"/>
  <c r="BJ111" i="8"/>
  <c r="BJ105" i="8"/>
  <c r="BJ93" i="8"/>
  <c r="BJ87" i="8"/>
  <c r="BJ81" i="8"/>
  <c r="BJ75" i="8"/>
  <c r="BJ69" i="8"/>
  <c r="BJ63" i="8"/>
  <c r="BJ57" i="8"/>
  <c r="BJ51" i="8"/>
  <c r="BJ45" i="8"/>
  <c r="BJ39" i="8"/>
  <c r="BJ33" i="8"/>
  <c r="BJ27" i="8"/>
  <c r="BJ21" i="8"/>
  <c r="BJ15" i="8"/>
  <c r="BJ9" i="8"/>
  <c r="BJ327" i="8"/>
  <c r="BJ315" i="8"/>
  <c r="BJ309" i="8"/>
  <c r="BJ297" i="8"/>
  <c r="BJ291" i="8"/>
  <c r="BJ285" i="8"/>
  <c r="BJ273" i="8"/>
  <c r="BJ261" i="8"/>
  <c r="BJ249" i="8"/>
  <c r="BJ237" i="8"/>
  <c r="BJ225" i="8"/>
  <c r="BJ213" i="8"/>
  <c r="BJ201" i="8"/>
  <c r="BJ189" i="8"/>
  <c r="BJ177" i="8"/>
  <c r="BJ165" i="8"/>
  <c r="BJ159" i="8"/>
  <c r="BJ153" i="8"/>
  <c r="BJ99" i="8"/>
  <c r="BJ8" i="8"/>
  <c r="BJ271" i="8"/>
  <c r="BJ265" i="8"/>
  <c r="BJ259" i="8"/>
  <c r="BJ253" i="8"/>
  <c r="BJ247" i="8"/>
  <c r="BJ241" i="8"/>
  <c r="BJ235" i="8"/>
  <c r="BJ229" i="8"/>
  <c r="BJ223" i="8"/>
  <c r="BJ217" i="8"/>
  <c r="BJ211" i="8"/>
  <c r="BJ205" i="8"/>
  <c r="BJ199" i="8"/>
  <c r="BJ193" i="8"/>
  <c r="BJ187" i="8"/>
  <c r="BJ181" i="8"/>
  <c r="BJ175" i="8"/>
  <c r="BJ169" i="8"/>
  <c r="BJ163" i="8"/>
  <c r="BJ157" i="8"/>
  <c r="BJ151" i="8"/>
  <c r="BJ145" i="8"/>
  <c r="BJ139" i="8"/>
  <c r="BJ133" i="8"/>
  <c r="BJ127" i="8"/>
  <c r="BJ121" i="8"/>
  <c r="BJ115" i="8"/>
  <c r="BJ109" i="8"/>
  <c r="BJ103" i="8"/>
  <c r="BJ97" i="8"/>
  <c r="BJ91" i="8"/>
  <c r="BJ85" i="8"/>
  <c r="BJ79" i="8"/>
  <c r="BJ73" i="8"/>
  <c r="BJ67" i="8"/>
  <c r="BJ61" i="8"/>
  <c r="BJ55" i="8"/>
  <c r="BJ49" i="8"/>
  <c r="BJ43" i="8"/>
  <c r="BJ37" i="8"/>
  <c r="BJ31" i="8"/>
  <c r="BJ25" i="8"/>
  <c r="BJ19" i="8"/>
  <c r="BJ13" i="8"/>
  <c r="BJ7" i="8"/>
  <c r="BJ6" i="8"/>
  <c r="BJ210" i="8"/>
  <c r="BJ204" i="8"/>
  <c r="BJ198" i="8"/>
  <c r="BJ192" i="8"/>
  <c r="BJ186" i="8"/>
  <c r="BJ180" i="8"/>
  <c r="BJ174" i="8"/>
  <c r="BJ168" i="8"/>
  <c r="BJ162" i="8"/>
  <c r="BJ156" i="8"/>
  <c r="BJ150" i="8"/>
  <c r="BJ144" i="8"/>
  <c r="BJ138" i="8"/>
  <c r="BJ132" i="8"/>
  <c r="BJ126" i="8"/>
  <c r="BJ120" i="8"/>
  <c r="BJ114" i="8"/>
  <c r="BJ108" i="8"/>
  <c r="BJ102" i="8"/>
  <c r="BJ96" i="8"/>
  <c r="BJ90" i="8"/>
  <c r="BJ84" i="8"/>
  <c r="BJ78" i="8"/>
  <c r="BJ72" i="8"/>
  <c r="BJ66" i="8"/>
  <c r="BJ60" i="8"/>
  <c r="BJ54" i="8"/>
  <c r="BJ48" i="8"/>
  <c r="BJ42" i="8"/>
  <c r="BJ36" i="8"/>
  <c r="BJ30" i="8"/>
  <c r="BJ24" i="8"/>
  <c r="BJ18" i="8"/>
  <c r="BJ12" i="8"/>
  <c r="BJ5" i="8"/>
  <c r="BJ4" i="8"/>
  <c r="BM3" i="8"/>
  <c r="BL3" i="8"/>
  <c r="BK3" i="8"/>
  <c r="BJ3" i="8"/>
  <c r="BD203" i="8"/>
  <c r="BD167" i="8"/>
  <c r="BD159" i="8"/>
  <c r="BD185" i="8"/>
  <c r="BD59" i="8"/>
  <c r="BD131" i="8"/>
  <c r="BD195" i="8"/>
  <c r="BD49" i="8"/>
  <c r="BD229" i="8"/>
  <c r="BD121" i="8"/>
  <c r="BD294" i="8"/>
  <c r="BD150" i="8"/>
  <c r="BD293" i="8"/>
  <c r="BD77" i="8"/>
  <c r="BD285" i="8"/>
  <c r="BD213" i="8"/>
  <c r="BD177" i="8"/>
  <c r="BD141" i="8"/>
  <c r="BD105" i="8"/>
  <c r="BD24" i="8"/>
  <c r="BD239" i="8"/>
  <c r="BD303" i="8"/>
  <c r="BD87" i="8"/>
  <c r="BD186" i="8"/>
  <c r="BD149" i="8"/>
  <c r="BD249" i="8"/>
  <c r="BD69" i="8"/>
  <c r="BD317" i="8"/>
  <c r="BD309" i="8"/>
  <c r="BD95" i="8"/>
  <c r="BD231" i="8"/>
  <c r="BD301" i="8"/>
  <c r="BD193" i="8"/>
  <c r="BD85" i="8"/>
  <c r="BD258" i="8"/>
  <c r="BD114" i="8"/>
  <c r="BD33" i="8"/>
  <c r="BD257" i="8"/>
  <c r="BD113" i="8"/>
  <c r="BD283" i="8"/>
  <c r="BD247" i="8"/>
  <c r="BD211" i="8"/>
  <c r="BD175" i="8"/>
  <c r="BD139" i="8"/>
  <c r="BD103" i="8"/>
  <c r="BD60" i="8"/>
  <c r="BD15" i="8"/>
  <c r="BD275" i="8"/>
  <c r="BD51" i="8"/>
  <c r="BD267" i="8"/>
  <c r="BD123" i="8"/>
  <c r="BD265" i="8"/>
  <c r="BD157" i="8"/>
  <c r="BD42" i="8"/>
  <c r="BD222" i="8"/>
  <c r="BD78" i="8"/>
  <c r="BD324" i="8"/>
  <c r="BD221" i="8"/>
  <c r="BD276" i="8"/>
  <c r="BD240" i="8"/>
  <c r="BD204" i="8"/>
  <c r="BD168" i="8"/>
  <c r="BD132" i="8"/>
  <c r="BD96" i="8"/>
  <c r="BD183" i="8"/>
  <c r="BD39" i="8"/>
  <c r="BD145" i="8"/>
  <c r="BD83" i="8"/>
  <c r="BD55" i="8"/>
  <c r="BD19" i="8"/>
  <c r="BD11" i="8"/>
  <c r="BD255" i="8"/>
  <c r="BD120" i="8"/>
  <c r="BD307" i="8"/>
  <c r="BD320" i="8"/>
  <c r="BD219" i="8"/>
  <c r="BD84" i="8"/>
  <c r="BD289" i="8"/>
  <c r="BD252" i="8"/>
  <c r="BD108" i="8"/>
  <c r="BD9" i="8"/>
  <c r="BD31" i="8"/>
  <c r="BD323" i="8"/>
  <c r="BD315" i="8"/>
  <c r="BD282" i="8"/>
  <c r="BD246" i="8"/>
  <c r="BD201" i="8"/>
  <c r="BD165" i="8"/>
  <c r="BD129" i="8"/>
  <c r="BD93" i="8"/>
  <c r="BD57" i="8"/>
  <c r="BD12" i="8"/>
  <c r="BD299" i="8"/>
  <c r="BD263" i="8"/>
  <c r="BD235" i="8"/>
  <c r="BD209" i="8"/>
  <c r="BD181" i="8"/>
  <c r="BD155" i="8"/>
  <c r="BD137" i="8"/>
  <c r="BD109" i="8"/>
  <c r="BD91" i="8"/>
  <c r="BD65" i="8"/>
  <c r="BD47" i="8"/>
  <c r="BD288" i="8"/>
  <c r="BD261" i="8"/>
  <c r="BD225" i="8"/>
  <c r="BD198" i="8"/>
  <c r="BD171" i="8"/>
  <c r="BD144" i="8"/>
  <c r="BD117" i="8"/>
  <c r="BD90" i="8"/>
  <c r="BD72" i="8"/>
  <c r="BD54" i="8"/>
  <c r="BD45" i="8"/>
  <c r="BD36" i="8"/>
  <c r="BD27" i="8"/>
  <c r="BD18" i="8"/>
  <c r="BD326" i="8"/>
  <c r="BD319" i="8"/>
  <c r="BD312" i="8"/>
  <c r="BD305" i="8"/>
  <c r="BD67" i="8"/>
  <c r="BD23" i="8"/>
  <c r="BD308" i="8"/>
  <c r="BD300" i="8"/>
  <c r="BD273" i="8"/>
  <c r="BD237" i="8"/>
  <c r="BD210" i="8"/>
  <c r="BD174" i="8"/>
  <c r="BD147" i="8"/>
  <c r="BD111" i="8"/>
  <c r="BD75" i="8"/>
  <c r="BD48" i="8"/>
  <c r="BD30" i="8"/>
  <c r="BD314" i="8"/>
  <c r="BD321" i="8"/>
  <c r="BD281" i="8"/>
  <c r="BD253" i="8"/>
  <c r="BD217" i="8"/>
  <c r="BD191" i="8"/>
  <c r="BD173" i="8"/>
  <c r="BD119" i="8"/>
  <c r="BD37" i="8"/>
  <c r="BD306" i="8"/>
  <c r="BD327" i="8"/>
  <c r="BD270" i="8"/>
  <c r="BD234" i="8"/>
  <c r="BD216" i="8"/>
  <c r="BD189" i="8"/>
  <c r="BD153" i="8"/>
  <c r="BD126" i="8"/>
  <c r="BD81" i="8"/>
  <c r="BD295" i="8"/>
  <c r="BD277" i="8"/>
  <c r="BD259" i="8"/>
  <c r="BD241" i="8"/>
  <c r="BD223" i="8"/>
  <c r="BD205" i="8"/>
  <c r="BD187" i="8"/>
  <c r="BD179" i="8"/>
  <c r="BD169" i="8"/>
  <c r="BD161" i="8"/>
  <c r="BD151" i="8"/>
  <c r="BD143" i="8"/>
  <c r="BD133" i="8"/>
  <c r="BD125" i="8"/>
  <c r="BD115" i="8"/>
  <c r="BD107" i="8"/>
  <c r="BD97" i="8"/>
  <c r="BD89" i="8"/>
  <c r="BD79" i="8"/>
  <c r="BD71" i="8"/>
  <c r="BD61" i="8"/>
  <c r="BD53" i="8"/>
  <c r="BD43" i="8"/>
  <c r="BD35" i="8"/>
  <c r="BD25" i="8"/>
  <c r="BD17" i="8"/>
  <c r="BD7" i="8"/>
  <c r="BD41" i="8"/>
  <c r="BD13" i="8"/>
  <c r="BD291" i="8"/>
  <c r="BD264" i="8"/>
  <c r="BD228" i="8"/>
  <c r="BD192" i="8"/>
  <c r="BD156" i="8"/>
  <c r="BD138" i="8"/>
  <c r="BD102" i="8"/>
  <c r="BD66" i="8"/>
  <c r="BD21" i="8"/>
  <c r="BD271" i="8"/>
  <c r="BD245" i="8"/>
  <c r="BD227" i="8"/>
  <c r="BD199" i="8"/>
  <c r="BD163" i="8"/>
  <c r="BD127" i="8"/>
  <c r="BD101" i="8"/>
  <c r="BD73" i="8"/>
  <c r="BD29" i="8"/>
  <c r="BD313" i="8"/>
  <c r="BD297" i="8"/>
  <c r="BD279" i="8"/>
  <c r="BD243" i="8"/>
  <c r="BD207" i="8"/>
  <c r="BD180" i="8"/>
  <c r="BD162" i="8"/>
  <c r="BD135" i="8"/>
  <c r="BD99" i="8"/>
  <c r="BD63" i="8"/>
  <c r="BD287" i="8"/>
  <c r="BD269" i="8"/>
  <c r="BD251" i="8"/>
  <c r="BD233" i="8"/>
  <c r="BD215" i="8"/>
  <c r="BD197" i="8"/>
  <c r="BD325" i="8"/>
  <c r="BD318" i="8"/>
  <c r="BD311" i="8"/>
  <c r="BD302" i="8"/>
  <c r="BD296" i="8"/>
  <c r="BD290" i="8"/>
  <c r="BD284" i="8"/>
  <c r="BD278" i="8"/>
  <c r="BD272" i="8"/>
  <c r="BD266" i="8"/>
  <c r="BD260" i="8"/>
  <c r="BD254" i="8"/>
  <c r="BD248" i="8"/>
  <c r="BD242" i="8"/>
  <c r="BD236" i="8"/>
  <c r="BD230" i="8"/>
  <c r="BD224" i="8"/>
  <c r="BD218" i="8"/>
  <c r="BD212" i="8"/>
  <c r="BD206" i="8"/>
  <c r="BD200" i="8"/>
  <c r="BD194" i="8"/>
  <c r="BD188" i="8"/>
  <c r="BD182" i="8"/>
  <c r="BD176" i="8"/>
  <c r="BD170" i="8"/>
  <c r="BD164" i="8"/>
  <c r="BD158" i="8"/>
  <c r="BD152" i="8"/>
  <c r="BD146" i="8"/>
  <c r="BD140" i="8"/>
  <c r="BD134" i="8"/>
  <c r="BD128" i="8"/>
  <c r="BD122" i="8"/>
  <c r="BD116" i="8"/>
  <c r="BD110" i="8"/>
  <c r="BD104" i="8"/>
  <c r="BD98" i="8"/>
  <c r="BD92" i="8"/>
  <c r="BD86" i="8"/>
  <c r="BD80" i="8"/>
  <c r="BD74" i="8"/>
  <c r="BD68" i="8"/>
  <c r="BD62" i="8"/>
  <c r="BD56" i="8"/>
  <c r="BD50" i="8"/>
  <c r="BD44" i="8"/>
  <c r="BD38" i="8"/>
  <c r="BD32" i="8"/>
  <c r="BD26" i="8"/>
  <c r="BD20" i="8"/>
  <c r="BD14" i="8"/>
  <c r="BD8" i="8"/>
  <c r="BD6" i="8"/>
  <c r="BD5" i="8"/>
  <c r="BD322" i="8"/>
  <c r="BD316" i="8"/>
  <c r="BD310" i="8"/>
  <c r="BD304" i="8"/>
  <c r="BD298" i="8"/>
  <c r="BD292" i="8"/>
  <c r="BD286" i="8"/>
  <c r="BD280" i="8"/>
  <c r="BD274" i="8"/>
  <c r="BD268" i="8"/>
  <c r="BD262" i="8"/>
  <c r="BD256" i="8"/>
  <c r="BD250" i="8"/>
  <c r="BD244" i="8"/>
  <c r="BD238" i="8"/>
  <c r="BD232" i="8"/>
  <c r="BD226" i="8"/>
  <c r="BD220" i="8"/>
  <c r="BD214" i="8"/>
  <c r="BD208" i="8"/>
  <c r="BD202" i="8"/>
  <c r="BD196" i="8"/>
  <c r="BD190" i="8"/>
  <c r="BD184" i="8"/>
  <c r="BD178" i="8"/>
  <c r="BD172" i="8"/>
  <c r="BD166" i="8"/>
  <c r="BD160" i="8"/>
  <c r="BD154" i="8"/>
  <c r="BD148" i="8"/>
  <c r="BD142" i="8"/>
  <c r="BD136" i="8"/>
  <c r="BD130" i="8"/>
  <c r="BD124" i="8"/>
  <c r="BD118" i="8"/>
  <c r="BD112" i="8"/>
  <c r="BD106" i="8"/>
  <c r="BD100" i="8"/>
  <c r="BD94" i="8"/>
  <c r="BD88" i="8"/>
  <c r="BD82" i="8"/>
  <c r="BD76" i="8"/>
  <c r="BD70" i="8"/>
  <c r="BD64" i="8"/>
  <c r="BD58" i="8"/>
  <c r="BD52" i="8"/>
  <c r="BD46" i="8"/>
  <c r="BD40" i="8"/>
  <c r="BD34" i="8"/>
  <c r="BD28" i="8"/>
  <c r="BD22" i="8"/>
  <c r="BD16" i="8"/>
  <c r="BD10" i="8"/>
  <c r="BD4" i="8"/>
  <c r="BC320" i="8"/>
  <c r="BC231" i="8"/>
  <c r="BC170" i="8"/>
  <c r="BC98" i="8"/>
  <c r="BC15" i="8"/>
  <c r="BC291" i="8"/>
  <c r="BC272" i="8"/>
  <c r="BC261" i="8"/>
  <c r="BC211" i="8"/>
  <c r="BC200" i="8"/>
  <c r="BC189" i="8"/>
  <c r="BC139" i="8"/>
  <c r="BC128" i="8"/>
  <c r="BC117" i="8"/>
  <c r="BC67" i="8"/>
  <c r="BC56" i="8"/>
  <c r="BC45" i="8"/>
  <c r="BC13" i="8"/>
  <c r="BC21" i="8"/>
  <c r="BC223" i="8"/>
  <c r="BC140" i="8"/>
  <c r="BC57" i="8"/>
  <c r="BC253" i="8"/>
  <c r="BC87" i="8"/>
  <c r="BC309" i="8"/>
  <c r="BC219" i="8"/>
  <c r="BC86" i="8"/>
  <c r="BC25" i="8"/>
  <c r="BC127" i="8"/>
  <c r="BC55" i="8"/>
  <c r="BC326" i="8"/>
  <c r="BC279" i="8"/>
  <c r="BC207" i="8"/>
  <c r="BC85" i="8"/>
  <c r="BC248" i="8"/>
  <c r="BC187" i="8"/>
  <c r="BC104" i="8"/>
  <c r="BC307" i="8"/>
  <c r="BC297" i="8"/>
  <c r="BC278" i="8"/>
  <c r="BC267" i="8"/>
  <c r="BC217" i="8"/>
  <c r="BC206" i="8"/>
  <c r="BC195" i="8"/>
  <c r="BC145" i="8"/>
  <c r="BC134" i="8"/>
  <c r="BC123" i="8"/>
  <c r="BC73" i="8"/>
  <c r="BC62" i="8"/>
  <c r="BC51" i="8"/>
  <c r="BC273" i="8"/>
  <c r="BC212" i="8"/>
  <c r="BC151" i="8"/>
  <c r="BC68" i="8"/>
  <c r="BC312" i="8"/>
  <c r="BC181" i="8"/>
  <c r="BC327" i="8"/>
  <c r="BC241" i="8"/>
  <c r="BC169" i="8"/>
  <c r="BC75" i="8"/>
  <c r="BC290" i="8"/>
  <c r="BC188" i="8"/>
  <c r="BC116" i="8"/>
  <c r="BC300" i="8"/>
  <c r="BC146" i="8"/>
  <c r="BC74" i="8"/>
  <c r="BC237" i="8"/>
  <c r="BC115" i="8"/>
  <c r="BC325" i="8"/>
  <c r="BC247" i="8"/>
  <c r="BC236" i="8"/>
  <c r="BC225" i="8"/>
  <c r="BC175" i="8"/>
  <c r="BC164" i="8"/>
  <c r="BC153" i="8"/>
  <c r="BC103" i="8"/>
  <c r="BC92" i="8"/>
  <c r="BC81" i="8"/>
  <c r="BC31" i="8"/>
  <c r="BC20" i="8"/>
  <c r="BC201" i="8"/>
  <c r="BC129" i="8"/>
  <c r="BC242" i="8"/>
  <c r="BC37" i="8"/>
  <c r="BC301" i="8"/>
  <c r="BC158" i="8"/>
  <c r="BC271" i="8"/>
  <c r="BC105" i="8"/>
  <c r="BC33" i="8"/>
  <c r="BC308" i="8"/>
  <c r="BC218" i="8"/>
  <c r="BC157" i="8"/>
  <c r="BC289" i="8"/>
  <c r="BC176" i="8"/>
  <c r="BC43" i="8"/>
  <c r="BC314" i="8"/>
  <c r="BC306" i="8"/>
  <c r="BC296" i="8"/>
  <c r="BC285" i="8"/>
  <c r="BC277" i="8"/>
  <c r="BC266" i="8"/>
  <c r="BC255" i="8"/>
  <c r="BC205" i="8"/>
  <c r="BC194" i="8"/>
  <c r="BC183" i="8"/>
  <c r="BC133" i="8"/>
  <c r="BC122" i="8"/>
  <c r="BC111" i="8"/>
  <c r="BC61" i="8"/>
  <c r="BC50" i="8"/>
  <c r="BC39" i="8"/>
  <c r="BC8" i="8"/>
  <c r="BC79" i="8"/>
  <c r="BC302" i="8"/>
  <c r="BC26" i="8"/>
  <c r="BC282" i="8"/>
  <c r="BC230" i="8"/>
  <c r="BC147" i="8"/>
  <c r="BC14" i="8"/>
  <c r="BC260" i="8"/>
  <c r="BC177" i="8"/>
  <c r="BC44" i="8"/>
  <c r="BC318" i="8"/>
  <c r="BC229" i="8"/>
  <c r="BC135" i="8"/>
  <c r="BC63" i="8"/>
  <c r="BC259" i="8"/>
  <c r="BC165" i="8"/>
  <c r="BC93" i="8"/>
  <c r="BC315" i="8"/>
  <c r="BC235" i="8"/>
  <c r="BC224" i="8"/>
  <c r="BC213" i="8"/>
  <c r="BC163" i="8"/>
  <c r="BC152" i="8"/>
  <c r="BC141" i="8"/>
  <c r="BC91" i="8"/>
  <c r="BC80" i="8"/>
  <c r="BC69" i="8"/>
  <c r="BC19" i="8"/>
  <c r="BC283" i="8"/>
  <c r="BC159" i="8"/>
  <c r="BC109" i="8"/>
  <c r="BC319" i="8"/>
  <c r="BC97" i="8"/>
  <c r="BC249" i="8"/>
  <c r="BC199" i="8"/>
  <c r="BC32" i="8"/>
  <c r="BC324" i="8"/>
  <c r="BC321" i="8"/>
  <c r="BC313" i="8"/>
  <c r="BC303" i="8"/>
  <c r="BC295" i="8"/>
  <c r="BC284" i="8"/>
  <c r="BC265" i="8"/>
  <c r="BC254" i="8"/>
  <c r="BC243" i="8"/>
  <c r="BC193" i="8"/>
  <c r="BC182" i="8"/>
  <c r="BC171" i="8"/>
  <c r="BC121" i="8"/>
  <c r="BC110" i="8"/>
  <c r="BC99" i="8"/>
  <c r="BC49" i="8"/>
  <c r="BC38" i="8"/>
  <c r="BC27" i="8"/>
  <c r="BC7" i="8"/>
  <c r="BC9" i="8"/>
  <c r="BC6" i="8"/>
  <c r="BC294" i="8"/>
  <c r="BC276" i="8"/>
  <c r="BC258" i="8"/>
  <c r="BC240" i="8"/>
  <c r="BC222" i="8"/>
  <c r="BC204" i="8"/>
  <c r="BC186" i="8"/>
  <c r="BC168" i="8"/>
  <c r="BC150" i="8"/>
  <c r="BC132" i="8"/>
  <c r="BC114" i="8"/>
  <c r="BC96" i="8"/>
  <c r="BC78" i="8"/>
  <c r="BC60" i="8"/>
  <c r="BC42" i="8"/>
  <c r="BC24" i="8"/>
  <c r="BC323" i="8"/>
  <c r="BC311" i="8"/>
  <c r="BC299" i="8"/>
  <c r="BC287" i="8"/>
  <c r="BC281" i="8"/>
  <c r="BC275" i="8"/>
  <c r="BC269" i="8"/>
  <c r="BC263" i="8"/>
  <c r="BC257" i="8"/>
  <c r="BC245" i="8"/>
  <c r="BC239" i="8"/>
  <c r="BC233" i="8"/>
  <c r="BC227" i="8"/>
  <c r="BC221" i="8"/>
  <c r="BC215" i="8"/>
  <c r="BC209" i="8"/>
  <c r="BC203" i="8"/>
  <c r="BC197" i="8"/>
  <c r="BC191" i="8"/>
  <c r="BC185" i="8"/>
  <c r="BC179" i="8"/>
  <c r="BC173" i="8"/>
  <c r="BC167" i="8"/>
  <c r="BC161" i="8"/>
  <c r="BC155" i="8"/>
  <c r="BC149" i="8"/>
  <c r="BC143" i="8"/>
  <c r="BC137" i="8"/>
  <c r="BC131" i="8"/>
  <c r="BC125" i="8"/>
  <c r="BC119" i="8"/>
  <c r="BC113" i="8"/>
  <c r="BC107" i="8"/>
  <c r="BC101" i="8"/>
  <c r="BC95" i="8"/>
  <c r="BC89" i="8"/>
  <c r="BC83" i="8"/>
  <c r="BC77" i="8"/>
  <c r="BC71" i="8"/>
  <c r="BC65" i="8"/>
  <c r="BC59" i="8"/>
  <c r="BC53" i="8"/>
  <c r="BC47" i="8"/>
  <c r="BC41" i="8"/>
  <c r="BC35" i="8"/>
  <c r="BC29" i="8"/>
  <c r="BC23" i="8"/>
  <c r="BC17" i="8"/>
  <c r="BC11" i="8"/>
  <c r="BC5" i="8"/>
  <c r="BC264" i="8"/>
  <c r="BC246" i="8"/>
  <c r="BC228" i="8"/>
  <c r="BC210" i="8"/>
  <c r="BC192" i="8"/>
  <c r="BC174" i="8"/>
  <c r="BC162" i="8"/>
  <c r="BC144" i="8"/>
  <c r="BC126" i="8"/>
  <c r="BC108" i="8"/>
  <c r="BC90" i="8"/>
  <c r="BC66" i="8"/>
  <c r="BC48" i="8"/>
  <c r="BC30" i="8"/>
  <c r="BC12" i="8"/>
  <c r="BC317" i="8"/>
  <c r="BC305" i="8"/>
  <c r="BC293" i="8"/>
  <c r="BC251" i="8"/>
  <c r="BC288" i="8"/>
  <c r="BC270" i="8"/>
  <c r="BC252" i="8"/>
  <c r="BC234" i="8"/>
  <c r="BC216" i="8"/>
  <c r="BC198" i="8"/>
  <c r="BC180" i="8"/>
  <c r="BC156" i="8"/>
  <c r="BC138" i="8"/>
  <c r="BC120" i="8"/>
  <c r="BC102" i="8"/>
  <c r="BC84" i="8"/>
  <c r="BC72" i="8"/>
  <c r="BC54" i="8"/>
  <c r="BC36" i="8"/>
  <c r="BC18" i="8"/>
  <c r="BC322" i="8"/>
  <c r="BC316" i="8"/>
  <c r="BC310" i="8"/>
  <c r="BC304" i="8"/>
  <c r="BC298" i="8"/>
  <c r="BC292" i="8"/>
  <c r="BC286" i="8"/>
  <c r="BC280" i="8"/>
  <c r="BC274" i="8"/>
  <c r="BC268" i="8"/>
  <c r="BC262" i="8"/>
  <c r="BC256" i="8"/>
  <c r="BC250" i="8"/>
  <c r="BC244" i="8"/>
  <c r="BC238" i="8"/>
  <c r="BC232" i="8"/>
  <c r="BC226" i="8"/>
  <c r="BC220" i="8"/>
  <c r="BC214" i="8"/>
  <c r="BC208" i="8"/>
  <c r="BC202" i="8"/>
  <c r="BC196" i="8"/>
  <c r="BC190" i="8"/>
  <c r="BC184" i="8"/>
  <c r="BC178" i="8"/>
  <c r="BC172" i="8"/>
  <c r="BC166" i="8"/>
  <c r="BC160" i="8"/>
  <c r="BC154" i="8"/>
  <c r="BC148" i="8"/>
  <c r="BC142" i="8"/>
  <c r="BC136" i="8"/>
  <c r="BC130" i="8"/>
  <c r="BC124" i="8"/>
  <c r="BC118" i="8"/>
  <c r="BC112" i="8"/>
  <c r="BC106" i="8"/>
  <c r="BC100" i="8"/>
  <c r="BC94" i="8"/>
  <c r="BC88" i="8"/>
  <c r="BC82" i="8"/>
  <c r="BC76" i="8"/>
  <c r="BC70" i="8"/>
  <c r="BC64" i="8"/>
  <c r="BC58" i="8"/>
  <c r="BC52" i="8"/>
  <c r="BC46" i="8"/>
  <c r="BC40" i="8"/>
  <c r="BC34" i="8"/>
  <c r="BC28" i="8"/>
  <c r="BC22" i="8"/>
  <c r="BC16" i="8"/>
  <c r="BC10" i="8"/>
  <c r="BC4" i="8"/>
  <c r="BB258" i="8"/>
  <c r="BB249" i="8"/>
  <c r="BB114" i="8"/>
  <c r="BB153" i="8"/>
  <c r="BB50" i="8"/>
  <c r="BB289" i="8"/>
  <c r="BB193" i="8"/>
  <c r="BB96" i="8"/>
  <c r="BB234" i="8"/>
  <c r="BB138" i="8"/>
  <c r="BB321" i="8"/>
  <c r="BB86" i="8"/>
  <c r="BB32" i="8"/>
  <c r="BB162" i="8"/>
  <c r="BB201" i="8"/>
  <c r="BB104" i="8"/>
  <c r="BB241" i="8"/>
  <c r="BB145" i="8"/>
  <c r="BB42" i="8"/>
  <c r="BB282" i="8"/>
  <c r="BB186" i="8"/>
  <c r="BB273" i="8"/>
  <c r="BB225" i="8"/>
  <c r="BB177" i="8"/>
  <c r="BB129" i="8"/>
  <c r="BB297" i="8"/>
  <c r="BB78" i="8"/>
  <c r="BB24" i="8"/>
  <c r="BB306" i="8"/>
  <c r="BB313" i="8"/>
  <c r="BB210" i="8"/>
  <c r="BB60" i="8"/>
  <c r="BB265" i="8"/>
  <c r="BB217" i="8"/>
  <c r="BB169" i="8"/>
  <c r="BB121" i="8"/>
  <c r="BB68" i="8"/>
  <c r="BB14" i="8"/>
  <c r="BB224" i="8"/>
  <c r="BB264" i="8"/>
  <c r="BB216" i="8"/>
  <c r="BB67" i="8"/>
  <c r="BB271" i="8"/>
  <c r="BB127" i="8"/>
  <c r="BB12" i="8"/>
  <c r="BB296" i="8"/>
  <c r="BB248" i="8"/>
  <c r="BB176" i="8"/>
  <c r="BB135" i="8"/>
  <c r="BB85" i="8"/>
  <c r="BB21" i="8"/>
  <c r="BB247" i="8"/>
  <c r="BB175" i="8"/>
  <c r="BB302" i="8"/>
  <c r="BB230" i="8"/>
  <c r="BB222" i="8"/>
  <c r="BB9" i="8"/>
  <c r="BB272" i="8"/>
  <c r="BB327" i="8"/>
  <c r="BB255" i="8"/>
  <c r="BB183" i="8"/>
  <c r="BB144" i="8"/>
  <c r="BB75" i="8"/>
  <c r="BB13" i="8"/>
  <c r="BB278" i="8"/>
  <c r="BB152" i="8"/>
  <c r="BB312" i="8"/>
  <c r="BB207" i="8"/>
  <c r="BB120" i="8"/>
  <c r="BB39" i="8"/>
  <c r="BB319" i="8"/>
  <c r="BB199" i="8"/>
  <c r="BB110" i="8"/>
  <c r="BB326" i="8"/>
  <c r="BB8" i="8"/>
  <c r="BB111" i="8"/>
  <c r="BB303" i="8"/>
  <c r="BB231" i="8"/>
  <c r="BB168" i="8"/>
  <c r="BB31" i="8"/>
  <c r="BB295" i="8"/>
  <c r="BB223" i="8"/>
  <c r="BB151" i="8"/>
  <c r="BB254" i="8"/>
  <c r="BB134" i="8"/>
  <c r="BB92" i="8"/>
  <c r="BB66" i="8"/>
  <c r="BB38" i="8"/>
  <c r="BB318" i="8"/>
  <c r="BB237" i="8"/>
  <c r="BB174" i="8"/>
  <c r="BB117" i="8"/>
  <c r="BB205" i="8"/>
  <c r="BB133" i="8"/>
  <c r="BB91" i="8"/>
  <c r="BB63" i="8"/>
  <c r="BB37" i="8"/>
  <c r="BB308" i="8"/>
  <c r="BB212" i="8"/>
  <c r="BB140" i="8"/>
  <c r="BB276" i="8"/>
  <c r="BB243" i="8"/>
  <c r="BB228" i="8"/>
  <c r="BB219" i="8"/>
  <c r="BB204" i="8"/>
  <c r="BB195" i="8"/>
  <c r="BB180" i="8"/>
  <c r="BB171" i="8"/>
  <c r="BB156" i="8"/>
  <c r="BB147" i="8"/>
  <c r="BB132" i="8"/>
  <c r="BB123" i="8"/>
  <c r="BB98" i="8"/>
  <c r="BB90" i="8"/>
  <c r="BB80" i="8"/>
  <c r="BB72" i="8"/>
  <c r="BB62" i="8"/>
  <c r="BB54" i="8"/>
  <c r="BB44" i="8"/>
  <c r="BB36" i="8"/>
  <c r="BB26" i="8"/>
  <c r="BB18" i="8"/>
  <c r="BB7" i="8"/>
  <c r="BB320" i="8"/>
  <c r="BB200" i="8"/>
  <c r="BB128" i="8"/>
  <c r="BB279" i="8"/>
  <c r="BB159" i="8"/>
  <c r="BB103" i="8"/>
  <c r="BB49" i="8"/>
  <c r="BB206" i="8"/>
  <c r="BB158" i="8"/>
  <c r="BB84" i="8"/>
  <c r="BB56" i="8"/>
  <c r="BB30" i="8"/>
  <c r="BB309" i="8"/>
  <c r="BB285" i="8"/>
  <c r="BB261" i="8"/>
  <c r="BB198" i="8"/>
  <c r="BB165" i="8"/>
  <c r="BB141" i="8"/>
  <c r="BB126" i="8"/>
  <c r="BB325" i="8"/>
  <c r="BB253" i="8"/>
  <c r="BB157" i="8"/>
  <c r="BB81" i="8"/>
  <c r="BB45" i="8"/>
  <c r="BB19" i="8"/>
  <c r="BB284" i="8"/>
  <c r="BB236" i="8"/>
  <c r="BB188" i="8"/>
  <c r="BB108" i="8"/>
  <c r="BB324" i="8"/>
  <c r="BB300" i="8"/>
  <c r="BB252" i="8"/>
  <c r="BB307" i="8"/>
  <c r="BB283" i="8"/>
  <c r="BB259" i="8"/>
  <c r="BB235" i="8"/>
  <c r="BB211" i="8"/>
  <c r="BB187" i="8"/>
  <c r="BB163" i="8"/>
  <c r="BB139" i="8"/>
  <c r="BB115" i="8"/>
  <c r="BB288" i="8"/>
  <c r="BB240" i="8"/>
  <c r="BB192" i="8"/>
  <c r="BB93" i="8"/>
  <c r="BB57" i="8"/>
  <c r="BB182" i="8"/>
  <c r="BB102" i="8"/>
  <c r="BB74" i="8"/>
  <c r="BB48" i="8"/>
  <c r="BB20" i="8"/>
  <c r="BB294" i="8"/>
  <c r="BB270" i="8"/>
  <c r="BB246" i="8"/>
  <c r="BB213" i="8"/>
  <c r="BB189" i="8"/>
  <c r="BB150" i="8"/>
  <c r="BB109" i="8"/>
  <c r="BB301" i="8"/>
  <c r="BB277" i="8"/>
  <c r="BB229" i="8"/>
  <c r="BB181" i="8"/>
  <c r="BB99" i="8"/>
  <c r="BB73" i="8"/>
  <c r="BB55" i="8"/>
  <c r="BB27" i="8"/>
  <c r="BB260" i="8"/>
  <c r="BB164" i="8"/>
  <c r="BB116" i="8"/>
  <c r="BB315" i="8"/>
  <c r="BB291" i="8"/>
  <c r="BB267" i="8"/>
  <c r="BB314" i="8"/>
  <c r="BB290" i="8"/>
  <c r="BB266" i="8"/>
  <c r="BB242" i="8"/>
  <c r="BB218" i="8"/>
  <c r="BB194" i="8"/>
  <c r="BB170" i="8"/>
  <c r="BB146" i="8"/>
  <c r="BB122" i="8"/>
  <c r="BB105" i="8"/>
  <c r="BB97" i="8"/>
  <c r="BB87" i="8"/>
  <c r="BB79" i="8"/>
  <c r="BB69" i="8"/>
  <c r="BB61" i="8"/>
  <c r="BB51" i="8"/>
  <c r="BB43" i="8"/>
  <c r="BB33" i="8"/>
  <c r="BB25" i="8"/>
  <c r="BB15" i="8"/>
  <c r="BB6" i="8"/>
  <c r="BB323" i="8"/>
  <c r="BB305" i="8"/>
  <c r="BB287" i="8"/>
  <c r="BB275" i="8"/>
  <c r="BB263" i="8"/>
  <c r="BB251" i="8"/>
  <c r="BB233" i="8"/>
  <c r="BB215" i="8"/>
  <c r="BB197" i="8"/>
  <c r="BB179" i="8"/>
  <c r="BB161" i="8"/>
  <c r="BB149" i="8"/>
  <c r="BB137" i="8"/>
  <c r="BB125" i="8"/>
  <c r="BB113" i="8"/>
  <c r="BB101" i="8"/>
  <c r="BB95" i="8"/>
  <c r="BB83" i="8"/>
  <c r="BB77" i="8"/>
  <c r="BB71" i="8"/>
  <c r="BB65" i="8"/>
  <c r="BB59" i="8"/>
  <c r="BB53" i="8"/>
  <c r="BB47" i="8"/>
  <c r="BB35" i="8"/>
  <c r="BB29" i="8"/>
  <c r="BB23" i="8"/>
  <c r="BB17" i="8"/>
  <c r="BB11" i="8"/>
  <c r="BB5" i="8"/>
  <c r="BB317" i="8"/>
  <c r="BB311" i="8"/>
  <c r="BB299" i="8"/>
  <c r="BB293" i="8"/>
  <c r="BB281" i="8"/>
  <c r="BB269" i="8"/>
  <c r="BB257" i="8"/>
  <c r="BB245" i="8"/>
  <c r="BB239" i="8"/>
  <c r="BB227" i="8"/>
  <c r="BB221" i="8"/>
  <c r="BB209" i="8"/>
  <c r="BB203" i="8"/>
  <c r="BB191" i="8"/>
  <c r="BB185" i="8"/>
  <c r="BB173" i="8"/>
  <c r="BB167" i="8"/>
  <c r="BB155" i="8"/>
  <c r="BB143" i="8"/>
  <c r="BB131" i="8"/>
  <c r="BB119" i="8"/>
  <c r="BB107" i="8"/>
  <c r="BB89" i="8"/>
  <c r="BB41" i="8"/>
  <c r="BB322" i="8"/>
  <c r="BB316" i="8"/>
  <c r="BB310" i="8"/>
  <c r="BB304" i="8"/>
  <c r="BB298" i="8"/>
  <c r="BB292" i="8"/>
  <c r="BB286" i="8"/>
  <c r="BB280" i="8"/>
  <c r="BB274" i="8"/>
  <c r="BB268" i="8"/>
  <c r="BB262" i="8"/>
  <c r="BB256" i="8"/>
  <c r="BB250" i="8"/>
  <c r="BB244" i="8"/>
  <c r="BB238" i="8"/>
  <c r="BB232" i="8"/>
  <c r="BB226" i="8"/>
  <c r="BB220" i="8"/>
  <c r="BB214" i="8"/>
  <c r="BB208" i="8"/>
  <c r="BB202" i="8"/>
  <c r="BB196" i="8"/>
  <c r="BB190" i="8"/>
  <c r="BB184" i="8"/>
  <c r="BB178" i="8"/>
  <c r="BB172" i="8"/>
  <c r="BB166" i="8"/>
  <c r="BB160" i="8"/>
  <c r="BB154" i="8"/>
  <c r="BB148" i="8"/>
  <c r="BB142" i="8"/>
  <c r="BB136" i="8"/>
  <c r="BB130" i="8"/>
  <c r="BB124" i="8"/>
  <c r="BB118" i="8"/>
  <c r="BB112" i="8"/>
  <c r="BB106" i="8"/>
  <c r="BB100" i="8"/>
  <c r="BB94" i="8"/>
  <c r="BB88" i="8"/>
  <c r="BB82" i="8"/>
  <c r="BB76" i="8"/>
  <c r="BB70" i="8"/>
  <c r="BB64" i="8"/>
  <c r="BB58" i="8"/>
  <c r="BB52" i="8"/>
  <c r="BB46" i="8"/>
  <c r="BB40" i="8"/>
  <c r="BB34" i="8"/>
  <c r="BB28" i="8"/>
  <c r="BB22" i="8"/>
  <c r="BB16" i="8"/>
  <c r="BB10" i="8"/>
  <c r="BB4" i="8"/>
  <c r="BA156" i="8"/>
  <c r="BA134" i="8"/>
  <c r="BA98" i="8"/>
  <c r="BA84" i="8"/>
  <c r="BA69" i="8"/>
  <c r="BA55" i="8"/>
  <c r="BA26" i="8"/>
  <c r="BA313" i="8"/>
  <c r="BA295" i="8"/>
  <c r="BA277" i="8"/>
  <c r="BA259" i="8"/>
  <c r="BA241" i="8"/>
  <c r="BA223" i="8"/>
  <c r="BA205" i="8"/>
  <c r="BA195" i="8"/>
  <c r="BA186" i="8"/>
  <c r="BA175" i="8"/>
  <c r="BA164" i="8"/>
  <c r="BA123" i="8"/>
  <c r="BA111" i="8"/>
  <c r="BA97" i="8"/>
  <c r="BA68" i="8"/>
  <c r="BA54" i="8"/>
  <c r="BA39" i="8"/>
  <c r="BA24" i="8"/>
  <c r="BA67" i="8"/>
  <c r="BA312" i="8"/>
  <c r="BA81" i="8"/>
  <c r="BA302" i="8"/>
  <c r="BA230" i="8"/>
  <c r="BA170" i="8"/>
  <c r="BA129" i="8"/>
  <c r="BA120" i="8"/>
  <c r="BA105" i="8"/>
  <c r="BA91" i="8"/>
  <c r="BA62" i="8"/>
  <c r="BA48" i="8"/>
  <c r="BA33" i="8"/>
  <c r="BA110" i="8"/>
  <c r="BA222" i="8"/>
  <c r="BA128" i="8"/>
  <c r="BA75" i="8"/>
  <c r="BA61" i="8"/>
  <c r="BA32" i="8"/>
  <c r="BA15" i="8"/>
  <c r="BA96" i="8"/>
  <c r="BA248" i="8"/>
  <c r="BA74" i="8"/>
  <c r="BA14" i="8"/>
  <c r="BA165" i="8"/>
  <c r="BA267" i="8"/>
  <c r="BA213" i="8"/>
  <c r="BA153" i="8"/>
  <c r="BA122" i="8"/>
  <c r="BA294" i="8"/>
  <c r="BA258" i="8"/>
  <c r="BA204" i="8"/>
  <c r="BA174" i="8"/>
  <c r="BA66" i="8"/>
  <c r="BA21" i="8"/>
  <c r="BA121" i="8"/>
  <c r="BA79" i="8"/>
  <c r="BA50" i="8"/>
  <c r="BA265" i="8"/>
  <c r="BA229" i="8"/>
  <c r="BA162" i="8"/>
  <c r="BA92" i="8"/>
  <c r="BA18" i="8"/>
  <c r="BA291" i="8"/>
  <c r="BA255" i="8"/>
  <c r="BA219" i="8"/>
  <c r="BA200" i="8"/>
  <c r="BA318" i="8"/>
  <c r="BA282" i="8"/>
  <c r="BA246" i="8"/>
  <c r="BA210" i="8"/>
  <c r="BA150" i="8"/>
  <c r="BA104" i="8"/>
  <c r="BA199" i="8"/>
  <c r="BA180" i="8"/>
  <c r="BA103" i="8"/>
  <c r="BA45" i="8"/>
  <c r="BA307" i="8"/>
  <c r="BA289" i="8"/>
  <c r="BA271" i="8"/>
  <c r="BA253" i="8"/>
  <c r="BA235" i="8"/>
  <c r="BA217" i="8"/>
  <c r="BA188" i="8"/>
  <c r="BA147" i="8"/>
  <c r="BA138" i="8"/>
  <c r="BA127" i="8"/>
  <c r="BA116" i="8"/>
  <c r="BA102" i="8"/>
  <c r="BA87" i="8"/>
  <c r="BA73" i="8"/>
  <c r="BA44" i="8"/>
  <c r="BA30" i="8"/>
  <c r="BA12" i="8"/>
  <c r="BA145" i="8"/>
  <c r="BA303" i="8"/>
  <c r="BA231" i="8"/>
  <c r="BA144" i="8"/>
  <c r="BA38" i="8"/>
  <c r="BA284" i="8"/>
  <c r="BA266" i="8"/>
  <c r="BA212" i="8"/>
  <c r="BA163" i="8"/>
  <c r="BA80" i="8"/>
  <c r="BA37" i="8"/>
  <c r="BA193" i="8"/>
  <c r="BA132" i="8"/>
  <c r="BA108" i="8"/>
  <c r="BA20" i="8"/>
  <c r="BA301" i="8"/>
  <c r="BA283" i="8"/>
  <c r="BA211" i="8"/>
  <c r="BA171" i="8"/>
  <c r="BA140" i="8"/>
  <c r="BA63" i="8"/>
  <c r="BA327" i="8"/>
  <c r="BA181" i="8"/>
  <c r="BA308" i="8"/>
  <c r="BA290" i="8"/>
  <c r="BA264" i="8"/>
  <c r="BA236" i="8"/>
  <c r="BA218" i="8"/>
  <c r="BA159" i="8"/>
  <c r="BA189" i="8"/>
  <c r="BA169" i="8"/>
  <c r="BA31" i="8"/>
  <c r="BA325" i="8"/>
  <c r="BA315" i="8"/>
  <c r="BA297" i="8"/>
  <c r="BA279" i="8"/>
  <c r="BA261" i="8"/>
  <c r="BA243" i="8"/>
  <c r="BA225" i="8"/>
  <c r="BA207" i="8"/>
  <c r="BA198" i="8"/>
  <c r="BA177" i="8"/>
  <c r="BA168" i="8"/>
  <c r="BA157" i="8"/>
  <c r="BA146" i="8"/>
  <c r="BA115" i="8"/>
  <c r="BA86" i="8"/>
  <c r="BA72" i="8"/>
  <c r="BA57" i="8"/>
  <c r="BA43" i="8"/>
  <c r="BA321" i="8"/>
  <c r="BA285" i="8"/>
  <c r="BA249" i="8"/>
  <c r="BA194" i="8"/>
  <c r="BA133" i="8"/>
  <c r="BA320" i="8"/>
  <c r="BA276" i="8"/>
  <c r="BA240" i="8"/>
  <c r="BA183" i="8"/>
  <c r="BA152" i="8"/>
  <c r="BA109" i="8"/>
  <c r="BA51" i="8"/>
  <c r="BA182" i="8"/>
  <c r="BA141" i="8"/>
  <c r="BA93" i="8"/>
  <c r="BA36" i="8"/>
  <c r="BA319" i="8"/>
  <c r="BA247" i="8"/>
  <c r="BA201" i="8"/>
  <c r="BA151" i="8"/>
  <c r="BA78" i="8"/>
  <c r="BA49" i="8"/>
  <c r="BA309" i="8"/>
  <c r="BA273" i="8"/>
  <c r="BA237" i="8"/>
  <c r="BA192" i="8"/>
  <c r="BA326" i="8"/>
  <c r="BA300" i="8"/>
  <c r="BA272" i="8"/>
  <c r="BA254" i="8"/>
  <c r="BA228" i="8"/>
  <c r="BA139" i="8"/>
  <c r="BA90" i="8"/>
  <c r="BA158" i="8"/>
  <c r="BA117" i="8"/>
  <c r="BA60" i="8"/>
  <c r="BA324" i="8"/>
  <c r="BA314" i="8"/>
  <c r="BA306" i="8"/>
  <c r="BA296" i="8"/>
  <c r="BA288" i="8"/>
  <c r="BA278" i="8"/>
  <c r="BA270" i="8"/>
  <c r="BA260" i="8"/>
  <c r="BA252" i="8"/>
  <c r="BA242" i="8"/>
  <c r="BA234" i="8"/>
  <c r="BA224" i="8"/>
  <c r="BA216" i="8"/>
  <c r="BA206" i="8"/>
  <c r="BA187" i="8"/>
  <c r="BA176" i="8"/>
  <c r="BA135" i="8"/>
  <c r="BA126" i="8"/>
  <c r="BA114" i="8"/>
  <c r="BA99" i="8"/>
  <c r="BA85" i="8"/>
  <c r="BA56" i="8"/>
  <c r="BA42" i="8"/>
  <c r="BA27" i="8"/>
  <c r="BA8" i="8"/>
  <c r="BA9" i="8"/>
  <c r="BA25" i="8"/>
  <c r="BA19" i="8"/>
  <c r="BA13" i="8"/>
  <c r="BA7" i="8"/>
  <c r="BA6" i="8"/>
  <c r="BA17" i="8"/>
  <c r="BA323" i="8"/>
  <c r="BA311" i="8"/>
  <c r="BA299" i="8"/>
  <c r="BA287" i="8"/>
  <c r="BA275" i="8"/>
  <c r="BA263" i="8"/>
  <c r="BA251" i="8"/>
  <c r="BA239" i="8"/>
  <c r="BA227" i="8"/>
  <c r="BA215" i="8"/>
  <c r="BA203" i="8"/>
  <c r="BA191" i="8"/>
  <c r="BA179" i="8"/>
  <c r="BA167" i="8"/>
  <c r="BA155" i="8"/>
  <c r="BA137" i="8"/>
  <c r="BA125" i="8"/>
  <c r="BA113" i="8"/>
  <c r="BA101" i="8"/>
  <c r="BA89" i="8"/>
  <c r="BA77" i="8"/>
  <c r="BA65" i="8"/>
  <c r="BA53" i="8"/>
  <c r="BA41" i="8"/>
  <c r="BA23" i="8"/>
  <c r="BA5" i="8"/>
  <c r="BA317" i="8"/>
  <c r="BA305" i="8"/>
  <c r="BA293" i="8"/>
  <c r="BA281" i="8"/>
  <c r="BA269" i="8"/>
  <c r="BA257" i="8"/>
  <c r="BA245" i="8"/>
  <c r="BA233" i="8"/>
  <c r="BA221" i="8"/>
  <c r="BA209" i="8"/>
  <c r="BA197" i="8"/>
  <c r="BA185" i="8"/>
  <c r="BA173" i="8"/>
  <c r="BA161" i="8"/>
  <c r="BA149" i="8"/>
  <c r="BA143" i="8"/>
  <c r="BA131" i="8"/>
  <c r="BA119" i="8"/>
  <c r="BA107" i="8"/>
  <c r="BA95" i="8"/>
  <c r="BA83" i="8"/>
  <c r="BA71" i="8"/>
  <c r="BA59" i="8"/>
  <c r="BA47" i="8"/>
  <c r="BA35" i="8"/>
  <c r="BA29" i="8"/>
  <c r="BA11" i="8"/>
  <c r="BA322" i="8"/>
  <c r="BA316" i="8"/>
  <c r="BA310" i="8"/>
  <c r="BA304" i="8"/>
  <c r="BA298" i="8"/>
  <c r="BA292" i="8"/>
  <c r="BA286" i="8"/>
  <c r="BA280" i="8"/>
  <c r="BA274" i="8"/>
  <c r="BA268" i="8"/>
  <c r="BA262" i="8"/>
  <c r="BA256" i="8"/>
  <c r="BA250" i="8"/>
  <c r="BA244" i="8"/>
  <c r="BA238" i="8"/>
  <c r="BA232" i="8"/>
  <c r="BA226" i="8"/>
  <c r="BA220" i="8"/>
  <c r="BA214" i="8"/>
  <c r="BA208" i="8"/>
  <c r="BA202" i="8"/>
  <c r="BA196" i="8"/>
  <c r="BA190" i="8"/>
  <c r="BA184" i="8"/>
  <c r="BA178" i="8"/>
  <c r="BA172" i="8"/>
  <c r="BA166" i="8"/>
  <c r="BA160" i="8"/>
  <c r="BA154" i="8"/>
  <c r="BA148" i="8"/>
  <c r="BA142" i="8"/>
  <c r="BA136" i="8"/>
  <c r="BA130" i="8"/>
  <c r="BA124" i="8"/>
  <c r="BA118" i="8"/>
  <c r="BA112" i="8"/>
  <c r="BA106" i="8"/>
  <c r="BA100" i="8"/>
  <c r="BA94" i="8"/>
  <c r="BA88" i="8"/>
  <c r="BA82" i="8"/>
  <c r="BA76" i="8"/>
  <c r="BA70" i="8"/>
  <c r="BA64" i="8"/>
  <c r="BA58" i="8"/>
  <c r="BA52" i="8"/>
  <c r="BA46" i="8"/>
  <c r="BA40" i="8"/>
  <c r="BA34" i="8"/>
  <c r="BA28" i="8"/>
  <c r="BA22" i="8"/>
  <c r="BA16" i="8"/>
  <c r="BA10" i="8"/>
  <c r="BA4" i="8"/>
  <c r="BD3" i="8"/>
  <c r="BC3" i="8"/>
  <c r="BB3" i="8"/>
  <c r="BA3" i="8"/>
  <c r="AU141" i="8"/>
  <c r="AU231" i="8"/>
  <c r="AU151" i="8"/>
  <c r="AU68" i="8"/>
  <c r="AU284" i="8"/>
  <c r="AU98" i="8"/>
  <c r="AU293" i="8"/>
  <c r="AU159" i="8"/>
  <c r="AU77" i="8"/>
  <c r="AU67" i="8"/>
  <c r="AU241" i="8"/>
  <c r="AU131" i="8"/>
  <c r="AU311" i="8"/>
  <c r="AU140" i="8"/>
  <c r="AU57" i="8"/>
  <c r="AU181" i="8"/>
  <c r="AU119" i="8"/>
  <c r="AU56" i="8"/>
  <c r="AU275" i="8"/>
  <c r="AU221" i="8"/>
  <c r="AU149" i="8"/>
  <c r="AU229" i="8"/>
  <c r="AU189" i="8"/>
  <c r="AU179" i="8"/>
  <c r="AU169" i="8"/>
  <c r="AU158" i="8"/>
  <c r="AU117" i="8"/>
  <c r="AU107" i="8"/>
  <c r="AU97" i="8"/>
  <c r="AU86" i="8"/>
  <c r="AU55" i="8"/>
  <c r="AU43" i="8"/>
  <c r="AU31" i="8"/>
  <c r="AU19" i="8"/>
  <c r="AU209" i="8"/>
  <c r="AU17" i="8"/>
  <c r="AU295" i="8"/>
  <c r="AU223" i="8"/>
  <c r="AU327" i="8"/>
  <c r="AU249" i="8"/>
  <c r="AU171" i="8"/>
  <c r="AU89" i="8"/>
  <c r="AU326" i="8"/>
  <c r="AU248" i="8"/>
  <c r="AU170" i="8"/>
  <c r="AU109" i="8"/>
  <c r="AU257" i="8"/>
  <c r="AU325" i="8"/>
  <c r="AU237" i="8"/>
  <c r="AU188" i="8"/>
  <c r="AU147" i="8"/>
  <c r="AU127" i="8"/>
  <c r="AU29" i="8"/>
  <c r="AU290" i="8"/>
  <c r="AU272" i="8"/>
  <c r="AU254" i="8"/>
  <c r="AU236" i="8"/>
  <c r="AU218" i="8"/>
  <c r="AU177" i="8"/>
  <c r="AU167" i="8"/>
  <c r="AU157" i="8"/>
  <c r="AU146" i="8"/>
  <c r="AU105" i="8"/>
  <c r="AU95" i="8"/>
  <c r="AU85" i="8"/>
  <c r="AU74" i="8"/>
  <c r="AU259" i="8"/>
  <c r="AU285" i="8"/>
  <c r="AU161" i="8"/>
  <c r="AU79" i="8"/>
  <c r="AU266" i="8"/>
  <c r="AU44" i="8"/>
  <c r="AU211" i="8"/>
  <c r="AU265" i="8"/>
  <c r="AU291" i="8"/>
  <c r="AU199" i="8"/>
  <c r="AU137" i="8"/>
  <c r="AU116" i="8"/>
  <c r="AU41" i="8"/>
  <c r="AU323" i="8"/>
  <c r="AU315" i="8"/>
  <c r="AU307" i="8"/>
  <c r="AU299" i="8"/>
  <c r="AU281" i="8"/>
  <c r="AU263" i="8"/>
  <c r="AU245" i="8"/>
  <c r="AU227" i="8"/>
  <c r="AU207" i="8"/>
  <c r="AU197" i="8"/>
  <c r="AU187" i="8"/>
  <c r="AU176" i="8"/>
  <c r="AU135" i="8"/>
  <c r="AU125" i="8"/>
  <c r="AU115" i="8"/>
  <c r="AU104" i="8"/>
  <c r="AU63" i="8"/>
  <c r="AU51" i="8"/>
  <c r="AU39" i="8"/>
  <c r="AU27" i="8"/>
  <c r="AU14" i="8"/>
  <c r="AU213" i="8"/>
  <c r="AU110" i="8"/>
  <c r="AU267" i="8"/>
  <c r="AU21" i="8"/>
  <c r="AU191" i="8"/>
  <c r="AU128" i="8"/>
  <c r="AU301" i="8"/>
  <c r="AU273" i="8"/>
  <c r="AU53" i="8"/>
  <c r="AU314" i="8"/>
  <c r="AU289" i="8"/>
  <c r="AU271" i="8"/>
  <c r="AU253" i="8"/>
  <c r="AU235" i="8"/>
  <c r="AU217" i="8"/>
  <c r="AU206" i="8"/>
  <c r="AU165" i="8"/>
  <c r="AU155" i="8"/>
  <c r="AU145" i="8"/>
  <c r="AU134" i="8"/>
  <c r="AU93" i="8"/>
  <c r="AU83" i="8"/>
  <c r="AU73" i="8"/>
  <c r="AU62" i="8"/>
  <c r="AU50" i="8"/>
  <c r="AU38" i="8"/>
  <c r="AU26" i="8"/>
  <c r="AU193" i="8"/>
  <c r="AU69" i="8"/>
  <c r="AU99" i="8"/>
  <c r="AU302" i="8"/>
  <c r="AU201" i="8"/>
  <c r="AU20" i="8"/>
  <c r="AU200" i="8"/>
  <c r="AU309" i="8"/>
  <c r="AU255" i="8"/>
  <c r="AU65" i="8"/>
  <c r="AU297" i="8"/>
  <c r="AU279" i="8"/>
  <c r="AU261" i="8"/>
  <c r="AU243" i="8"/>
  <c r="AU225" i="8"/>
  <c r="AU195" i="8"/>
  <c r="AU185" i="8"/>
  <c r="AU175" i="8"/>
  <c r="AU164" i="8"/>
  <c r="AU123" i="8"/>
  <c r="AU113" i="8"/>
  <c r="AU103" i="8"/>
  <c r="AU92" i="8"/>
  <c r="AU13" i="8"/>
  <c r="AU277" i="8"/>
  <c r="AU182" i="8"/>
  <c r="AU319" i="8"/>
  <c r="AU212" i="8"/>
  <c r="AU45" i="8"/>
  <c r="AU230" i="8"/>
  <c r="AU129" i="8"/>
  <c r="AU239" i="8"/>
  <c r="AU139" i="8"/>
  <c r="AU317" i="8"/>
  <c r="AU247" i="8"/>
  <c r="AU219" i="8"/>
  <c r="AU321" i="8"/>
  <c r="AU313" i="8"/>
  <c r="AU305" i="8"/>
  <c r="AU296" i="8"/>
  <c r="AU278" i="8"/>
  <c r="AU260" i="8"/>
  <c r="AU242" i="8"/>
  <c r="AU224" i="8"/>
  <c r="AU215" i="8"/>
  <c r="AU205" i="8"/>
  <c r="AU194" i="8"/>
  <c r="AU153" i="8"/>
  <c r="AU143" i="8"/>
  <c r="AU133" i="8"/>
  <c r="AU122" i="8"/>
  <c r="AU81" i="8"/>
  <c r="AU71" i="8"/>
  <c r="AU61" i="8"/>
  <c r="AU49" i="8"/>
  <c r="AU37" i="8"/>
  <c r="AU25" i="8"/>
  <c r="AU11" i="8"/>
  <c r="AU203" i="8"/>
  <c r="AU121" i="8"/>
  <c r="AU303" i="8"/>
  <c r="AU33" i="8"/>
  <c r="AU32" i="8"/>
  <c r="AU87" i="8"/>
  <c r="AU283" i="8"/>
  <c r="AU308" i="8"/>
  <c r="AU75" i="8"/>
  <c r="AU320" i="8"/>
  <c r="AU287" i="8"/>
  <c r="AU269" i="8"/>
  <c r="AU251" i="8"/>
  <c r="AU233" i="8"/>
  <c r="AU183" i="8"/>
  <c r="AU173" i="8"/>
  <c r="AU163" i="8"/>
  <c r="AU152" i="8"/>
  <c r="AU111" i="8"/>
  <c r="AU101" i="8"/>
  <c r="AU91" i="8"/>
  <c r="AU80" i="8"/>
  <c r="AU59" i="8"/>
  <c r="AU47" i="8"/>
  <c r="AU35" i="8"/>
  <c r="AU23" i="8"/>
  <c r="AU15" i="8"/>
  <c r="AU9" i="8"/>
  <c r="AU8" i="8"/>
  <c r="AU7" i="8"/>
  <c r="AU324" i="8"/>
  <c r="AU318" i="8"/>
  <c r="AU312" i="8"/>
  <c r="AU306" i="8"/>
  <c r="AU300" i="8"/>
  <c r="AU294" i="8"/>
  <c r="AU288" i="8"/>
  <c r="AU282" i="8"/>
  <c r="AU276" i="8"/>
  <c r="AU270" i="8"/>
  <c r="AU264" i="8"/>
  <c r="AU258" i="8"/>
  <c r="AU252" i="8"/>
  <c r="AU246" i="8"/>
  <c r="AU240" i="8"/>
  <c r="AU234" i="8"/>
  <c r="AU228" i="8"/>
  <c r="AU222" i="8"/>
  <c r="AU216" i="8"/>
  <c r="AU210" i="8"/>
  <c r="AU204" i="8"/>
  <c r="AU198" i="8"/>
  <c r="AU192" i="8"/>
  <c r="AU186" i="8"/>
  <c r="AU180" i="8"/>
  <c r="AU174" i="8"/>
  <c r="AU168" i="8"/>
  <c r="AU162" i="8"/>
  <c r="AU156" i="8"/>
  <c r="AU150" i="8"/>
  <c r="AU144" i="8"/>
  <c r="AU138" i="8"/>
  <c r="AU132" i="8"/>
  <c r="AU126" i="8"/>
  <c r="AU120" i="8"/>
  <c r="AU114" i="8"/>
  <c r="AU108" i="8"/>
  <c r="AU102" i="8"/>
  <c r="AU96" i="8"/>
  <c r="AU90" i="8"/>
  <c r="AU84" i="8"/>
  <c r="AU78" i="8"/>
  <c r="AU72" i="8"/>
  <c r="AU66" i="8"/>
  <c r="AU60" i="8"/>
  <c r="AU54" i="8"/>
  <c r="AU48" i="8"/>
  <c r="AU42" i="8"/>
  <c r="AU36" i="8"/>
  <c r="AU30" i="8"/>
  <c r="AU24" i="8"/>
  <c r="AU18" i="8"/>
  <c r="AU12" i="8"/>
  <c r="AU6" i="8"/>
  <c r="AU5" i="8"/>
  <c r="AU322" i="8"/>
  <c r="AU316" i="8"/>
  <c r="AU310" i="8"/>
  <c r="AU304" i="8"/>
  <c r="AU298" i="8"/>
  <c r="AU292" i="8"/>
  <c r="AU286" i="8"/>
  <c r="AU280" i="8"/>
  <c r="AU274" i="8"/>
  <c r="AU268" i="8"/>
  <c r="AU262" i="8"/>
  <c r="AU256" i="8"/>
  <c r="AU250" i="8"/>
  <c r="AU244" i="8"/>
  <c r="AU238" i="8"/>
  <c r="AU232" i="8"/>
  <c r="AU226" i="8"/>
  <c r="AU220" i="8"/>
  <c r="AU214" i="8"/>
  <c r="AU208" i="8"/>
  <c r="AU202" i="8"/>
  <c r="AU196" i="8"/>
  <c r="AU190" i="8"/>
  <c r="AU184" i="8"/>
  <c r="AU178" i="8"/>
  <c r="AU172" i="8"/>
  <c r="AU166" i="8"/>
  <c r="AU160" i="8"/>
  <c r="AU154" i="8"/>
  <c r="AU148" i="8"/>
  <c r="AU142" i="8"/>
  <c r="AU136" i="8"/>
  <c r="AU130" i="8"/>
  <c r="AU124" i="8"/>
  <c r="AU118" i="8"/>
  <c r="AU112" i="8"/>
  <c r="AU106" i="8"/>
  <c r="AU100" i="8"/>
  <c r="AU94" i="8"/>
  <c r="AU88" i="8"/>
  <c r="AU82" i="8"/>
  <c r="AU76" i="8"/>
  <c r="AU70" i="8"/>
  <c r="AU64" i="8"/>
  <c r="AU58" i="8"/>
  <c r="AU52" i="8"/>
  <c r="AU46" i="8"/>
  <c r="AU40" i="8"/>
  <c r="AU34" i="8"/>
  <c r="AU28" i="8"/>
  <c r="AU22" i="8"/>
  <c r="AU16" i="8"/>
  <c r="AU10" i="8"/>
  <c r="AU4" i="8"/>
  <c r="AT288" i="8"/>
  <c r="AT252" i="8"/>
  <c r="AT144" i="8"/>
  <c r="AT48" i="8"/>
  <c r="AT246" i="8"/>
  <c r="AT68" i="8"/>
  <c r="AT140" i="8"/>
  <c r="AT162" i="8"/>
  <c r="AT314" i="8"/>
  <c r="AT133" i="8"/>
  <c r="AT296" i="8"/>
  <c r="AT242" i="8"/>
  <c r="AT200" i="8"/>
  <c r="AT80" i="8"/>
  <c r="AT272" i="8"/>
  <c r="AT199" i="8"/>
  <c r="AT151" i="8"/>
  <c r="AT79" i="8"/>
  <c r="AT50" i="8"/>
  <c r="AT270" i="8"/>
  <c r="AT170" i="8"/>
  <c r="AT98" i="8"/>
  <c r="AT318" i="8"/>
  <c r="AT210" i="8"/>
  <c r="AT282" i="8"/>
  <c r="AT228" i="8"/>
  <c r="AT120" i="8"/>
  <c r="AT37" i="8"/>
  <c r="AT36" i="8"/>
  <c r="AT182" i="8"/>
  <c r="AT61" i="8"/>
  <c r="AT206" i="8"/>
  <c r="AT110" i="8"/>
  <c r="AT260" i="8"/>
  <c r="AT181" i="8"/>
  <c r="AT326" i="8"/>
  <c r="AT218" i="8"/>
  <c r="AT132" i="8"/>
  <c r="AT308" i="8"/>
  <c r="AT254" i="8"/>
  <c r="AT180" i="8"/>
  <c r="AT20" i="8"/>
  <c r="AT325" i="8"/>
  <c r="AT217" i="8"/>
  <c r="AT174" i="8"/>
  <c r="AT102" i="8"/>
  <c r="AT307" i="8"/>
  <c r="AT289" i="8"/>
  <c r="AT271" i="8"/>
  <c r="AT253" i="8"/>
  <c r="AT235" i="8"/>
  <c r="AT198" i="8"/>
  <c r="AT122" i="8"/>
  <c r="AT19" i="8"/>
  <c r="AT306" i="8"/>
  <c r="AT234" i="8"/>
  <c r="AT121" i="8"/>
  <c r="AT300" i="8"/>
  <c r="AT264" i="8"/>
  <c r="AT163" i="8"/>
  <c r="AT91" i="8"/>
  <c r="AT188" i="8"/>
  <c r="AT90" i="8"/>
  <c r="AT32" i="8"/>
  <c r="AT278" i="8"/>
  <c r="AT224" i="8"/>
  <c r="AT60" i="8"/>
  <c r="AT313" i="8"/>
  <c r="AT152" i="8"/>
  <c r="AT109" i="8"/>
  <c r="AT290" i="8"/>
  <c r="AT236" i="8"/>
  <c r="AT324" i="8"/>
  <c r="AT216" i="8"/>
  <c r="AT192" i="8"/>
  <c r="AT150" i="8"/>
  <c r="AT72" i="8"/>
  <c r="AT49" i="8"/>
  <c r="AT18" i="8"/>
  <c r="AT14" i="8"/>
  <c r="AT67" i="8"/>
  <c r="AT241" i="8"/>
  <c r="AT108" i="8"/>
  <c r="AT157" i="8"/>
  <c r="AT116" i="8"/>
  <c r="AT66" i="8"/>
  <c r="AT55" i="8"/>
  <c r="AT43" i="8"/>
  <c r="AT44" i="8"/>
  <c r="AT205" i="8"/>
  <c r="AT320" i="8"/>
  <c r="AT146" i="8"/>
  <c r="AT13" i="8"/>
  <c r="AT56" i="8"/>
  <c r="AT12" i="8"/>
  <c r="AT169" i="8"/>
  <c r="AT128" i="8"/>
  <c r="AT31" i="8"/>
  <c r="AT295" i="8"/>
  <c r="AT259" i="8"/>
  <c r="AT223" i="8"/>
  <c r="AT187" i="8"/>
  <c r="AT86" i="8"/>
  <c r="AT30" i="8"/>
  <c r="AT168" i="8"/>
  <c r="AT138" i="8"/>
  <c r="AT312" i="8"/>
  <c r="AT284" i="8"/>
  <c r="AT230" i="8"/>
  <c r="AT212" i="8"/>
  <c r="AT194" i="8"/>
  <c r="AT176" i="8"/>
  <c r="AT85" i="8"/>
  <c r="AT26" i="8"/>
  <c r="AT126" i="8"/>
  <c r="AT104" i="8"/>
  <c r="AT319" i="8"/>
  <c r="AT283" i="8"/>
  <c r="AT265" i="8"/>
  <c r="AT247" i="8"/>
  <c r="AT229" i="8"/>
  <c r="AT211" i="8"/>
  <c r="AT193" i="8"/>
  <c r="AT175" i="8"/>
  <c r="AT164" i="8"/>
  <c r="AT145" i="8"/>
  <c r="AT134" i="8"/>
  <c r="AT84" i="8"/>
  <c r="AT73" i="8"/>
  <c r="AT62" i="8"/>
  <c r="AT38" i="8"/>
  <c r="AT25" i="8"/>
  <c r="AT158" i="8"/>
  <c r="AT139" i="8"/>
  <c r="AT78" i="8"/>
  <c r="AT277" i="8"/>
  <c r="AT97" i="8"/>
  <c r="AT127" i="8"/>
  <c r="AT302" i="8"/>
  <c r="AT294" i="8"/>
  <c r="AT276" i="8"/>
  <c r="AT266" i="8"/>
  <c r="AT258" i="8"/>
  <c r="AT248" i="8"/>
  <c r="AT240" i="8"/>
  <c r="AT222" i="8"/>
  <c r="AT204" i="8"/>
  <c r="AT186" i="8"/>
  <c r="AT96" i="8"/>
  <c r="AT74" i="8"/>
  <c r="AT42" i="8"/>
  <c r="AT156" i="8"/>
  <c r="AT115" i="8"/>
  <c r="AT54" i="8"/>
  <c r="AT301" i="8"/>
  <c r="AT114" i="8"/>
  <c r="AT103" i="8"/>
  <c r="AT92" i="8"/>
  <c r="AT24" i="8"/>
  <c r="AT327" i="8"/>
  <c r="AT321" i="8"/>
  <c r="AT315" i="8"/>
  <c r="AT309" i="8"/>
  <c r="AT303" i="8"/>
  <c r="AT297" i="8"/>
  <c r="AT291" i="8"/>
  <c r="AT285" i="8"/>
  <c r="AT279" i="8"/>
  <c r="AT273" i="8"/>
  <c r="AT267" i="8"/>
  <c r="AT261" i="8"/>
  <c r="AT255" i="8"/>
  <c r="AT249" i="8"/>
  <c r="AT243" i="8"/>
  <c r="AT237" i="8"/>
  <c r="AT231" i="8"/>
  <c r="AT225" i="8"/>
  <c r="AT219" i="8"/>
  <c r="AT213" i="8"/>
  <c r="AT207" i="8"/>
  <c r="AT201" i="8"/>
  <c r="AT195" i="8"/>
  <c r="AT189" i="8"/>
  <c r="AT183" i="8"/>
  <c r="AT177" i="8"/>
  <c r="AT171" i="8"/>
  <c r="AT165" i="8"/>
  <c r="AT159" i="8"/>
  <c r="AT153" i="8"/>
  <c r="AT147" i="8"/>
  <c r="AT141" i="8"/>
  <c r="AT135" i="8"/>
  <c r="AT129" i="8"/>
  <c r="AT123" i="8"/>
  <c r="AT117" i="8"/>
  <c r="AT111" i="8"/>
  <c r="AT105" i="8"/>
  <c r="AT99" i="8"/>
  <c r="AT93" i="8"/>
  <c r="AT87" i="8"/>
  <c r="AT81" i="8"/>
  <c r="AT75" i="8"/>
  <c r="AT69" i="8"/>
  <c r="AT63" i="8"/>
  <c r="AT57" i="8"/>
  <c r="AT51" i="8"/>
  <c r="AT45" i="8"/>
  <c r="AT39" i="8"/>
  <c r="AT33" i="8"/>
  <c r="AT27" i="8"/>
  <c r="AT21" i="8"/>
  <c r="AT15" i="8"/>
  <c r="AT9" i="8"/>
  <c r="AT8" i="8"/>
  <c r="AT7" i="8"/>
  <c r="AT6" i="8"/>
  <c r="AT71" i="8"/>
  <c r="AT317" i="8"/>
  <c r="AT305" i="8"/>
  <c r="AT293" i="8"/>
  <c r="AT281" i="8"/>
  <c r="AT269" i="8"/>
  <c r="AT257" i="8"/>
  <c r="AT245" i="8"/>
  <c r="AT233" i="8"/>
  <c r="AT221" i="8"/>
  <c r="AT209" i="8"/>
  <c r="AT197" i="8"/>
  <c r="AT185" i="8"/>
  <c r="AT173" i="8"/>
  <c r="AT161" i="8"/>
  <c r="AT149" i="8"/>
  <c r="AT137" i="8"/>
  <c r="AT125" i="8"/>
  <c r="AT113" i="8"/>
  <c r="AT101" i="8"/>
  <c r="AT89" i="8"/>
  <c r="AT77" i="8"/>
  <c r="AT65" i="8"/>
  <c r="AT59" i="8"/>
  <c r="AT47" i="8"/>
  <c r="AT41" i="8"/>
  <c r="AT35" i="8"/>
  <c r="AT29" i="8"/>
  <c r="AT23" i="8"/>
  <c r="AT11" i="8"/>
  <c r="AT5" i="8"/>
  <c r="AT323" i="8"/>
  <c r="AT311" i="8"/>
  <c r="AT299" i="8"/>
  <c r="AT287" i="8"/>
  <c r="AT275" i="8"/>
  <c r="AT263" i="8"/>
  <c r="AT251" i="8"/>
  <c r="AT239" i="8"/>
  <c r="AT227" i="8"/>
  <c r="AT215" i="8"/>
  <c r="AT203" i="8"/>
  <c r="AT191" i="8"/>
  <c r="AT179" i="8"/>
  <c r="AT167" i="8"/>
  <c r="AT155" i="8"/>
  <c r="AT143" i="8"/>
  <c r="AT131" i="8"/>
  <c r="AT119" i="8"/>
  <c r="AT107" i="8"/>
  <c r="AT95" i="8"/>
  <c r="AT83" i="8"/>
  <c r="AT53" i="8"/>
  <c r="AT17" i="8"/>
  <c r="AT322" i="8"/>
  <c r="AT316" i="8"/>
  <c r="AT310" i="8"/>
  <c r="AT304" i="8"/>
  <c r="AT298" i="8"/>
  <c r="AT292" i="8"/>
  <c r="AT286" i="8"/>
  <c r="AT280" i="8"/>
  <c r="AT274" i="8"/>
  <c r="AT268" i="8"/>
  <c r="AT262" i="8"/>
  <c r="AT256" i="8"/>
  <c r="AT250" i="8"/>
  <c r="AT244" i="8"/>
  <c r="AT238" i="8"/>
  <c r="AT232" i="8"/>
  <c r="AT226" i="8"/>
  <c r="AT220" i="8"/>
  <c r="AT214" i="8"/>
  <c r="AT208" i="8"/>
  <c r="AT202" i="8"/>
  <c r="AT196" i="8"/>
  <c r="AT190" i="8"/>
  <c r="AT184" i="8"/>
  <c r="AT178" i="8"/>
  <c r="AT172" i="8"/>
  <c r="AT166" i="8"/>
  <c r="AT160" i="8"/>
  <c r="AT154" i="8"/>
  <c r="AT148" i="8"/>
  <c r="AT142" i="8"/>
  <c r="AT136" i="8"/>
  <c r="AT130" i="8"/>
  <c r="AT124" i="8"/>
  <c r="AT118" i="8"/>
  <c r="AT112" i="8"/>
  <c r="AT106" i="8"/>
  <c r="AT100" i="8"/>
  <c r="AT94" i="8"/>
  <c r="AT88" i="8"/>
  <c r="AT82" i="8"/>
  <c r="AT76" i="8"/>
  <c r="AT70" i="8"/>
  <c r="AT64" i="8"/>
  <c r="AT58" i="8"/>
  <c r="AT52" i="8"/>
  <c r="AT46" i="8"/>
  <c r="AT40" i="8"/>
  <c r="AT34" i="8"/>
  <c r="AT28" i="8"/>
  <c r="AT22" i="8"/>
  <c r="AT16" i="8"/>
  <c r="AT10" i="8"/>
  <c r="AT4" i="8"/>
  <c r="AS49" i="8"/>
  <c r="AS303" i="8"/>
  <c r="AS267" i="8"/>
  <c r="AS241" i="8"/>
  <c r="AS205" i="8"/>
  <c r="AS164" i="8"/>
  <c r="AS302" i="8"/>
  <c r="AS248" i="8"/>
  <c r="AS128" i="8"/>
  <c r="AS44" i="8"/>
  <c r="AS182" i="8"/>
  <c r="AS61" i="8"/>
  <c r="AS319" i="8"/>
  <c r="AS273" i="8"/>
  <c r="AS237" i="8"/>
  <c r="AS170" i="8"/>
  <c r="AS308" i="8"/>
  <c r="AS236" i="8"/>
  <c r="AS199" i="8"/>
  <c r="AS55" i="8"/>
  <c r="AS145" i="8"/>
  <c r="AS67" i="8"/>
  <c r="AS313" i="8"/>
  <c r="AS285" i="8"/>
  <c r="AS249" i="8"/>
  <c r="AS213" i="8"/>
  <c r="AS230" i="8"/>
  <c r="AS163" i="8"/>
  <c r="AS115" i="8"/>
  <c r="AS62" i="8"/>
  <c r="AS79" i="8"/>
  <c r="AS327" i="8"/>
  <c r="AS309" i="8"/>
  <c r="AS283" i="8"/>
  <c r="AS247" i="8"/>
  <c r="AS211" i="8"/>
  <c r="AS127" i="8"/>
  <c r="AS200" i="8"/>
  <c r="AS181" i="8"/>
  <c r="AS272" i="8"/>
  <c r="AS56" i="8"/>
  <c r="AS169" i="8"/>
  <c r="AS73" i="8"/>
  <c r="AS325" i="8"/>
  <c r="AS297" i="8"/>
  <c r="AS261" i="8"/>
  <c r="AS225" i="8"/>
  <c r="AS177" i="8"/>
  <c r="AS13" i="8"/>
  <c r="AS133" i="8"/>
  <c r="AS85" i="8"/>
  <c r="AS321" i="8"/>
  <c r="AS277" i="8"/>
  <c r="AS231" i="8"/>
  <c r="AS194" i="8"/>
  <c r="AS153" i="8"/>
  <c r="AS320" i="8"/>
  <c r="AS266" i="8"/>
  <c r="AS193" i="8"/>
  <c r="AS141" i="8"/>
  <c r="AS80" i="8"/>
  <c r="AS171" i="8"/>
  <c r="AS97" i="8"/>
  <c r="AS291" i="8"/>
  <c r="AS265" i="8"/>
  <c r="AS229" i="8"/>
  <c r="AS140" i="8"/>
  <c r="AS159" i="8"/>
  <c r="AS19" i="8"/>
  <c r="AS290" i="8"/>
  <c r="AS218" i="8"/>
  <c r="AS139" i="8"/>
  <c r="AS74" i="8"/>
  <c r="AS188" i="8"/>
  <c r="AS158" i="8"/>
  <c r="AS122" i="8"/>
  <c r="AS91" i="8"/>
  <c r="AS307" i="8"/>
  <c r="AS289" i="8"/>
  <c r="AS271" i="8"/>
  <c r="AS243" i="8"/>
  <c r="AS217" i="8"/>
  <c r="AS187" i="8"/>
  <c r="AS157" i="8"/>
  <c r="AS146" i="8"/>
  <c r="AS134" i="8"/>
  <c r="AS121" i="8"/>
  <c r="AS103" i="8"/>
  <c r="AS31" i="8"/>
  <c r="AS295" i="8"/>
  <c r="AS259" i="8"/>
  <c r="AS223" i="8"/>
  <c r="AS175" i="8"/>
  <c r="AS116" i="8"/>
  <c r="AS183" i="8"/>
  <c r="AS284" i="8"/>
  <c r="AS212" i="8"/>
  <c r="AS152" i="8"/>
  <c r="AS98" i="8"/>
  <c r="AS25" i="8"/>
  <c r="AS201" i="8"/>
  <c r="AS43" i="8"/>
  <c r="AS301" i="8"/>
  <c r="AS255" i="8"/>
  <c r="AS219" i="8"/>
  <c r="AS151" i="8"/>
  <c r="AS189" i="8"/>
  <c r="AS110" i="8"/>
  <c r="AS326" i="8"/>
  <c r="AS254" i="8"/>
  <c r="AS92" i="8"/>
  <c r="AS38" i="8"/>
  <c r="AS147" i="8"/>
  <c r="AS109" i="8"/>
  <c r="AS37" i="8"/>
  <c r="AS315" i="8"/>
  <c r="AS279" i="8"/>
  <c r="AS253" i="8"/>
  <c r="AS235" i="8"/>
  <c r="AS207" i="8"/>
  <c r="AS314" i="8"/>
  <c r="AS296" i="8"/>
  <c r="AS278" i="8"/>
  <c r="AS260" i="8"/>
  <c r="AS242" i="8"/>
  <c r="AS224" i="8"/>
  <c r="AS206" i="8"/>
  <c r="AS195" i="8"/>
  <c r="AS176" i="8"/>
  <c r="AS165" i="8"/>
  <c r="AS104" i="8"/>
  <c r="AS86" i="8"/>
  <c r="AS68" i="8"/>
  <c r="AS50" i="8"/>
  <c r="AS32" i="8"/>
  <c r="AS135" i="8"/>
  <c r="AS129" i="8"/>
  <c r="AS123" i="8"/>
  <c r="AS117" i="8"/>
  <c r="AS111" i="8"/>
  <c r="AS105" i="8"/>
  <c r="AS99" i="8"/>
  <c r="AS93" i="8"/>
  <c r="AS87" i="8"/>
  <c r="AS81" i="8"/>
  <c r="AS75" i="8"/>
  <c r="AS69" i="8"/>
  <c r="AS63" i="8"/>
  <c r="AS57" i="8"/>
  <c r="AS51" i="8"/>
  <c r="AS45" i="8"/>
  <c r="AS39" i="8"/>
  <c r="AS33" i="8"/>
  <c r="AS27" i="8"/>
  <c r="AS21" i="8"/>
  <c r="AS15" i="8"/>
  <c r="AS9" i="8"/>
  <c r="AS26" i="8"/>
  <c r="AS20" i="8"/>
  <c r="AS14" i="8"/>
  <c r="AS8" i="8"/>
  <c r="AS7" i="8"/>
  <c r="AS324" i="8"/>
  <c r="AS318" i="8"/>
  <c r="AS312" i="8"/>
  <c r="AS306" i="8"/>
  <c r="AS300" i="8"/>
  <c r="AS294" i="8"/>
  <c r="AS288" i="8"/>
  <c r="AS282" i="8"/>
  <c r="AS276" i="8"/>
  <c r="AS270" i="8"/>
  <c r="AS264" i="8"/>
  <c r="AS258" i="8"/>
  <c r="AS252" i="8"/>
  <c r="AS246" i="8"/>
  <c r="AS240" i="8"/>
  <c r="AS234" i="8"/>
  <c r="AS228" i="8"/>
  <c r="AS222" i="8"/>
  <c r="AS216" i="8"/>
  <c r="AS210" i="8"/>
  <c r="AS204" i="8"/>
  <c r="AS198" i="8"/>
  <c r="AS192" i="8"/>
  <c r="AS186" i="8"/>
  <c r="AS180" i="8"/>
  <c r="AS174" i="8"/>
  <c r="AS168" i="8"/>
  <c r="AS162" i="8"/>
  <c r="AS156" i="8"/>
  <c r="AS150" i="8"/>
  <c r="AS144" i="8"/>
  <c r="AS138" i="8"/>
  <c r="AS132" i="8"/>
  <c r="AS126" i="8"/>
  <c r="AS120" i="8"/>
  <c r="AS114" i="8"/>
  <c r="AS108" i="8"/>
  <c r="AS102" i="8"/>
  <c r="AS96" i="8"/>
  <c r="AS90" i="8"/>
  <c r="AS84" i="8"/>
  <c r="AS78" i="8"/>
  <c r="AS72" i="8"/>
  <c r="AS66" i="8"/>
  <c r="AS60" i="8"/>
  <c r="AS54" i="8"/>
  <c r="AS48" i="8"/>
  <c r="AS42" i="8"/>
  <c r="AS36" i="8"/>
  <c r="AS30" i="8"/>
  <c r="AS24" i="8"/>
  <c r="AS18" i="8"/>
  <c r="AS12" i="8"/>
  <c r="AS6" i="8"/>
  <c r="AS5" i="8"/>
  <c r="AS323" i="8"/>
  <c r="AS311" i="8"/>
  <c r="AS299" i="8"/>
  <c r="AS287" i="8"/>
  <c r="AS275" i="8"/>
  <c r="AS263" i="8"/>
  <c r="AS251" i="8"/>
  <c r="AS239" i="8"/>
  <c r="AS227" i="8"/>
  <c r="AS215" i="8"/>
  <c r="AS203" i="8"/>
  <c r="AS191" i="8"/>
  <c r="AS179" i="8"/>
  <c r="AS167" i="8"/>
  <c r="AS155" i="8"/>
  <c r="AS143" i="8"/>
  <c r="AS131" i="8"/>
  <c r="AS119" i="8"/>
  <c r="AS107" i="8"/>
  <c r="AS89" i="8"/>
  <c r="AS65" i="8"/>
  <c r="AS11" i="8"/>
  <c r="AS317" i="8"/>
  <c r="AS305" i="8"/>
  <c r="AS293" i="8"/>
  <c r="AS281" i="8"/>
  <c r="AS269" i="8"/>
  <c r="AS257" i="8"/>
  <c r="AS245" i="8"/>
  <c r="AS233" i="8"/>
  <c r="AS221" i="8"/>
  <c r="AS209" i="8"/>
  <c r="AS197" i="8"/>
  <c r="AS185" i="8"/>
  <c r="AS173" i="8"/>
  <c r="AS161" i="8"/>
  <c r="AS149" i="8"/>
  <c r="AS137" i="8"/>
  <c r="AS125" i="8"/>
  <c r="AS113" i="8"/>
  <c r="AS101" i="8"/>
  <c r="AS95" i="8"/>
  <c r="AS83" i="8"/>
  <c r="AS77" i="8"/>
  <c r="AS71" i="8"/>
  <c r="AS59" i="8"/>
  <c r="AS53" i="8"/>
  <c r="AS47" i="8"/>
  <c r="AS41" i="8"/>
  <c r="AS35" i="8"/>
  <c r="AS29" i="8"/>
  <c r="AS23" i="8"/>
  <c r="AS17" i="8"/>
  <c r="AS322" i="8"/>
  <c r="AS316" i="8"/>
  <c r="AS310" i="8"/>
  <c r="AS304" i="8"/>
  <c r="AS298" i="8"/>
  <c r="AS292" i="8"/>
  <c r="AS286" i="8"/>
  <c r="AS280" i="8"/>
  <c r="AS274" i="8"/>
  <c r="AS268" i="8"/>
  <c r="AS262" i="8"/>
  <c r="AS256" i="8"/>
  <c r="AS250" i="8"/>
  <c r="AS244" i="8"/>
  <c r="AS238" i="8"/>
  <c r="AS232" i="8"/>
  <c r="AS226" i="8"/>
  <c r="AS220" i="8"/>
  <c r="AS214" i="8"/>
  <c r="AS208" i="8"/>
  <c r="AS202" i="8"/>
  <c r="AS196" i="8"/>
  <c r="AS190" i="8"/>
  <c r="AS184" i="8"/>
  <c r="AS178" i="8"/>
  <c r="AS172" i="8"/>
  <c r="AS166" i="8"/>
  <c r="AS160" i="8"/>
  <c r="AS154" i="8"/>
  <c r="AS148" i="8"/>
  <c r="AS142" i="8"/>
  <c r="AS136" i="8"/>
  <c r="AS130" i="8"/>
  <c r="AS124" i="8"/>
  <c r="AS118" i="8"/>
  <c r="AS112" i="8"/>
  <c r="AS106" i="8"/>
  <c r="AS100" i="8"/>
  <c r="AS94" i="8"/>
  <c r="AS88" i="8"/>
  <c r="AS82" i="8"/>
  <c r="AS76" i="8"/>
  <c r="AS70" i="8"/>
  <c r="AS64" i="8"/>
  <c r="AS58" i="8"/>
  <c r="AS52" i="8"/>
  <c r="AS46" i="8"/>
  <c r="AS40" i="8"/>
  <c r="AS34" i="8"/>
  <c r="AS28" i="8"/>
  <c r="AS22" i="8"/>
  <c r="AS16" i="8"/>
  <c r="AS10" i="8"/>
  <c r="AS4" i="8"/>
  <c r="AU3" i="8"/>
  <c r="AT3" i="8"/>
  <c r="AS3" i="8"/>
  <c r="AR38" i="8"/>
  <c r="AR300" i="8"/>
  <c r="AR268" i="8"/>
  <c r="AR249" i="8"/>
  <c r="AR182" i="8"/>
  <c r="AR163" i="8"/>
  <c r="AR73" i="8"/>
  <c r="AR55" i="8"/>
  <c r="AR33" i="8"/>
  <c r="AR132" i="8"/>
  <c r="AR313" i="8"/>
  <c r="AR90" i="8"/>
  <c r="AR228" i="8"/>
  <c r="AR141" i="8"/>
  <c r="AR49" i="8"/>
  <c r="AR218" i="8"/>
  <c r="AR264" i="8"/>
  <c r="AR66" i="8"/>
  <c r="AR314" i="8"/>
  <c r="AR177" i="8"/>
  <c r="AR175" i="8"/>
  <c r="AR199" i="8"/>
  <c r="AR56" i="8"/>
  <c r="AR146" i="8"/>
  <c r="AR298" i="8"/>
  <c r="AR247" i="8"/>
  <c r="AR105" i="8"/>
  <c r="AR297" i="8"/>
  <c r="AR211" i="8"/>
  <c r="AR124" i="8"/>
  <c r="AR242" i="8"/>
  <c r="AR156" i="8"/>
  <c r="AR104" i="8"/>
  <c r="AR103" i="8"/>
  <c r="AR232" i="8"/>
  <c r="AR326" i="8"/>
  <c r="AR110" i="8"/>
  <c r="AR307" i="8"/>
  <c r="AR86" i="8"/>
  <c r="AR225" i="8"/>
  <c r="AR276" i="8"/>
  <c r="AR170" i="8"/>
  <c r="AR42" i="8"/>
  <c r="AR285" i="8"/>
  <c r="AR327" i="8"/>
  <c r="AR127" i="8"/>
  <c r="AR32" i="8"/>
  <c r="AR312" i="8"/>
  <c r="AR278" i="8"/>
  <c r="AR192" i="8"/>
  <c r="AR261" i="8"/>
  <c r="AR25" i="8"/>
  <c r="AR292" i="8"/>
  <c r="AR206" i="8"/>
  <c r="AR139" i="8"/>
  <c r="AR120" i="8"/>
  <c r="AR81" i="8"/>
  <c r="AR320" i="8"/>
  <c r="AR306" i="8"/>
  <c r="AR256" i="8"/>
  <c r="AR189" i="8"/>
  <c r="AR21" i="8"/>
  <c r="AR240" i="8"/>
  <c r="AR220" i="8"/>
  <c r="AR153" i="8"/>
  <c r="AR134" i="8"/>
  <c r="AR80" i="8"/>
  <c r="AR62" i="8"/>
  <c r="AR283" i="8"/>
  <c r="AR160" i="8"/>
  <c r="AR321" i="8"/>
  <c r="AR319" i="8"/>
  <c r="AR304" i="8"/>
  <c r="AR290" i="8"/>
  <c r="AR271" i="8"/>
  <c r="AR204" i="8"/>
  <c r="AR184" i="8"/>
  <c r="AR117" i="8"/>
  <c r="AR97" i="8"/>
  <c r="AR79" i="8"/>
  <c r="AR57" i="8"/>
  <c r="AR112" i="8"/>
  <c r="AR213" i="8"/>
  <c r="AR196" i="8"/>
  <c r="AR254" i="8"/>
  <c r="AR235" i="8"/>
  <c r="AR168" i="8"/>
  <c r="AR148" i="8"/>
  <c r="AR13" i="8"/>
  <c r="AR15" i="8"/>
  <c r="AR291" i="8"/>
  <c r="AR284" i="8"/>
  <c r="AR277" i="8"/>
  <c r="AR270" i="8"/>
  <c r="AR262" i="8"/>
  <c r="AR255" i="8"/>
  <c r="AR248" i="8"/>
  <c r="AR241" i="8"/>
  <c r="AR234" i="8"/>
  <c r="AR226" i="8"/>
  <c r="AR219" i="8"/>
  <c r="AR212" i="8"/>
  <c r="AR205" i="8"/>
  <c r="AR198" i="8"/>
  <c r="AR190" i="8"/>
  <c r="AR183" i="8"/>
  <c r="AR176" i="8"/>
  <c r="AR169" i="8"/>
  <c r="AR162" i="8"/>
  <c r="AR154" i="8"/>
  <c r="AR147" i="8"/>
  <c r="AR140" i="8"/>
  <c r="AR133" i="8"/>
  <c r="AR126" i="8"/>
  <c r="AR118" i="8"/>
  <c r="AR111" i="8"/>
  <c r="AR96" i="8"/>
  <c r="AR87" i="8"/>
  <c r="AR72" i="8"/>
  <c r="AR63" i="8"/>
  <c r="AR48" i="8"/>
  <c r="AR39" i="8"/>
  <c r="AR24" i="8"/>
  <c r="AR14" i="8"/>
  <c r="AR31" i="8"/>
  <c r="AR30" i="8"/>
  <c r="AR130" i="8"/>
  <c r="AR12" i="8"/>
  <c r="AR44" i="8"/>
  <c r="AR129" i="8"/>
  <c r="AR102" i="8"/>
  <c r="AR69" i="8"/>
  <c r="AR45" i="8"/>
  <c r="AR325" i="8"/>
  <c r="AR310" i="8"/>
  <c r="AR296" i="8"/>
  <c r="AR282" i="8"/>
  <c r="AR267" i="8"/>
  <c r="AR253" i="8"/>
  <c r="AR238" i="8"/>
  <c r="AR224" i="8"/>
  <c r="AR210" i="8"/>
  <c r="AR195" i="8"/>
  <c r="AR181" i="8"/>
  <c r="AR166" i="8"/>
  <c r="AR152" i="8"/>
  <c r="AR138" i="8"/>
  <c r="AR116" i="8"/>
  <c r="AR61" i="8"/>
  <c r="AR37" i="8"/>
  <c r="AR68" i="8"/>
  <c r="AR316" i="8"/>
  <c r="AR302" i="8"/>
  <c r="AR288" i="8"/>
  <c r="AR273" i="8"/>
  <c r="AR259" i="8"/>
  <c r="AR244" i="8"/>
  <c r="AR237" i="8"/>
  <c r="AR223" i="8"/>
  <c r="AR216" i="8"/>
  <c r="AR208" i="8"/>
  <c r="AR201" i="8"/>
  <c r="AR194" i="8"/>
  <c r="AR187" i="8"/>
  <c r="AR180" i="8"/>
  <c r="AR165" i="8"/>
  <c r="AR158" i="8"/>
  <c r="AR151" i="8"/>
  <c r="AR144" i="8"/>
  <c r="AR136" i="8"/>
  <c r="AR122" i="8"/>
  <c r="AR115" i="8"/>
  <c r="AR108" i="8"/>
  <c r="AR99" i="8"/>
  <c r="AR84" i="8"/>
  <c r="AR75" i="8"/>
  <c r="AR60" i="8"/>
  <c r="AR51" i="8"/>
  <c r="AR36" i="8"/>
  <c r="AR27" i="8"/>
  <c r="AR19" i="8"/>
  <c r="AR9" i="8"/>
  <c r="AR91" i="8"/>
  <c r="AR67" i="8"/>
  <c r="AR43" i="8"/>
  <c r="AR93" i="8"/>
  <c r="AR78" i="8"/>
  <c r="AR54" i="8"/>
  <c r="AR318" i="8"/>
  <c r="AR303" i="8"/>
  <c r="AR289" i="8"/>
  <c r="AR274" i="8"/>
  <c r="AR260" i="8"/>
  <c r="AR246" i="8"/>
  <c r="AR231" i="8"/>
  <c r="AR217" i="8"/>
  <c r="AR202" i="8"/>
  <c r="AR188" i="8"/>
  <c r="AR174" i="8"/>
  <c r="AR159" i="8"/>
  <c r="AR145" i="8"/>
  <c r="AR123" i="8"/>
  <c r="AR109" i="8"/>
  <c r="AR85" i="8"/>
  <c r="AR20" i="8"/>
  <c r="AR92" i="8"/>
  <c r="AR324" i="8"/>
  <c r="AR309" i="8"/>
  <c r="AR295" i="8"/>
  <c r="AR280" i="8"/>
  <c r="AR266" i="8"/>
  <c r="AR252" i="8"/>
  <c r="AR230" i="8"/>
  <c r="AR172" i="8"/>
  <c r="AR322" i="8"/>
  <c r="AR315" i="8"/>
  <c r="AR308" i="8"/>
  <c r="AR301" i="8"/>
  <c r="AR294" i="8"/>
  <c r="AR286" i="8"/>
  <c r="AR279" i="8"/>
  <c r="AR272" i="8"/>
  <c r="AR265" i="8"/>
  <c r="AR258" i="8"/>
  <c r="AR250" i="8"/>
  <c r="AR243" i="8"/>
  <c r="AR236" i="8"/>
  <c r="AR229" i="8"/>
  <c r="AR222" i="8"/>
  <c r="AR214" i="8"/>
  <c r="AR207" i="8"/>
  <c r="AR200" i="8"/>
  <c r="AR193" i="8"/>
  <c r="AR186" i="8"/>
  <c r="AR178" i="8"/>
  <c r="AR171" i="8"/>
  <c r="AR164" i="8"/>
  <c r="AR157" i="8"/>
  <c r="AR150" i="8"/>
  <c r="AR142" i="8"/>
  <c r="AR135" i="8"/>
  <c r="AR128" i="8"/>
  <c r="AR121" i="8"/>
  <c r="AR114" i="8"/>
  <c r="AR98" i="8"/>
  <c r="AR74" i="8"/>
  <c r="AR50" i="8"/>
  <c r="AR26" i="8"/>
  <c r="AR18" i="8"/>
  <c r="AR8" i="8"/>
  <c r="AR7" i="8"/>
  <c r="AR6" i="8"/>
  <c r="AR155" i="8"/>
  <c r="AR137" i="8"/>
  <c r="AR119" i="8"/>
  <c r="AR101" i="8"/>
  <c r="AR83" i="8"/>
  <c r="AR65" i="8"/>
  <c r="AR53" i="8"/>
  <c r="AR41" i="8"/>
  <c r="AR35" i="8"/>
  <c r="AR29" i="8"/>
  <c r="AR23" i="8"/>
  <c r="AR5" i="8"/>
  <c r="AR323" i="8"/>
  <c r="AR317" i="8"/>
  <c r="AR311" i="8"/>
  <c r="AR305" i="8"/>
  <c r="AR299" i="8"/>
  <c r="AR293" i="8"/>
  <c r="AR287" i="8"/>
  <c r="AR281" i="8"/>
  <c r="AR275" i="8"/>
  <c r="AR269" i="8"/>
  <c r="AR263" i="8"/>
  <c r="AR257" i="8"/>
  <c r="AR251" i="8"/>
  <c r="AR245" i="8"/>
  <c r="AR239" i="8"/>
  <c r="AR233" i="8"/>
  <c r="AR227" i="8"/>
  <c r="AR221" i="8"/>
  <c r="AR215" i="8"/>
  <c r="AR209" i="8"/>
  <c r="AR203" i="8"/>
  <c r="AR197" i="8"/>
  <c r="AR191" i="8"/>
  <c r="AR185" i="8"/>
  <c r="AR179" i="8"/>
  <c r="AR173" i="8"/>
  <c r="AR167" i="8"/>
  <c r="AR161" i="8"/>
  <c r="AR149" i="8"/>
  <c r="AR143" i="8"/>
  <c r="AR131" i="8"/>
  <c r="AR125" i="8"/>
  <c r="AR113" i="8"/>
  <c r="AR107" i="8"/>
  <c r="AR95" i="8"/>
  <c r="AR89" i="8"/>
  <c r="AR77" i="8"/>
  <c r="AR71" i="8"/>
  <c r="AR59" i="8"/>
  <c r="AR47" i="8"/>
  <c r="AR17" i="8"/>
  <c r="AR11" i="8"/>
  <c r="AR106" i="8"/>
  <c r="AR100" i="8"/>
  <c r="AR94" i="8"/>
  <c r="AR88" i="8"/>
  <c r="AR82" i="8"/>
  <c r="AR76" i="8"/>
  <c r="AR70" i="8"/>
  <c r="AR64" i="8"/>
  <c r="AR58" i="8"/>
  <c r="AR52" i="8"/>
  <c r="AR46" i="8"/>
  <c r="AR40" i="8"/>
  <c r="AR34" i="8"/>
  <c r="AR28" i="8"/>
  <c r="AR22" i="8"/>
  <c r="AR16" i="8"/>
  <c r="AR10" i="8"/>
  <c r="AR4" i="8"/>
  <c r="AR3" i="8"/>
  <c r="Y14" i="8"/>
  <c r="Y13" i="8"/>
  <c r="AB14" i="8"/>
  <c r="AB13" i="8"/>
  <c r="AA14" i="8"/>
  <c r="AA13" i="8"/>
  <c r="Z14" i="8"/>
  <c r="Z13" i="8"/>
  <c r="S14" i="8"/>
  <c r="S13" i="8"/>
  <c r="R14" i="8"/>
  <c r="R13" i="8"/>
  <c r="Q14" i="8"/>
  <c r="Q13" i="8"/>
  <c r="P14" i="8"/>
  <c r="P15" i="8"/>
  <c r="P13" i="8"/>
  <c r="AK14" i="8"/>
  <c r="AK15" i="8"/>
  <c r="AK13" i="8"/>
  <c r="AJ15" i="8"/>
  <c r="AJ14" i="8"/>
  <c r="AJ13" i="8"/>
  <c r="AI240" i="8"/>
  <c r="AI47" i="8"/>
  <c r="AI258" i="8"/>
  <c r="AI275" i="8"/>
  <c r="AI119" i="8"/>
  <c r="AI41" i="8"/>
  <c r="AI228" i="8"/>
  <c r="AI294" i="8"/>
  <c r="AI257" i="8"/>
  <c r="AI155" i="8"/>
  <c r="AI215" i="8"/>
  <c r="AI77" i="8"/>
  <c r="AI270" i="8"/>
  <c r="AI264" i="8"/>
  <c r="AI276" i="8"/>
  <c r="AI293" i="8"/>
  <c r="AI83" i="8"/>
  <c r="AI216" i="8"/>
  <c r="AI113" i="8"/>
  <c r="AI288" i="8"/>
  <c r="AI131" i="8"/>
  <c r="AI23" i="8"/>
  <c r="AI239" i="8"/>
  <c r="AI149" i="8"/>
  <c r="AI306" i="8"/>
  <c r="AI234" i="8"/>
  <c r="AI323" i="8"/>
  <c r="AI287" i="8"/>
  <c r="AI251" i="8"/>
  <c r="AI210" i="8"/>
  <c r="AI143" i="8"/>
  <c r="AI35" i="8"/>
  <c r="AI173" i="8"/>
  <c r="AI101" i="8"/>
  <c r="AI65" i="8"/>
  <c r="AI318" i="8"/>
  <c r="AI282" i="8"/>
  <c r="AI227" i="8"/>
  <c r="AI299" i="8"/>
  <c r="AI263" i="8"/>
  <c r="AI203" i="8"/>
  <c r="AI95" i="8"/>
  <c r="AI222" i="8"/>
  <c r="AI312" i="8"/>
  <c r="AI311" i="8"/>
  <c r="AI191" i="8"/>
  <c r="AI185" i="8"/>
  <c r="AI324" i="8"/>
  <c r="AI252" i="8"/>
  <c r="AI305" i="8"/>
  <c r="AI269" i="8"/>
  <c r="AI233" i="8"/>
  <c r="AI179" i="8"/>
  <c r="AI107" i="8"/>
  <c r="AI71" i="8"/>
  <c r="AI209" i="8"/>
  <c r="AI137" i="8"/>
  <c r="AI29" i="8"/>
  <c r="AI300" i="8"/>
  <c r="AI246" i="8"/>
  <c r="AI204" i="8"/>
  <c r="AI317" i="8"/>
  <c r="AI281" i="8"/>
  <c r="AI245" i="8"/>
  <c r="AI167" i="8"/>
  <c r="AI59" i="8"/>
  <c r="AI221" i="8"/>
  <c r="AI197" i="8"/>
  <c r="AI161" i="8"/>
  <c r="AI125" i="8"/>
  <c r="AI89" i="8"/>
  <c r="AI53" i="8"/>
  <c r="AI17" i="8"/>
  <c r="AI192" i="8"/>
  <c r="AI180" i="8"/>
  <c r="AI162" i="8"/>
  <c r="AI138" i="8"/>
  <c r="AI18" i="8"/>
  <c r="AI198" i="8"/>
  <c r="AI186" i="8"/>
  <c r="AI174" i="8"/>
  <c r="AI168" i="8"/>
  <c r="AI156" i="8"/>
  <c r="AI150" i="8"/>
  <c r="AI144" i="8"/>
  <c r="AI132" i="8"/>
  <c r="AI126" i="8"/>
  <c r="AI120" i="8"/>
  <c r="AI114" i="8"/>
  <c r="AI108" i="8"/>
  <c r="AI102" i="8"/>
  <c r="AI96" i="8"/>
  <c r="AI90" i="8"/>
  <c r="AI84" i="8"/>
  <c r="AI78" i="8"/>
  <c r="AI72" i="8"/>
  <c r="AI66" i="8"/>
  <c r="AI60" i="8"/>
  <c r="AI54" i="8"/>
  <c r="AI48" i="8"/>
  <c r="AI42" i="8"/>
  <c r="AI36" i="8"/>
  <c r="AI30" i="8"/>
  <c r="AI24" i="8"/>
  <c r="AI322" i="8"/>
  <c r="AI310" i="8"/>
  <c r="AI298" i="8"/>
  <c r="AI286" i="8"/>
  <c r="AI274" i="8"/>
  <c r="AI262" i="8"/>
  <c r="AI256" i="8"/>
  <c r="AI244" i="8"/>
  <c r="AI232" i="8"/>
  <c r="AI226" i="8"/>
  <c r="AI214" i="8"/>
  <c r="AI202" i="8"/>
  <c r="AI190" i="8"/>
  <c r="AI184" i="8"/>
  <c r="AI172" i="8"/>
  <c r="AI160" i="8"/>
  <c r="AI148" i="8"/>
  <c r="AI142" i="8"/>
  <c r="AI136" i="8"/>
  <c r="AI130" i="8"/>
  <c r="AI124" i="8"/>
  <c r="AI118" i="8"/>
  <c r="AI112" i="8"/>
  <c r="AI106" i="8"/>
  <c r="AI100" i="8"/>
  <c r="AI94" i="8"/>
  <c r="AI88" i="8"/>
  <c r="AI76" i="8"/>
  <c r="AI70" i="8"/>
  <c r="AI64" i="8"/>
  <c r="AI58" i="8"/>
  <c r="AI52" i="8"/>
  <c r="AI46" i="8"/>
  <c r="AI40" i="8"/>
  <c r="AI34" i="8"/>
  <c r="AI28" i="8"/>
  <c r="AI22" i="8"/>
  <c r="AI16" i="8"/>
  <c r="AI316" i="8"/>
  <c r="AI304" i="8"/>
  <c r="AI292" i="8"/>
  <c r="AI280" i="8"/>
  <c r="AI268" i="8"/>
  <c r="AI250" i="8"/>
  <c r="AI238" i="8"/>
  <c r="AI220" i="8"/>
  <c r="AI208" i="8"/>
  <c r="AI196" i="8"/>
  <c r="AI178" i="8"/>
  <c r="AI166" i="8"/>
  <c r="AI154" i="8"/>
  <c r="AI82" i="8"/>
  <c r="AI327" i="8"/>
  <c r="AI309" i="8"/>
  <c r="AI303" i="8"/>
  <c r="AI297" i="8"/>
  <c r="AI291" i="8"/>
  <c r="AI285" i="8"/>
  <c r="AI279" i="8"/>
  <c r="AI273" i="8"/>
  <c r="AI267" i="8"/>
  <c r="AI261" i="8"/>
  <c r="AI255" i="8"/>
  <c r="AI249" i="8"/>
  <c r="AI243" i="8"/>
  <c r="AI237" i="8"/>
  <c r="AI231" i="8"/>
  <c r="AI225" i="8"/>
  <c r="AI219" i="8"/>
  <c r="AI213" i="8"/>
  <c r="AI207" i="8"/>
  <c r="AI201" i="8"/>
  <c r="AI195" i="8"/>
  <c r="AI189" i="8"/>
  <c r="AI183" i="8"/>
  <c r="AI177" i="8"/>
  <c r="AI171" i="8"/>
  <c r="AI165" i="8"/>
  <c r="AI159" i="8"/>
  <c r="AI153" i="8"/>
  <c r="AI147" i="8"/>
  <c r="AI141" i="8"/>
  <c r="AI135" i="8"/>
  <c r="AI129" i="8"/>
  <c r="AI123" i="8"/>
  <c r="AI117" i="8"/>
  <c r="AI111" i="8"/>
  <c r="AI105" i="8"/>
  <c r="AI99" i="8"/>
  <c r="AI93" i="8"/>
  <c r="AI87" i="8"/>
  <c r="AI81" i="8"/>
  <c r="AI75" i="8"/>
  <c r="AI69" i="8"/>
  <c r="AI63" i="8"/>
  <c r="AI57" i="8"/>
  <c r="AI51" i="8"/>
  <c r="AI45" i="8"/>
  <c r="AI39" i="8"/>
  <c r="AI33" i="8"/>
  <c r="AI27" i="8"/>
  <c r="AI21" i="8"/>
  <c r="AI15" i="8"/>
  <c r="AI315" i="8"/>
  <c r="AI314" i="8"/>
  <c r="AI296" i="8"/>
  <c r="AI284" i="8"/>
  <c r="AI272" i="8"/>
  <c r="AI260" i="8"/>
  <c r="AI242" i="8"/>
  <c r="AI230" i="8"/>
  <c r="AI218" i="8"/>
  <c r="AI206" i="8"/>
  <c r="AI200" i="8"/>
  <c r="AI188" i="8"/>
  <c r="AI176" i="8"/>
  <c r="AI164" i="8"/>
  <c r="AI158" i="8"/>
  <c r="AI146" i="8"/>
  <c r="AI140" i="8"/>
  <c r="AI134" i="8"/>
  <c r="AI128" i="8"/>
  <c r="AI122" i="8"/>
  <c r="AI116" i="8"/>
  <c r="AI110" i="8"/>
  <c r="AI104" i="8"/>
  <c r="AI98" i="8"/>
  <c r="AI92" i="8"/>
  <c r="AI86" i="8"/>
  <c r="AI80" i="8"/>
  <c r="AI74" i="8"/>
  <c r="AI68" i="8"/>
  <c r="AI62" i="8"/>
  <c r="AI56" i="8"/>
  <c r="AI50" i="8"/>
  <c r="AI44" i="8"/>
  <c r="AI38" i="8"/>
  <c r="AI32" i="8"/>
  <c r="AI26" i="8"/>
  <c r="AI20" i="8"/>
  <c r="AI14" i="8"/>
  <c r="AI321" i="8"/>
  <c r="AI320" i="8"/>
  <c r="AI302" i="8"/>
  <c r="AI248" i="8"/>
  <c r="AI326" i="8"/>
  <c r="AI308" i="8"/>
  <c r="AI290" i="8"/>
  <c r="AI278" i="8"/>
  <c r="AI266" i="8"/>
  <c r="AI254" i="8"/>
  <c r="AI236" i="8"/>
  <c r="AI224" i="8"/>
  <c r="AI212" i="8"/>
  <c r="AI194" i="8"/>
  <c r="AI182" i="8"/>
  <c r="AI170" i="8"/>
  <c r="AI152" i="8"/>
  <c r="AI325" i="8"/>
  <c r="AI319" i="8"/>
  <c r="AI313" i="8"/>
  <c r="AI307" i="8"/>
  <c r="AI301" i="8"/>
  <c r="AI295" i="8"/>
  <c r="AI289" i="8"/>
  <c r="AI283" i="8"/>
  <c r="AI277" i="8"/>
  <c r="AI271" i="8"/>
  <c r="AI265" i="8"/>
  <c r="AI259" i="8"/>
  <c r="AI253" i="8"/>
  <c r="AI247" i="8"/>
  <c r="AI241" i="8"/>
  <c r="AI235" i="8"/>
  <c r="AI229" i="8"/>
  <c r="AI223" i="8"/>
  <c r="AI217" i="8"/>
  <c r="AI211" i="8"/>
  <c r="AI205" i="8"/>
  <c r="AI199" i="8"/>
  <c r="AI193" i="8"/>
  <c r="AI187" i="8"/>
  <c r="AI181" i="8"/>
  <c r="AI175" i="8"/>
  <c r="AI169" i="8"/>
  <c r="AI163" i="8"/>
  <c r="AI157" i="8"/>
  <c r="AI151" i="8"/>
  <c r="AI145" i="8"/>
  <c r="AI139" i="8"/>
  <c r="AI133" i="8"/>
  <c r="AI127" i="8"/>
  <c r="AI121" i="8"/>
  <c r="AI115" i="8"/>
  <c r="AI109" i="8"/>
  <c r="AI103" i="8"/>
  <c r="AI97" i="8"/>
  <c r="AI91" i="8"/>
  <c r="AI85" i="8"/>
  <c r="AI79" i="8"/>
  <c r="AI73" i="8"/>
  <c r="AI67" i="8"/>
  <c r="AI61" i="8"/>
  <c r="AI55" i="8"/>
  <c r="AI49" i="8"/>
  <c r="AI43" i="8"/>
  <c r="AI37" i="8"/>
  <c r="AI31" i="8"/>
  <c r="AI25" i="8"/>
  <c r="AI19" i="8"/>
  <c r="AI13" i="8"/>
  <c r="AH203" i="8"/>
  <c r="AH95" i="8"/>
  <c r="AH267" i="8"/>
  <c r="AH159" i="8"/>
  <c r="AH45" i="8"/>
  <c r="AH192" i="8"/>
  <c r="AH83" i="8"/>
  <c r="AH315" i="8"/>
  <c r="AH257" i="8"/>
  <c r="AH149" i="8"/>
  <c r="AH34" i="8"/>
  <c r="AH249" i="8"/>
  <c r="AH141" i="8"/>
  <c r="AH65" i="8"/>
  <c r="AH24" i="8"/>
  <c r="AH239" i="8"/>
  <c r="AH131" i="8"/>
  <c r="AH299" i="8"/>
  <c r="AH273" i="8"/>
  <c r="AH293" i="8"/>
  <c r="AH195" i="8"/>
  <c r="AH87" i="8"/>
  <c r="AH228" i="8"/>
  <c r="AH120" i="8"/>
  <c r="AH291" i="8"/>
  <c r="AH185" i="8"/>
  <c r="AH76" i="8"/>
  <c r="AH33" i="8"/>
  <c r="AH307" i="8"/>
  <c r="AH213" i="8"/>
  <c r="AH105" i="8"/>
  <c r="AH281" i="8"/>
  <c r="AH23" i="8"/>
  <c r="AH167" i="8"/>
  <c r="AH323" i="8"/>
  <c r="AH54" i="8"/>
  <c r="AH317" i="8"/>
  <c r="AH231" i="8"/>
  <c r="AH123" i="8"/>
  <c r="AH264" i="8"/>
  <c r="AH156" i="8"/>
  <c r="AH42" i="8"/>
  <c r="AH221" i="8"/>
  <c r="AH113" i="8"/>
  <c r="AH285" i="8"/>
  <c r="AH309" i="8"/>
  <c r="AH282" i="8"/>
  <c r="AH177" i="8"/>
  <c r="AH325" i="8"/>
  <c r="AH301" i="8"/>
  <c r="AH275" i="8"/>
  <c r="AH246" i="8"/>
  <c r="AH210" i="8"/>
  <c r="AH174" i="8"/>
  <c r="AH138" i="8"/>
  <c r="AH102" i="8"/>
  <c r="AH22" i="8"/>
  <c r="AH324" i="8"/>
  <c r="AH316" i="8"/>
  <c r="AH300" i="8"/>
  <c r="AH292" i="8"/>
  <c r="AH274" i="8"/>
  <c r="AH256" i="8"/>
  <c r="AH238" i="8"/>
  <c r="AH220" i="8"/>
  <c r="AH202" i="8"/>
  <c r="AH184" i="8"/>
  <c r="AH166" i="8"/>
  <c r="AH148" i="8"/>
  <c r="AH130" i="8"/>
  <c r="AH112" i="8"/>
  <c r="AH94" i="8"/>
  <c r="AH84" i="8"/>
  <c r="AH75" i="8"/>
  <c r="AH64" i="8"/>
  <c r="AH53" i="8"/>
  <c r="AH237" i="8"/>
  <c r="AH219" i="8"/>
  <c r="AH191" i="8"/>
  <c r="AH165" i="8"/>
  <c r="AH137" i="8"/>
  <c r="AH111" i="8"/>
  <c r="AH63" i="8"/>
  <c r="AH298" i="8"/>
  <c r="AH30" i="8"/>
  <c r="AH305" i="8"/>
  <c r="AH244" i="8"/>
  <c r="AH40" i="8"/>
  <c r="AH321" i="8"/>
  <c r="AH297" i="8"/>
  <c r="AH216" i="8"/>
  <c r="AH144" i="8"/>
  <c r="AH108" i="8"/>
  <c r="AH81" i="8"/>
  <c r="AH59" i="8"/>
  <c r="AH287" i="8"/>
  <c r="AH261" i="8"/>
  <c r="AH233" i="8"/>
  <c r="AH207" i="8"/>
  <c r="AH189" i="8"/>
  <c r="AH161" i="8"/>
  <c r="AH135" i="8"/>
  <c r="AH107" i="8"/>
  <c r="AH48" i="8"/>
  <c r="AH319" i="8"/>
  <c r="AH311" i="8"/>
  <c r="AH295" i="8"/>
  <c r="AH78" i="8"/>
  <c r="AH69" i="8"/>
  <c r="AH58" i="8"/>
  <c r="AH47" i="8"/>
  <c r="AH16" i="8"/>
  <c r="AH263" i="8"/>
  <c r="AH245" i="8"/>
  <c r="AH209" i="8"/>
  <c r="AH173" i="8"/>
  <c r="AH147" i="8"/>
  <c r="AH119" i="8"/>
  <c r="AH93" i="8"/>
  <c r="AH52" i="8"/>
  <c r="AH306" i="8"/>
  <c r="AH71" i="8"/>
  <c r="AH313" i="8"/>
  <c r="AH262" i="8"/>
  <c r="AH226" i="8"/>
  <c r="AH190" i="8"/>
  <c r="AH154" i="8"/>
  <c r="AH118" i="8"/>
  <c r="AH60" i="8"/>
  <c r="AH29" i="8"/>
  <c r="AH288" i="8"/>
  <c r="AH252" i="8"/>
  <c r="AH180" i="8"/>
  <c r="AH90" i="8"/>
  <c r="AH70" i="8"/>
  <c r="AH17" i="8"/>
  <c r="AH304" i="8"/>
  <c r="AH269" i="8"/>
  <c r="AH243" i="8"/>
  <c r="AH215" i="8"/>
  <c r="AH179" i="8"/>
  <c r="AH153" i="8"/>
  <c r="AH143" i="8"/>
  <c r="AH117" i="8"/>
  <c r="AH89" i="8"/>
  <c r="AH39" i="8"/>
  <c r="AH327" i="8"/>
  <c r="AH303" i="8"/>
  <c r="AH286" i="8"/>
  <c r="AH268" i="8"/>
  <c r="AH250" i="8"/>
  <c r="AH232" i="8"/>
  <c r="AH214" i="8"/>
  <c r="AH196" i="8"/>
  <c r="AH178" i="8"/>
  <c r="AH160" i="8"/>
  <c r="AH142" i="8"/>
  <c r="AH124" i="8"/>
  <c r="AH106" i="8"/>
  <c r="AH88" i="8"/>
  <c r="AH77" i="8"/>
  <c r="AH36" i="8"/>
  <c r="AH27" i="8"/>
  <c r="AH255" i="8"/>
  <c r="AH227" i="8"/>
  <c r="AH201" i="8"/>
  <c r="AH183" i="8"/>
  <c r="AH155" i="8"/>
  <c r="AH129" i="8"/>
  <c r="AH101" i="8"/>
  <c r="AH72" i="8"/>
  <c r="AH41" i="8"/>
  <c r="AH322" i="8"/>
  <c r="AH82" i="8"/>
  <c r="AH21" i="8"/>
  <c r="AH280" i="8"/>
  <c r="AH208" i="8"/>
  <c r="AH172" i="8"/>
  <c r="AH136" i="8"/>
  <c r="AH100" i="8"/>
  <c r="AH51" i="8"/>
  <c r="AH270" i="8"/>
  <c r="AH234" i="8"/>
  <c r="AH198" i="8"/>
  <c r="AH162" i="8"/>
  <c r="AH126" i="8"/>
  <c r="AH312" i="8"/>
  <c r="AH279" i="8"/>
  <c r="AH251" i="8"/>
  <c r="AH225" i="8"/>
  <c r="AH197" i="8"/>
  <c r="AH171" i="8"/>
  <c r="AH125" i="8"/>
  <c r="AH99" i="8"/>
  <c r="AH28" i="8"/>
  <c r="AH318" i="8"/>
  <c r="AH310" i="8"/>
  <c r="AH294" i="8"/>
  <c r="AH276" i="8"/>
  <c r="AH258" i="8"/>
  <c r="AH240" i="8"/>
  <c r="AH222" i="8"/>
  <c r="AH204" i="8"/>
  <c r="AH186" i="8"/>
  <c r="AH168" i="8"/>
  <c r="AH150" i="8"/>
  <c r="AH132" i="8"/>
  <c r="AH114" i="8"/>
  <c r="AH96" i="8"/>
  <c r="AH66" i="8"/>
  <c r="AH57" i="8"/>
  <c r="AH46" i="8"/>
  <c r="AH35" i="8"/>
  <c r="AH15" i="8"/>
  <c r="AH18" i="8"/>
  <c r="AH326" i="8"/>
  <c r="AH314" i="8"/>
  <c r="AH296" i="8"/>
  <c r="AH284" i="8"/>
  <c r="AH266" i="8"/>
  <c r="AH248" i="8"/>
  <c r="AH230" i="8"/>
  <c r="AH212" i="8"/>
  <c r="AH194" i="8"/>
  <c r="AH170" i="8"/>
  <c r="AH152" i="8"/>
  <c r="AH134" i="8"/>
  <c r="AH122" i="8"/>
  <c r="AH116" i="8"/>
  <c r="AH104" i="8"/>
  <c r="AH92" i="8"/>
  <c r="AH80" i="8"/>
  <c r="AH68" i="8"/>
  <c r="AH50" i="8"/>
  <c r="AH32" i="8"/>
  <c r="AH14" i="8"/>
  <c r="AH320" i="8"/>
  <c r="AH308" i="8"/>
  <c r="AH302" i="8"/>
  <c r="AH290" i="8"/>
  <c r="AH278" i="8"/>
  <c r="AH272" i="8"/>
  <c r="AH260" i="8"/>
  <c r="AH254" i="8"/>
  <c r="AH242" i="8"/>
  <c r="AH236" i="8"/>
  <c r="AH224" i="8"/>
  <c r="AH218" i="8"/>
  <c r="AH206" i="8"/>
  <c r="AH200" i="8"/>
  <c r="AH188" i="8"/>
  <c r="AH182" i="8"/>
  <c r="AH176" i="8"/>
  <c r="AH164" i="8"/>
  <c r="AH158" i="8"/>
  <c r="AH146" i="8"/>
  <c r="AH140" i="8"/>
  <c r="AH128" i="8"/>
  <c r="AH110" i="8"/>
  <c r="AH98" i="8"/>
  <c r="AH86" i="8"/>
  <c r="AH74" i="8"/>
  <c r="AH62" i="8"/>
  <c r="AH56" i="8"/>
  <c r="AH44" i="8"/>
  <c r="AH38" i="8"/>
  <c r="AH26" i="8"/>
  <c r="AH20" i="8"/>
  <c r="AH289" i="8"/>
  <c r="AH283" i="8"/>
  <c r="AH277" i="8"/>
  <c r="AH271" i="8"/>
  <c r="AH265" i="8"/>
  <c r="AH259" i="8"/>
  <c r="AH253" i="8"/>
  <c r="AH247" i="8"/>
  <c r="AH241" i="8"/>
  <c r="AH235" i="8"/>
  <c r="AH229" i="8"/>
  <c r="AH223" i="8"/>
  <c r="AH217" i="8"/>
  <c r="AH211" i="8"/>
  <c r="AH205" i="8"/>
  <c r="AH199" i="8"/>
  <c r="AH193" i="8"/>
  <c r="AH187" i="8"/>
  <c r="AH181" i="8"/>
  <c r="AH175" i="8"/>
  <c r="AH169" i="8"/>
  <c r="AH163" i="8"/>
  <c r="AH157" i="8"/>
  <c r="AH151" i="8"/>
  <c r="AH145" i="8"/>
  <c r="AH139" i="8"/>
  <c r="AH133" i="8"/>
  <c r="AH127" i="8"/>
  <c r="AH121" i="8"/>
  <c r="AH115" i="8"/>
  <c r="AH109" i="8"/>
  <c r="AH103" i="8"/>
  <c r="AH97" i="8"/>
  <c r="AH91" i="8"/>
  <c r="AH85" i="8"/>
  <c r="AH79" i="8"/>
  <c r="AH73" i="8"/>
  <c r="AH67" i="8"/>
  <c r="AH61" i="8"/>
  <c r="AH55" i="8"/>
  <c r="AH49" i="8"/>
  <c r="AH43" i="8"/>
  <c r="AH37" i="8"/>
  <c r="AH31" i="8"/>
  <c r="AH25" i="8"/>
  <c r="AH19" i="8"/>
  <c r="AH13" i="8"/>
  <c r="E6" i="8"/>
  <c r="B12" i="8"/>
  <c r="B18" i="4"/>
  <c r="B12" i="4"/>
  <c r="AK126" i="8" a="1"/>
  <c r="AK177" i="8" a="1"/>
  <c r="AK60" i="8" a="1"/>
  <c r="AK236" i="8" a="1"/>
  <c r="AJ209" i="8" a="1"/>
  <c r="AJ33" i="8" a="1"/>
  <c r="AK161" i="8" a="1"/>
  <c r="AK230" i="8" a="1"/>
  <c r="AK292" i="8" a="1"/>
  <c r="AK38" i="8" a="1"/>
  <c r="AK160" i="8" a="1"/>
  <c r="AK189" i="8" a="1"/>
  <c r="AK301" i="8" a="1"/>
  <c r="AJ174" i="8" a="1"/>
  <c r="AJ147" i="8" a="1"/>
  <c r="AK143" i="8" a="1"/>
  <c r="AK321" i="8" a="1"/>
  <c r="AJ23" i="8" a="1"/>
  <c r="AJ302" i="8" a="1"/>
  <c r="AK178" i="8" a="1"/>
  <c r="AK261" i="8" a="1"/>
  <c r="AK249" i="8" a="1"/>
  <c r="AJ246" i="8" a="1"/>
  <c r="AJ271" i="8" a="1"/>
  <c r="AB197" i="8" a="1"/>
  <c r="AK5" i="8" a="1"/>
  <c r="AK224" i="8" a="1"/>
  <c r="AK181" i="8" a="1"/>
  <c r="AJ272" i="8" a="1"/>
  <c r="AB70" i="8" a="1"/>
  <c r="AB272" i="8" a="1"/>
  <c r="AB21" i="8" a="1"/>
  <c r="AA177" i="8" a="1"/>
  <c r="AA192" i="8" a="1"/>
  <c r="AK226" i="8" a="1"/>
  <c r="AJ11" i="8" a="1"/>
  <c r="AJ315" i="8" a="1"/>
  <c r="AB60" i="8" a="1"/>
  <c r="AB63" i="8" a="1"/>
  <c r="AA197" i="8" a="1"/>
  <c r="AK243" i="8" a="1"/>
  <c r="AJ51" i="8" a="1"/>
  <c r="AK265" i="8" a="1"/>
  <c r="AJ7" i="8" a="1"/>
  <c r="AH8" i="8" a="1"/>
  <c r="AB140" i="8" a="1"/>
  <c r="AB237" i="8" a="1"/>
  <c r="AA78" i="8" a="1"/>
  <c r="AK241" i="8" a="1"/>
  <c r="AJ19" i="8" a="1"/>
  <c r="AK123" i="8" a="1"/>
  <c r="AJ69" i="8" a="1"/>
  <c r="AK85" i="8" a="1"/>
  <c r="AJ80" i="8" a="1"/>
  <c r="AK185" i="8" a="1"/>
  <c r="AB4" i="8" a="1"/>
  <c r="AB200" i="8" a="1"/>
  <c r="AA131" i="8" a="1"/>
  <c r="AA323" i="8" a="1"/>
  <c r="Z17" i="8" a="1"/>
  <c r="Z37" i="8" a="1"/>
  <c r="Y274" i="8" a="1"/>
  <c r="Y57" i="8" a="1"/>
  <c r="S46" i="8" a="1"/>
  <c r="AJ228" i="8" a="1"/>
  <c r="AB6" i="8" a="1"/>
  <c r="AB62" i="8" a="1"/>
  <c r="AA159" i="8" a="1"/>
  <c r="Z10" i="8" a="1"/>
  <c r="Z210" i="8" a="1"/>
  <c r="Z121" i="8" a="1"/>
  <c r="Y102" i="8" a="1"/>
  <c r="AJ71" i="8" a="1"/>
  <c r="AJ154" i="8" a="1"/>
  <c r="AB238" i="8" a="1"/>
  <c r="AB258" i="8" a="1"/>
  <c r="AA72" i="8" a="1"/>
  <c r="AA266" i="8" a="1"/>
  <c r="Z233" i="8" a="1"/>
  <c r="Z117" i="8" a="1"/>
  <c r="Y101" i="8" a="1"/>
  <c r="AJ81" i="8" a="1"/>
  <c r="AJ25" i="8" a="1"/>
  <c r="AJ141" i="8" a="1"/>
  <c r="AJ312" i="8" a="1"/>
  <c r="AB89" i="8" a="1"/>
  <c r="AA112" i="8" a="1"/>
  <c r="AA247" i="8" a="1"/>
  <c r="Z72" i="8" a="1"/>
  <c r="Y16" i="8" a="1"/>
  <c r="Y139" i="8" a="1"/>
  <c r="S124" i="8" a="1"/>
  <c r="S140" i="8" a="1"/>
  <c r="S241" i="8" a="1"/>
  <c r="R174" i="8" a="1"/>
  <c r="AB207" i="8" a="1"/>
  <c r="AA173" i="8" a="1"/>
  <c r="AA313" i="8" a="1"/>
  <c r="Z129" i="8" a="1"/>
  <c r="Y310" i="8" a="1"/>
  <c r="Y69" i="8" a="1"/>
  <c r="S287" i="8" a="1"/>
  <c r="S75" i="8" a="1"/>
  <c r="R166" i="8" a="1"/>
  <c r="AB293" i="8" a="1"/>
  <c r="AB64" i="8" a="1"/>
  <c r="AB97" i="8" a="1"/>
  <c r="AA141" i="8" a="1"/>
  <c r="Z65" i="8" a="1"/>
  <c r="Z123" i="8" a="1"/>
  <c r="Y229" i="8" a="1"/>
  <c r="Y55" i="8" a="1"/>
  <c r="S138" i="8" a="1"/>
  <c r="S135" i="8" a="1"/>
  <c r="AJ268" i="8" a="1"/>
  <c r="AB103" i="8" a="1"/>
  <c r="AB24" i="8" a="1"/>
  <c r="AB256" i="8" a="1"/>
  <c r="AJ285" i="8" a="1"/>
  <c r="AB252" i="8" a="1"/>
  <c r="AA97" i="8" a="1"/>
  <c r="Z272" i="8" a="1"/>
  <c r="Y300" i="8" a="1"/>
  <c r="S256" i="8" a="1"/>
  <c r="S44" i="8" a="1"/>
  <c r="R293" i="8" a="1"/>
  <c r="AK274" i="8" a="1"/>
  <c r="AK145" i="8" a="1"/>
  <c r="AK208" i="8" a="1"/>
  <c r="AK129" i="8" a="1"/>
  <c r="AJ4" i="8" a="1"/>
  <c r="AJ109" i="8" a="1"/>
  <c r="AJ243" i="8" a="1"/>
  <c r="AK239" i="8" a="1"/>
  <c r="AK45" i="8" a="1"/>
  <c r="AK107" i="8" a="1"/>
  <c r="AK116" i="8" a="1"/>
  <c r="AK234" i="8" a="1"/>
  <c r="AK32" i="8" a="1"/>
  <c r="AJ244" i="8" a="1"/>
  <c r="AJ210" i="8" a="1"/>
  <c r="AK22" i="8" a="1"/>
  <c r="AK162" i="8" a="1"/>
  <c r="AK69" i="8" a="1"/>
  <c r="AJ36" i="8" a="1"/>
  <c r="AJ75" i="8" a="1"/>
  <c r="AK282" i="8" a="1"/>
  <c r="AK140" i="8" a="1"/>
  <c r="AJ262" i="8" a="1"/>
  <c r="AJ327" i="8" a="1"/>
  <c r="AJ3" i="8" a="1"/>
  <c r="AB109" i="8" a="1"/>
  <c r="AK48" i="8" a="1"/>
  <c r="AK49" i="8" a="1"/>
  <c r="AJ58" i="8" a="1"/>
  <c r="AJ273" i="8" a="1"/>
  <c r="AB17" i="8" a="1"/>
  <c r="AB128" i="8" a="1"/>
  <c r="AA226" i="8" a="1"/>
  <c r="AA133" i="8" a="1"/>
  <c r="Z22" i="8" a="1"/>
  <c r="AK223" i="8" a="1"/>
  <c r="AJ168" i="8" a="1"/>
  <c r="AB76" i="8" a="1"/>
  <c r="AB300" i="8" a="1"/>
  <c r="AB205" i="8" a="1"/>
  <c r="AA205" i="8" a="1"/>
  <c r="AJ184" i="8" a="1"/>
  <c r="AJ63" i="8" a="1"/>
  <c r="AJ196" i="8" a="1"/>
  <c r="AJ231" i="8" a="1"/>
  <c r="AB244" i="8" a="1"/>
  <c r="AB61" i="8" a="1"/>
  <c r="AA100" i="8" a="1"/>
  <c r="AK262" i="8" a="1"/>
  <c r="AJ47" i="8" a="1"/>
  <c r="AK298" i="8" a="1"/>
  <c r="AJ53" i="8" a="1"/>
  <c r="AK316" i="8" a="1"/>
  <c r="AJ59" i="8" a="1"/>
  <c r="AK245" i="8" a="1"/>
  <c r="AJ299" i="8" a="1"/>
  <c r="AB59" i="8" a="1"/>
  <c r="AB164" i="8" a="1"/>
  <c r="AA325" i="8" a="1"/>
  <c r="AA272" i="8" a="1"/>
  <c r="Z42" i="8" a="1"/>
  <c r="Z254" i="8" a="1"/>
  <c r="Y227" i="8" a="1"/>
  <c r="Y318" i="8" a="1"/>
  <c r="S197" i="8" a="1"/>
  <c r="AJ252" i="8" a="1"/>
  <c r="AB57" i="8" a="1"/>
  <c r="AA268" i="8" a="1"/>
  <c r="AA50" i="8" a="1"/>
  <c r="Z119" i="8" a="1"/>
  <c r="Z32" i="8" a="1"/>
  <c r="Y136" i="8" a="1"/>
  <c r="Y276" i="8" a="1"/>
  <c r="AJ9" i="8" a="1"/>
  <c r="AJ183" i="8" a="1"/>
  <c r="AB18" i="8" a="1"/>
  <c r="AB249" i="8" a="1"/>
  <c r="AA187" i="8" a="1"/>
  <c r="Z28" i="8" a="1"/>
  <c r="Z222" i="8" a="1"/>
  <c r="Z182" i="8" a="1"/>
  <c r="Y114" i="8" a="1"/>
  <c r="AK155" i="8" a="1"/>
  <c r="AK112" i="8" a="1"/>
  <c r="AK113" i="8" a="1"/>
  <c r="AI5" i="8" a="1"/>
  <c r="AB254" i="8" a="1"/>
  <c r="AA18" i="8" a="1"/>
  <c r="AA105" i="8" a="1"/>
  <c r="Z175" i="8" a="1"/>
  <c r="Y59" i="8" a="1"/>
  <c r="Y111" i="8" a="1"/>
  <c r="S29" i="8" a="1"/>
  <c r="S111" i="8" a="1"/>
  <c r="R232" i="8" a="1"/>
  <c r="AJ156" i="8" a="1"/>
  <c r="AB222" i="8" a="1"/>
  <c r="AA79" i="8" a="1"/>
  <c r="Z298" i="8" a="1"/>
  <c r="Z21" i="8" a="1"/>
  <c r="Y78" i="8" a="1"/>
  <c r="Y175" i="8" a="1"/>
  <c r="S299" i="8" a="1"/>
  <c r="S301" i="8" a="1"/>
  <c r="R95" i="8" a="1"/>
  <c r="AB217" i="8" a="1"/>
  <c r="AB251" i="8" a="1"/>
  <c r="AA256" i="8" a="1"/>
  <c r="AA182" i="8" a="1"/>
  <c r="Z186" i="8" a="1"/>
  <c r="Y124" i="8" a="1"/>
  <c r="Y301" i="8" a="1"/>
  <c r="S220" i="8" a="1"/>
  <c r="S183" i="8" a="1"/>
  <c r="R34" i="8" a="1"/>
  <c r="AB82" i="8" a="1"/>
  <c r="AJ151" i="8" a="1"/>
  <c r="AB8" i="8" a="1"/>
  <c r="AB168" i="8" a="1"/>
  <c r="AB292" i="8" a="1"/>
  <c r="AA179" i="8" a="1"/>
  <c r="Z304" i="8" a="1"/>
  <c r="Z31" i="8" a="1"/>
  <c r="Y80" i="8" a="1"/>
  <c r="S311" i="8" a="1"/>
  <c r="S79" i="8" a="1"/>
  <c r="R252" i="8" a="1"/>
  <c r="AK215" i="8" a="1"/>
  <c r="AK68" i="8" a="1"/>
  <c r="AK95" i="8" a="1"/>
  <c r="AK229" i="8" a="1"/>
  <c r="AJ311" i="8" a="1"/>
  <c r="AJ175" i="8" a="1"/>
  <c r="AK142" i="8" a="1"/>
  <c r="AK117" i="8" a="1"/>
  <c r="AK76" i="8" a="1"/>
  <c r="AK228" i="8" a="1"/>
  <c r="AK277" i="8" a="1"/>
  <c r="AK84" i="8" a="1"/>
  <c r="AK176" i="8" a="1"/>
  <c r="AJ239" i="8" a="1"/>
  <c r="AJ289" i="8" a="1"/>
  <c r="AK209" i="8" a="1"/>
  <c r="AK98" i="8" a="1"/>
  <c r="AJ178" i="8" a="1"/>
  <c r="AJ320" i="8" a="1"/>
  <c r="AJ157" i="8" a="1"/>
  <c r="AK102" i="8" a="1"/>
  <c r="AK74" i="8" a="1"/>
  <c r="AJ263" i="8" a="1"/>
  <c r="AJ32" i="8" a="1"/>
  <c r="AB281" i="8" a="1"/>
  <c r="AK268" i="8" a="1"/>
  <c r="AK175" i="8" a="1"/>
  <c r="AK191" i="8" a="1"/>
  <c r="AJ221" i="8" a="1"/>
  <c r="AJ223" i="8" a="1"/>
  <c r="AB132" i="8" a="1"/>
  <c r="AB255" i="8" a="1"/>
  <c r="AA263" i="8" a="1"/>
  <c r="AA246" i="8" a="1"/>
  <c r="Z251" i="8" a="1"/>
  <c r="AJ64" i="8" a="1"/>
  <c r="AJ309" i="8" a="1"/>
  <c r="AB101" i="8" a="1"/>
  <c r="AB323" i="8" a="1"/>
  <c r="AA304" i="8" a="1"/>
  <c r="AK168" i="8" a="1"/>
  <c r="AJ72" i="8" a="1"/>
  <c r="AK180" i="8" a="1"/>
  <c r="AJ84" i="8" a="1"/>
  <c r="AI8" i="8" a="1"/>
  <c r="AB311" i="8" a="1"/>
  <c r="AB201" i="8" a="1"/>
  <c r="AA137" i="8" a="1"/>
  <c r="AK284" i="8" a="1"/>
  <c r="AJ99" i="8" a="1"/>
  <c r="AK297" i="8" a="1"/>
  <c r="AJ182" i="8" a="1"/>
  <c r="AK267" i="8" a="1"/>
  <c r="AJ291" i="8" a="1"/>
  <c r="AK219" i="8" a="1"/>
  <c r="AJ86" i="8" a="1"/>
  <c r="AB38" i="8" a="1"/>
  <c r="AA166" i="8" a="1"/>
  <c r="AA180" i="8" a="1"/>
  <c r="Z244" i="8" a="1"/>
  <c r="Z111" i="8" a="1"/>
  <c r="Y58" i="8" a="1"/>
  <c r="Y283" i="8" a="1"/>
  <c r="Y306" i="8" a="1"/>
  <c r="AJ136" i="8" a="1"/>
  <c r="AB239" i="8" a="1"/>
  <c r="AB260" i="8" a="1"/>
  <c r="AA15" i="8" a="1"/>
  <c r="AA315" i="8" a="1"/>
  <c r="Z246" i="8" a="1"/>
  <c r="Z181" i="8" a="1"/>
  <c r="Y161" i="8" a="1"/>
  <c r="AK290" i="8" a="1"/>
  <c r="AK71" i="8" a="1"/>
  <c r="AH11" i="8" a="1"/>
  <c r="AB39" i="8" a="1"/>
  <c r="AA59" i="8" a="1"/>
  <c r="AA73" i="8" a="1"/>
  <c r="Z323" i="8" a="1"/>
  <c r="Z67" i="8" a="1"/>
  <c r="Y220" i="8" a="1"/>
  <c r="AJ83" i="8" a="1"/>
  <c r="AJ126" i="8" a="1"/>
  <c r="AJ113" i="8" a="1"/>
  <c r="AJ215" i="8" a="1"/>
  <c r="AB40" i="8" a="1"/>
  <c r="AB301" i="8" a="1"/>
  <c r="AA69" i="8" a="1"/>
  <c r="Z47" i="8" a="1"/>
  <c r="Z15" i="8" a="1"/>
  <c r="Y181" i="8" a="1"/>
  <c r="Y236" i="8" a="1"/>
  <c r="S120" i="8" a="1"/>
  <c r="S33" i="8" a="1"/>
  <c r="R233" i="8" a="1"/>
  <c r="AB107" i="8" a="1"/>
  <c r="AA118" i="8" a="1"/>
  <c r="AA229" i="8" a="1"/>
  <c r="Z78" i="8" a="1"/>
  <c r="Y22" i="8" a="1"/>
  <c r="Y299" i="8" a="1"/>
  <c r="S130" i="8" a="1"/>
  <c r="S151" i="8" a="1"/>
  <c r="S249" i="8" a="1"/>
  <c r="AJ206" i="8" a="1"/>
  <c r="AJ256" i="8" a="1"/>
  <c r="AB93" i="8" a="1"/>
  <c r="AA81" i="8" a="1"/>
  <c r="Z214" i="8" a="1"/>
  <c r="AK11" i="8" a="1"/>
  <c r="AK92" i="8" a="1"/>
  <c r="AK55" i="8" a="1"/>
  <c r="AJ220" i="8" a="1"/>
  <c r="AJ111" i="8" a="1"/>
  <c r="AK101" i="8" a="1"/>
  <c r="AK266" i="8" a="1"/>
  <c r="AK201" i="8" a="1"/>
  <c r="AK197" i="8" a="1"/>
  <c r="AK182" i="8" a="1"/>
  <c r="AJ102" i="8" a="1"/>
  <c r="AJ55" i="8" a="1"/>
  <c r="AK295" i="8" a="1"/>
  <c r="AJ322" i="8" a="1"/>
  <c r="AJ325" i="8" a="1"/>
  <c r="AK311" i="8" a="1"/>
  <c r="AK225" i="8" a="1"/>
  <c r="AJ282" i="8" a="1"/>
  <c r="AB202" i="8" a="1"/>
  <c r="AK269" i="8" a="1"/>
  <c r="AK326" i="8" a="1"/>
  <c r="AJ5" i="8" a="1"/>
  <c r="AI3" i="8" a="1"/>
  <c r="AB141" i="8" a="1"/>
  <c r="AA119" i="8" a="1"/>
  <c r="AA219" i="8" a="1"/>
  <c r="AK150" i="8" a="1"/>
  <c r="AJ27" i="8" a="1"/>
  <c r="AB269" i="8" a="1"/>
  <c r="AB85" i="8" a="1"/>
  <c r="AK264" i="8" a="1"/>
  <c r="AJ308" i="8" a="1"/>
  <c r="AJ82" i="8" a="1"/>
  <c r="AJ213" i="8" a="1"/>
  <c r="AB156" i="8" a="1"/>
  <c r="AA28" i="8" a="1"/>
  <c r="AK186" i="8" a="1"/>
  <c r="AJ171" i="8" a="1"/>
  <c r="AJ310" i="8" a="1"/>
  <c r="AK294" i="8" a="1"/>
  <c r="AJ301" i="8" a="1"/>
  <c r="AJ130" i="8" a="1"/>
  <c r="AB96" i="8" a="1"/>
  <c r="AA29" i="8" a="1"/>
  <c r="AA212" i="8" a="1"/>
  <c r="Z135" i="8" a="1"/>
  <c r="Y202" i="8" a="1"/>
  <c r="Y222" i="8" a="1"/>
  <c r="AK211" i="8" a="1"/>
  <c r="AB161" i="8" a="1"/>
  <c r="AA178" i="8" a="1"/>
  <c r="AA281" i="8" a="1"/>
  <c r="Z126" i="8" a="1"/>
  <c r="Y64" i="8" a="1"/>
  <c r="Y248" i="8" a="1"/>
  <c r="AK195" i="8" a="1"/>
  <c r="AB185" i="8" a="1"/>
  <c r="AA190" i="8" a="1"/>
  <c r="AA237" i="8" a="1"/>
  <c r="Z138" i="8" a="1"/>
  <c r="Y76" i="8" a="1"/>
  <c r="AJ133" i="8" a="1"/>
  <c r="AI7" i="8" a="1"/>
  <c r="AJ124" i="8" a="1"/>
  <c r="AB298" i="8" a="1"/>
  <c r="AA167" i="8" a="1"/>
  <c r="Z292" i="8" a="1"/>
  <c r="Z74" i="8" a="1"/>
  <c r="Y19" i="8" a="1"/>
  <c r="S293" i="8" a="1"/>
  <c r="S57" i="8" a="1"/>
  <c r="AJ40" i="8" a="1"/>
  <c r="AB45" i="8" a="1"/>
  <c r="AA104" i="8" a="1"/>
  <c r="Z61" i="8" a="1"/>
  <c r="Y49" i="8" a="1"/>
  <c r="S286" i="8" a="1"/>
  <c r="S207" i="8" a="1"/>
  <c r="AJ52" i="8" a="1"/>
  <c r="AJ177" i="8" a="1"/>
  <c r="AA130" i="8" a="1"/>
  <c r="AA283" i="8" a="1"/>
  <c r="Z45" i="8" a="1"/>
  <c r="Y121" i="8" a="1"/>
  <c r="S142" i="8" a="1"/>
  <c r="S199" i="8" a="1"/>
  <c r="R322" i="8" a="1"/>
  <c r="AB243" i="8" a="1"/>
  <c r="AB162" i="8" a="1"/>
  <c r="AB30" i="8" a="1"/>
  <c r="AB118" i="8" a="1"/>
  <c r="AA261" i="8" a="1"/>
  <c r="Z201" i="8" a="1"/>
  <c r="Y242" i="8" a="1"/>
  <c r="S161" i="8" a="1"/>
  <c r="R70" i="8" a="1"/>
  <c r="R81" i="8" a="1"/>
  <c r="Q160" i="8" a="1"/>
  <c r="Q181" i="8" a="1"/>
  <c r="Q211" i="8" a="1"/>
  <c r="P120" i="8" a="1"/>
  <c r="P85" i="8" a="1"/>
  <c r="J245" i="8" a="1"/>
  <c r="J237" i="8" a="1"/>
  <c r="I11" i="8" a="1"/>
  <c r="I175" i="8" a="1"/>
  <c r="H154" i="8" a="1"/>
  <c r="H231" i="8" a="1"/>
  <c r="H228" i="8" a="1"/>
  <c r="G98" i="8" a="1"/>
  <c r="AB145" i="8" a="1"/>
  <c r="AA9" i="8" a="1"/>
  <c r="Z303" i="8" a="1"/>
  <c r="Y108" i="8" a="1"/>
  <c r="S70" i="8" a="1"/>
  <c r="S266" i="8" a="1"/>
  <c r="R113" i="8" a="1"/>
  <c r="R261" i="8" a="1"/>
  <c r="Q310" i="8" a="1"/>
  <c r="Q225" i="8" a="1"/>
  <c r="P88" i="8" a="1"/>
  <c r="P294" i="8" a="1"/>
  <c r="P325" i="8" a="1"/>
  <c r="J303" i="8" a="1"/>
  <c r="J243" i="8" a="1"/>
  <c r="I161" i="8" a="1"/>
  <c r="I153" i="8" a="1"/>
  <c r="H304" i="8" a="1"/>
  <c r="H79" i="8" a="1"/>
  <c r="AB86" i="8" a="1"/>
  <c r="AA297" i="8" a="1"/>
  <c r="Z273" i="8" a="1"/>
  <c r="Y324" i="8" a="1"/>
  <c r="S274" i="8" a="1"/>
  <c r="AA202" i="8" a="1"/>
  <c r="Z58" i="8" a="1"/>
  <c r="Z141" i="8" a="1"/>
  <c r="Y38" i="8" a="1"/>
  <c r="S83" i="8" a="1"/>
  <c r="S282" i="8" a="1"/>
  <c r="R168" i="8" a="1"/>
  <c r="R219" i="8" a="1"/>
  <c r="Q161" i="8" a="1"/>
  <c r="Q163" i="8" a="1"/>
  <c r="P258" i="8" a="1"/>
  <c r="P327" i="8" a="1"/>
  <c r="J178" i="8" a="1"/>
  <c r="J27" i="8" a="1"/>
  <c r="J186" i="8" a="1"/>
  <c r="I15" i="8" a="1"/>
  <c r="I93" i="8" a="1"/>
  <c r="H251" i="8" a="1"/>
  <c r="H8" i="8" a="1"/>
  <c r="AA83" i="8" a="1"/>
  <c r="Z220" i="8" a="1"/>
  <c r="Z171" i="8" a="1"/>
  <c r="Y313" i="8" a="1"/>
  <c r="AK188" i="8" a="1"/>
  <c r="AA251" i="8" a="1"/>
  <c r="Z203" i="8" a="1"/>
  <c r="Z267" i="8" a="1"/>
  <c r="Y309" i="8" a="1"/>
  <c r="AJ241" i="8" a="1"/>
  <c r="AA87" i="8" a="1"/>
  <c r="Z59" i="8" a="1"/>
  <c r="Y118" i="8" a="1"/>
  <c r="Y303" i="8" a="1"/>
  <c r="AB286" i="8" a="1"/>
  <c r="AB123" i="8" a="1"/>
  <c r="AA314" i="8" a="1"/>
  <c r="Z170" i="8" a="1"/>
  <c r="Y273" i="8" a="1"/>
  <c r="S250" i="8" a="1"/>
  <c r="Z43" i="8" a="1"/>
  <c r="S288" i="8" a="1"/>
  <c r="R24" i="8" a="1"/>
  <c r="R284" i="8" a="1"/>
  <c r="Q314" i="8" a="1"/>
  <c r="P256" i="8" a="1"/>
  <c r="P247" i="8" a="1"/>
  <c r="J6" i="8" a="1"/>
  <c r="J45" i="8" a="1"/>
  <c r="I61" i="8" a="1"/>
  <c r="H184" i="8" a="1"/>
  <c r="H31" i="8" a="1"/>
  <c r="G251" i="8" a="1"/>
  <c r="G230" i="8" a="1"/>
  <c r="Q138" i="8" a="1"/>
  <c r="P129" i="8" a="1"/>
  <c r="J247" i="8" a="1"/>
  <c r="AB44" i="8" a="1"/>
  <c r="Y285" i="8" a="1"/>
  <c r="S73" i="8" a="1"/>
  <c r="R171" i="8" a="1"/>
  <c r="Q196" i="8" a="1"/>
  <c r="Q277" i="8" a="1"/>
  <c r="P149" i="8" a="1"/>
  <c r="P67" i="8" a="1"/>
  <c r="J123" i="8" a="1"/>
  <c r="I118" i="8" a="1"/>
  <c r="I51" i="8" a="1"/>
  <c r="H119" i="8" a="1"/>
  <c r="H216" i="8" a="1"/>
  <c r="G209" i="8" a="1"/>
  <c r="G246" i="8" a="1"/>
  <c r="Q15" i="8" a="1"/>
  <c r="P97" i="8" a="1"/>
  <c r="J309" i="8" a="1"/>
  <c r="AA301" i="8" a="1"/>
  <c r="Y93" i="8" a="1"/>
  <c r="S319" i="8" a="1"/>
  <c r="R99" i="8" a="1"/>
  <c r="AB230" i="8" a="1"/>
  <c r="Y156" i="8" a="1"/>
  <c r="S289" i="8" a="1"/>
  <c r="R98" i="8" a="1"/>
  <c r="Q118" i="8" a="1"/>
  <c r="Q201" i="8" a="1"/>
  <c r="P71" i="8" a="1"/>
  <c r="P98" i="8" a="1"/>
  <c r="J157" i="8" a="1"/>
  <c r="I40" i="8" a="1"/>
  <c r="I291" i="8" a="1"/>
  <c r="H41" i="8" a="1"/>
  <c r="H111" i="8" a="1"/>
  <c r="G131" i="8" a="1"/>
  <c r="G206" i="8" a="1"/>
  <c r="Q38" i="8" a="1"/>
  <c r="P323" i="8" a="1"/>
  <c r="P290" i="8" a="1"/>
  <c r="AA165" i="8" a="1"/>
  <c r="S136" i="8" a="1"/>
  <c r="S259" i="8" a="1"/>
  <c r="R43" i="8" a="1"/>
  <c r="Q60" i="8" a="1"/>
  <c r="Y40" i="8" a="1"/>
  <c r="S291" i="8" a="1"/>
  <c r="R60" i="8" a="1"/>
  <c r="R177" i="8" a="1"/>
  <c r="AK89" i="8" a="1"/>
  <c r="AK205" i="8" a="1"/>
  <c r="AK206" i="8" a="1"/>
  <c r="AJ292" i="8" a="1"/>
  <c r="AJ45" i="8" a="1"/>
  <c r="AK306" i="8" a="1"/>
  <c r="AK4" i="8" a="1"/>
  <c r="AK302" i="8" a="1"/>
  <c r="AK41" i="8" a="1"/>
  <c r="AK91" i="8" a="1"/>
  <c r="AJ192" i="8" a="1"/>
  <c r="AK94" i="8" a="1"/>
  <c r="AK248" i="8" a="1"/>
  <c r="AJ95" i="8" a="1"/>
  <c r="AJ307" i="8" a="1"/>
  <c r="AK30" i="8" a="1"/>
  <c r="AJ46" i="8" a="1"/>
  <c r="AJ123" i="8" a="1"/>
  <c r="AB274" i="8" a="1"/>
  <c r="AK77" i="8" a="1"/>
  <c r="AK127" i="8" a="1"/>
  <c r="AJ119" i="8" a="1"/>
  <c r="AB148" i="8" a="1"/>
  <c r="AB265" i="8" a="1"/>
  <c r="AA191" i="8" a="1"/>
  <c r="AA300" i="8" a="1"/>
  <c r="AK325" i="8" a="1"/>
  <c r="AJ258" i="8" a="1"/>
  <c r="AB144" i="8" a="1"/>
  <c r="AA16" i="8" a="1"/>
  <c r="AK299" i="8" a="1"/>
  <c r="AJ49" i="8" a="1"/>
  <c r="AJ298" i="8" a="1"/>
  <c r="AJ205" i="8" a="1"/>
  <c r="AB49" i="8" a="1"/>
  <c r="AA172" i="8" a="1"/>
  <c r="AK103" i="8" a="1"/>
  <c r="AJ92" i="8" a="1"/>
  <c r="AJ155" i="8" a="1"/>
  <c r="AK135" i="8" a="1"/>
  <c r="AJ248" i="8" a="1"/>
  <c r="AJ12" i="8" a="1"/>
  <c r="AB37" i="8" a="1"/>
  <c r="AA227" i="8" a="1"/>
  <c r="AA168" i="8" a="1"/>
  <c r="Z249" i="8" a="1"/>
  <c r="Y11" i="8" a="1"/>
  <c r="Y249" i="8" a="1"/>
  <c r="AK309" i="8" a="1"/>
  <c r="AB102" i="8" a="1"/>
  <c r="AA35" i="8" a="1"/>
  <c r="AA222" i="8" a="1"/>
  <c r="Z146" i="8" a="1"/>
  <c r="Y208" i="8" a="1"/>
  <c r="AK65" i="8" a="1"/>
  <c r="AJ77" i="8" a="1"/>
  <c r="AB114" i="8" a="1"/>
  <c r="AA280" i="8" a="1"/>
  <c r="AA258" i="8" a="1"/>
  <c r="Z207" i="8" a="1"/>
  <c r="Y148" i="8" a="1"/>
  <c r="AJ297" i="8" a="1"/>
  <c r="AK36" i="8" a="1"/>
  <c r="AJ287" i="8" a="1"/>
  <c r="AB227" i="8" a="1"/>
  <c r="AA126" i="8" a="1"/>
  <c r="Z275" i="8" a="1"/>
  <c r="Y106" i="8" a="1"/>
  <c r="Y234" i="8" a="1"/>
  <c r="S42" i="8" a="1"/>
  <c r="R16" i="8" a="1"/>
  <c r="AJ135" i="8" a="1"/>
  <c r="AB73" i="8" a="1"/>
  <c r="AA240" i="8" a="1"/>
  <c r="Z261" i="8" a="1"/>
  <c r="Y195" i="8" a="1"/>
  <c r="S35" i="8" a="1"/>
  <c r="S153" i="8" a="1"/>
  <c r="AJ159" i="8" a="1"/>
  <c r="AB196" i="8" a="1"/>
  <c r="AA77" i="8" a="1"/>
  <c r="Z118" i="8" a="1"/>
  <c r="Z140" i="8" a="1"/>
  <c r="Y288" i="8" a="1"/>
  <c r="S298" i="8" a="1"/>
  <c r="S163" i="8" a="1"/>
  <c r="R35" i="8" a="1"/>
  <c r="AB68" i="8" a="1"/>
  <c r="AB253" i="8" a="1"/>
  <c r="AB279" i="8" a="1"/>
  <c r="AB83" i="8" a="1"/>
  <c r="AA234" i="8" a="1"/>
  <c r="Z97" i="8" a="1"/>
  <c r="Y151" i="8" a="1"/>
  <c r="S78" i="8" a="1"/>
  <c r="R172" i="8" a="1"/>
  <c r="R8" i="8" a="1"/>
  <c r="Q232" i="8" a="1"/>
  <c r="Q121" i="8" a="1"/>
  <c r="P10" i="8" a="1"/>
  <c r="P192" i="8" a="1"/>
  <c r="P116" i="8" a="1"/>
  <c r="J48" i="8" a="1"/>
  <c r="J127" i="8" a="1"/>
  <c r="I83" i="8" a="1"/>
  <c r="I91" i="8" a="1"/>
  <c r="H226" i="8" a="1"/>
  <c r="H321" i="8" a="1"/>
  <c r="G10" i="8" a="1"/>
  <c r="G319" i="8" a="1"/>
  <c r="AB176" i="8" a="1"/>
  <c r="AA127" i="8" a="1"/>
  <c r="Z116" i="8" a="1"/>
  <c r="Y26" i="8" a="1"/>
  <c r="S166" i="8" a="1"/>
  <c r="S253" i="8" a="1"/>
  <c r="R197" i="8" a="1"/>
  <c r="R153" i="8" a="1"/>
  <c r="Q269" i="8" a="1"/>
  <c r="Q79" i="8" a="1"/>
  <c r="P160" i="8" a="1"/>
  <c r="P213" i="8" a="1"/>
  <c r="P171" i="8" a="1"/>
  <c r="J307" i="8" a="1"/>
  <c r="J129" i="8" a="1"/>
  <c r="I233" i="8" a="1"/>
  <c r="I85" i="8" a="1"/>
  <c r="H17" i="8" a="1"/>
  <c r="H121" i="8" a="1"/>
  <c r="AA34" i="8" a="1"/>
  <c r="AA211" i="8" a="1"/>
  <c r="Z128" i="8" a="1"/>
  <c r="Y74" i="8" a="1"/>
  <c r="S162" i="8" a="1"/>
  <c r="AA71" i="8" a="1"/>
  <c r="Z208" i="8" a="1"/>
  <c r="Z69" i="8" a="1"/>
  <c r="Y225" i="8" a="1"/>
  <c r="S203" i="8" a="1"/>
  <c r="S176" i="8" a="1"/>
  <c r="R37" i="8" a="1"/>
  <c r="R313" i="8" a="1"/>
  <c r="Q305" i="8" a="1"/>
  <c r="Q153" i="8" a="1"/>
  <c r="P53" i="8" a="1"/>
  <c r="P57" i="8" a="1"/>
  <c r="J250" i="8" a="1"/>
  <c r="J74" i="8" a="1"/>
  <c r="I28" i="8" a="1"/>
  <c r="I272" i="8" a="1"/>
  <c r="I320" i="8" a="1"/>
  <c r="H48" i="8" a="1"/>
  <c r="AK187" i="8" a="1"/>
  <c r="AA239" i="8" a="1"/>
  <c r="Z197" i="8" a="1"/>
  <c r="Z187" i="8" a="1"/>
  <c r="Y294" i="8" a="1"/>
  <c r="AJ97" i="8" a="1"/>
  <c r="AA120" i="8" a="1"/>
  <c r="Z41" i="8" a="1"/>
  <c r="Y100" i="8" a="1"/>
  <c r="Y206" i="8" a="1"/>
  <c r="AB280" i="8" a="1"/>
  <c r="AA217" i="8" a="1"/>
  <c r="Z257" i="8" a="1"/>
  <c r="Y250" i="8" a="1"/>
  <c r="Y20" i="8" a="1"/>
  <c r="AB42" i="8" a="1"/>
  <c r="AB314" i="8" a="1"/>
  <c r="AA139" i="8" a="1"/>
  <c r="Z39" i="8" a="1"/>
  <c r="Y302" i="8" a="1"/>
  <c r="AJ191" i="8" a="1"/>
  <c r="Y268" i="8" a="1"/>
  <c r="S182" i="8" a="1"/>
  <c r="R126" i="8" a="1"/>
  <c r="R218" i="8" a="1"/>
  <c r="Q183" i="8" a="1"/>
  <c r="P257" i="8" a="1"/>
  <c r="P267" i="8" a="1"/>
  <c r="J37" i="8" a="1"/>
  <c r="J266" i="8" a="1"/>
  <c r="I79" i="8" a="1"/>
  <c r="H274" i="8" a="1"/>
  <c r="H63" i="8" a="1"/>
  <c r="G29" i="8" a="1"/>
  <c r="G285" i="8" a="1"/>
  <c r="Q273" i="8" a="1"/>
  <c r="P289" i="8" a="1"/>
  <c r="J56" i="8" a="1"/>
  <c r="AA149" i="8" a="1"/>
  <c r="Y254" i="8" a="1"/>
  <c r="S164" i="8" a="1"/>
  <c r="R21" i="8" a="1"/>
  <c r="Q286" i="8" a="1"/>
  <c r="Q19" i="8" a="1"/>
  <c r="P263" i="8" a="1"/>
  <c r="P302" i="8" a="1"/>
  <c r="J259" i="8" a="1"/>
  <c r="I208" i="8" a="1"/>
  <c r="I39" i="8" a="1"/>
  <c r="H209" i="8" a="1"/>
  <c r="H279" i="8" a="1"/>
  <c r="G6" i="8" a="1"/>
  <c r="G218" i="8" a="1"/>
  <c r="Q151" i="8" a="1"/>
  <c r="P324" i="8" a="1"/>
  <c r="I34" i="8" a="1"/>
  <c r="AA324" i="8" a="1"/>
  <c r="S106" i="8" a="1"/>
  <c r="S211" i="8" a="1"/>
  <c r="R145" i="8" a="1"/>
  <c r="AA106" i="8" a="1"/>
  <c r="Y290" i="8" a="1"/>
  <c r="S103" i="8" a="1"/>
  <c r="R315" i="8" a="1"/>
  <c r="Q208" i="8" a="1"/>
  <c r="Q92" i="8" a="1"/>
  <c r="P161" i="8" a="1"/>
  <c r="P33" i="8" a="1"/>
  <c r="J141" i="8" a="1"/>
  <c r="I130" i="8" a="1"/>
  <c r="I8" i="8" a="1"/>
  <c r="H131" i="8" a="1"/>
  <c r="H260" i="8" a="1"/>
  <c r="G233" i="8" a="1"/>
  <c r="G282" i="8" a="1"/>
  <c r="Q308" i="8" a="1"/>
  <c r="P77" i="8" a="1"/>
  <c r="P242" i="8" a="1"/>
  <c r="AA305" i="8" a="1"/>
  <c r="S23" i="8" a="1"/>
  <c r="R82" i="8" a="1"/>
  <c r="R271" i="8" a="1"/>
  <c r="AB84" i="8" a="1"/>
  <c r="Y95" i="8" a="1"/>
  <c r="S158" i="8" a="1"/>
  <c r="R180" i="8" a="1"/>
  <c r="Q40" i="8" a="1"/>
  <c r="Q134" i="8" a="1"/>
  <c r="Z260" i="8" a="1"/>
  <c r="S90" i="8" a="1"/>
  <c r="R137" i="8" a="1"/>
  <c r="R285" i="8" a="1"/>
  <c r="Q180" i="8" a="1"/>
  <c r="Z77" i="8" a="1"/>
  <c r="S263" i="8" a="1"/>
  <c r="Z291" i="8" a="1"/>
  <c r="S170" i="8" a="1"/>
  <c r="Y166" i="8" a="1"/>
  <c r="AB177" i="8" a="1"/>
  <c r="Y293" i="8" a="1"/>
  <c r="AA134" i="8" a="1"/>
  <c r="Y81" i="8" a="1"/>
  <c r="S85" i="8" a="1"/>
  <c r="AK270" i="8" a="1"/>
  <c r="AK64" i="8" a="1"/>
  <c r="AK97" i="8" a="1"/>
  <c r="AJ65" i="8" a="1"/>
  <c r="AJ158" i="8" a="1"/>
  <c r="AK66" i="8" a="1"/>
  <c r="AK148" i="8" a="1"/>
  <c r="AK314" i="8" a="1"/>
  <c r="AK131" i="8" a="1"/>
  <c r="AK9" i="8" a="1"/>
  <c r="AJ237" i="8" a="1"/>
  <c r="AK166" i="8" a="1"/>
  <c r="AK56" i="8" a="1"/>
  <c r="AJ167" i="8" a="1"/>
  <c r="AJ217" i="8" a="1"/>
  <c r="AK174" i="8" a="1"/>
  <c r="AJ118" i="8" a="1"/>
  <c r="AJ229" i="8" a="1"/>
  <c r="AB53" i="8" a="1"/>
  <c r="AK203" i="8" a="1"/>
  <c r="AK194" i="8" a="1"/>
  <c r="AJ60" i="8" a="1"/>
  <c r="AB226" i="8" a="1"/>
  <c r="AB285" i="8" a="1"/>
  <c r="AA60" i="8" a="1"/>
  <c r="AA210" i="8" a="1"/>
  <c r="AK171" i="8" a="1"/>
  <c r="AJ249" i="8" a="1"/>
  <c r="AB170" i="8" a="1"/>
  <c r="AA88" i="8" a="1"/>
  <c r="AK235" i="8" a="1"/>
  <c r="AJ62" i="8" a="1"/>
  <c r="AJ41" i="8" a="1"/>
  <c r="AH4" i="8" a="1"/>
  <c r="AB133" i="8" a="1"/>
  <c r="AA244" i="8" a="1"/>
  <c r="AK315" i="8" a="1"/>
  <c r="AJ296" i="8" a="1"/>
  <c r="AJ305" i="8" a="1"/>
  <c r="AK152" i="8" a="1"/>
  <c r="AJ235" i="8" a="1"/>
  <c r="AJ181" i="8" a="1"/>
  <c r="AB7" i="8" a="1"/>
  <c r="AA42" i="8" a="1"/>
  <c r="Z4" i="8" a="1"/>
  <c r="Z20" i="8" a="1"/>
  <c r="Y83" i="8" a="1"/>
  <c r="Y217" i="8" a="1"/>
  <c r="AJ323" i="8" a="1"/>
  <c r="AB87" i="8" a="1"/>
  <c r="AA143" i="8" a="1"/>
  <c r="AA290" i="8" a="1"/>
  <c r="Z271" i="8" a="1"/>
  <c r="Y280" i="8" a="1"/>
  <c r="AK319" i="8" a="1"/>
  <c r="AJ42" i="8" a="1"/>
  <c r="AB324" i="8" a="1"/>
  <c r="AA155" i="8" a="1"/>
  <c r="AA116" i="8" a="1"/>
  <c r="Z79" i="8" a="1"/>
  <c r="Y292" i="8" a="1"/>
  <c r="AJ195" i="8" a="1"/>
  <c r="AK93" i="8" a="1"/>
  <c r="AJ170" i="8" a="1"/>
  <c r="AB90" i="8" a="1"/>
  <c r="AA285" i="8" a="1"/>
  <c r="Z143" i="8" a="1"/>
  <c r="Y196" i="8" a="1"/>
  <c r="Y45" i="8" a="1"/>
  <c r="S240" i="8" a="1"/>
  <c r="R88" i="8" a="1"/>
  <c r="AB46" i="8" a="1"/>
  <c r="AA238" i="8" a="1"/>
  <c r="Z100" i="8" a="1"/>
  <c r="Z164" i="8" a="1"/>
  <c r="Y266" i="8" a="1"/>
  <c r="S107" i="8" a="1"/>
  <c r="S255" i="8" a="1"/>
  <c r="AB52" i="8" a="1"/>
  <c r="AB305" i="8" a="1"/>
  <c r="AA185" i="8" a="1"/>
  <c r="Z316" i="8" a="1"/>
  <c r="Z80" i="8" a="1"/>
  <c r="Y79" i="8" a="1"/>
  <c r="S317" i="8" a="1"/>
  <c r="S325" i="8" a="1"/>
  <c r="R107" i="8" a="1"/>
  <c r="AB183" i="8" a="1"/>
  <c r="AB129" i="8" a="1"/>
  <c r="AB151" i="8" a="1"/>
  <c r="AB15" i="8" a="1"/>
  <c r="AA145" i="8" a="1"/>
  <c r="Z33" i="8" a="1"/>
  <c r="Y252" i="8" a="1"/>
  <c r="S192" i="8" a="1"/>
  <c r="R268" i="8" a="1"/>
  <c r="R253" i="8" a="1"/>
  <c r="Q304" i="8" a="1"/>
  <c r="Q164" i="8" a="1"/>
  <c r="P82" i="8" a="1"/>
  <c r="P276" i="8" a="1"/>
  <c r="P151" i="8" a="1"/>
  <c r="J49" i="8" a="1"/>
  <c r="AK54" i="8" a="1"/>
  <c r="AK136" i="8" a="1"/>
  <c r="AK253" i="8" a="1"/>
  <c r="AJ137" i="8" a="1"/>
  <c r="AJ216" i="8" a="1"/>
  <c r="AK138" i="8" a="1"/>
  <c r="AK220" i="8" a="1"/>
  <c r="AK247" i="8" a="1"/>
  <c r="AK275" i="8" a="1"/>
  <c r="AK25" i="8" a="1"/>
  <c r="AJ294" i="8" a="1"/>
  <c r="AK238" i="8" a="1"/>
  <c r="AK217" i="8" a="1"/>
  <c r="AJ245" i="8" a="1"/>
  <c r="AJ207" i="8" a="1"/>
  <c r="AK318" i="8" a="1"/>
  <c r="AJ190" i="8" a="1"/>
  <c r="AJ284" i="8" a="1"/>
  <c r="AB125" i="8" a="1"/>
  <c r="AK246" i="8" a="1"/>
  <c r="AK190" i="8" a="1"/>
  <c r="AJ162" i="8" a="1"/>
  <c r="AB304" i="8" a="1"/>
  <c r="AB306" i="8" a="1"/>
  <c r="AA132" i="8" a="1"/>
  <c r="AA218" i="8" a="1"/>
  <c r="AK291" i="8" a="1"/>
  <c r="AJ267" i="8" a="1"/>
  <c r="AB307" i="8" a="1"/>
  <c r="AA160" i="8" a="1"/>
  <c r="AK79" i="8" a="1"/>
  <c r="AJ39" i="8" a="1"/>
  <c r="AJ143" i="8" a="1"/>
  <c r="AH12" i="8" a="1"/>
  <c r="AB289" i="8" a="1"/>
  <c r="AA316" i="8" a="1"/>
  <c r="AK183" i="8" a="1"/>
  <c r="AK82" i="8" a="1"/>
  <c r="AJ96" i="8" a="1"/>
  <c r="AK153" i="8" a="1"/>
  <c r="AK184" i="8" a="1"/>
  <c r="AJ300" i="8" a="1"/>
  <c r="AB218" i="8" a="1"/>
  <c r="AA144" i="8" a="1"/>
  <c r="Z82" i="8" a="1"/>
  <c r="Z229" i="8" a="1"/>
  <c r="Y155" i="8" a="1"/>
  <c r="Y9" i="8" a="1"/>
  <c r="AJ18" i="8" a="1"/>
  <c r="AB99" i="8" a="1"/>
  <c r="AA233" i="8" a="1"/>
  <c r="AA276" i="8" a="1"/>
  <c r="Z163" i="8" a="1"/>
  <c r="Y17" i="8" a="1"/>
  <c r="AJ142" i="8" a="1"/>
  <c r="AJ50" i="8" a="1"/>
  <c r="AB171" i="8" a="1"/>
  <c r="AA245" i="8" a="1"/>
  <c r="AA193" i="8" a="1"/>
  <c r="Z103" i="8" a="1"/>
  <c r="Y29" i="8" a="1"/>
  <c r="AJ234" i="8" a="1"/>
  <c r="AJ10" i="8" a="1"/>
  <c r="AJ264" i="8" a="1"/>
  <c r="AB189" i="8" a="1"/>
  <c r="AA68" i="8" a="1"/>
  <c r="Z204" i="8" a="1"/>
  <c r="Y304" i="8" a="1"/>
  <c r="Y164" i="8" a="1"/>
  <c r="S283" i="8" a="1"/>
  <c r="R160" i="8" a="1"/>
  <c r="AB184" i="8" a="1"/>
  <c r="AA41" i="8" a="1"/>
  <c r="Z202" i="8" a="1"/>
  <c r="Z206" i="8" a="1"/>
  <c r="Y157" i="8" a="1"/>
  <c r="S191" i="8" a="1"/>
  <c r="S115" i="8" a="1"/>
  <c r="AB190" i="8" a="1"/>
  <c r="AB131" i="8" a="1"/>
  <c r="AA36" i="8" a="1"/>
  <c r="Z234" i="8" a="1"/>
  <c r="Z247" i="8" a="1"/>
  <c r="Y261" i="8" a="1"/>
  <c r="S47" i="8" a="1"/>
  <c r="S320" i="8" a="1"/>
  <c r="AK78" i="8" a="1"/>
  <c r="AK96" i="8" a="1"/>
  <c r="AB259" i="8" a="1"/>
  <c r="AB19" i="8" a="1"/>
  <c r="AB110" i="8" a="1"/>
  <c r="AA255" i="8" a="1"/>
  <c r="Z193" i="8" a="1"/>
  <c r="Y223" i="8" a="1"/>
  <c r="S105" i="8" a="1"/>
  <c r="R311" i="8" a="1"/>
  <c r="R103" i="8" a="1"/>
  <c r="Q257" i="8" a="1"/>
  <c r="Q68" i="8" a="1"/>
  <c r="P154" i="8" a="1"/>
  <c r="P163" i="8" a="1"/>
  <c r="P121" i="8" a="1"/>
  <c r="J264" i="8" a="1"/>
  <c r="AK198" i="8" a="1"/>
  <c r="AK280" i="8" a="1"/>
  <c r="AK61" i="8" a="1"/>
  <c r="AJ6" i="8" a="1"/>
  <c r="AJ139" i="8" a="1"/>
  <c r="AK222" i="8" a="1"/>
  <c r="AK173" i="8" a="1"/>
  <c r="AK121" i="8" a="1"/>
  <c r="AK12" i="8" a="1"/>
  <c r="AJ28" i="8" a="1"/>
  <c r="AJ255" i="8" a="1"/>
  <c r="AK310" i="8" a="1"/>
  <c r="AK193" i="8" a="1"/>
  <c r="AJ108" i="8" a="1"/>
  <c r="AJ44" i="8" a="1"/>
  <c r="AK307" i="8" a="1"/>
  <c r="AJ251" i="8" a="1"/>
  <c r="AJ115" i="8" a="1"/>
  <c r="AB299" i="8" a="1"/>
  <c r="AK120" i="8" a="1"/>
  <c r="AK257" i="8" a="1"/>
  <c r="AJ230" i="8" a="1"/>
  <c r="AB95" i="8" a="1"/>
  <c r="AB313" i="8" a="1"/>
  <c r="AA309" i="8" a="1"/>
  <c r="Z94" i="8" a="1"/>
  <c r="AK207" i="8" a="1"/>
  <c r="AJ93" i="8" a="1"/>
  <c r="AB235" i="8" a="1"/>
  <c r="AA232" i="8" a="1"/>
  <c r="AK111" i="8" a="1"/>
  <c r="AK40" i="8" a="1"/>
  <c r="AJ275" i="8" a="1"/>
  <c r="AB10" i="8" a="1"/>
  <c r="AB236" i="8" a="1"/>
  <c r="AA65" i="8" a="1"/>
  <c r="AJ88" i="8" a="1"/>
  <c r="AK35" i="8" a="1"/>
  <c r="AJ87" i="8" a="1"/>
  <c r="AJ112" i="8" a="1"/>
  <c r="AK179" i="8" a="1"/>
  <c r="AJ73" i="8" a="1"/>
  <c r="AB291" i="8" a="1"/>
  <c r="AA243" i="8" a="1"/>
  <c r="Z160" i="8" a="1"/>
  <c r="Z194" i="8" a="1"/>
  <c r="Y24" i="8" a="1"/>
  <c r="Y51" i="8" a="1"/>
  <c r="AJ61" i="8" a="1"/>
  <c r="AB246" i="8" a="1"/>
  <c r="AA48" i="8" a="1"/>
  <c r="Z88" i="8" a="1"/>
  <c r="Z279" i="8" a="1"/>
  <c r="Y89" i="8" a="1"/>
  <c r="AJ24" i="8" a="1"/>
  <c r="AJ56" i="8" a="1"/>
  <c r="AB79" i="8" a="1"/>
  <c r="AA37" i="8" a="1"/>
  <c r="Z106" i="8" a="1"/>
  <c r="Z75" i="8" a="1"/>
  <c r="Y173" i="8" a="1"/>
  <c r="AK109" i="8" a="1"/>
  <c r="AJ238" i="8" a="1"/>
  <c r="AJ225" i="8" a="1"/>
  <c r="AB182" i="8" a="1"/>
  <c r="AA27" i="8" a="1"/>
  <c r="Z168" i="8" a="1"/>
  <c r="Y149" i="8" a="1"/>
  <c r="Y146" i="8" a="1"/>
  <c r="S296" i="8" a="1"/>
  <c r="R304" i="8" a="1"/>
  <c r="AB263" i="8" a="1"/>
  <c r="AA24" i="8" a="1"/>
  <c r="Z311" i="8" a="1"/>
  <c r="Z289" i="8" a="1"/>
  <c r="Y122" i="8" a="1"/>
  <c r="S48" i="8" a="1"/>
  <c r="S68" i="8" a="1"/>
  <c r="AB119" i="8" a="1"/>
  <c r="AB126" i="8" a="1"/>
  <c r="AA98" i="8" a="1"/>
  <c r="Z179" i="8" a="1"/>
  <c r="Y34" i="8" a="1"/>
  <c r="Y91" i="8" a="1"/>
  <c r="S125" i="8" a="1"/>
  <c r="S97" i="8" a="1"/>
  <c r="AJ140" i="8" a="1"/>
  <c r="AJ269" i="8" a="1"/>
  <c r="AK7" i="8" a="1"/>
  <c r="AB276" i="8" a="1"/>
  <c r="AB296" i="8" a="1"/>
  <c r="AA186" i="8" a="1"/>
  <c r="Z253" i="8" a="1"/>
  <c r="Y25" i="8" a="1"/>
  <c r="S242" i="8" a="1"/>
  <c r="R101" i="8" a="1"/>
  <c r="R165" i="8" a="1"/>
  <c r="Q294" i="8" a="1"/>
  <c r="Q193" i="8" a="1"/>
  <c r="P226" i="8" a="1"/>
  <c r="P218" i="8" a="1"/>
  <c r="J16" i="8" a="1"/>
  <c r="J68" i="8" a="1"/>
  <c r="AK43" i="8" a="1"/>
  <c r="AK149" i="8" a="1"/>
  <c r="AK99" i="8" a="1"/>
  <c r="AJ78" i="8" a="1"/>
  <c r="AJ260" i="8" a="1"/>
  <c r="AK151" i="8" a="1"/>
  <c r="AK317" i="8" a="1"/>
  <c r="AK57" i="8" a="1"/>
  <c r="AK156" i="8" a="1"/>
  <c r="AJ100" i="8" a="1"/>
  <c r="AJ276" i="8" a="1"/>
  <c r="AK252" i="8" a="1"/>
  <c r="AK141" i="8" a="1"/>
  <c r="AJ180" i="8" a="1"/>
  <c r="AK34" i="8" a="1"/>
  <c r="AK218" i="8" a="1"/>
  <c r="AJ35" i="8" a="1"/>
  <c r="AJ67" i="8" a="1"/>
  <c r="AB66" i="8" a="1"/>
  <c r="AK192" i="8" a="1"/>
  <c r="AK114" i="8" a="1"/>
  <c r="AJ318" i="8" a="1"/>
  <c r="AB173" i="8" a="1"/>
  <c r="AB234" i="8" a="1"/>
  <c r="AA320" i="8" a="1"/>
  <c r="Z166" i="8" a="1"/>
  <c r="AJ166" i="8" a="1"/>
  <c r="AJ303" i="8" a="1"/>
  <c r="AB308" i="8" a="1"/>
  <c r="AA53" i="8" a="1"/>
  <c r="AK105" i="8" a="1"/>
  <c r="AK256" i="8" a="1"/>
  <c r="AJ26" i="8" a="1"/>
  <c r="AB88" i="8" a="1"/>
  <c r="AB242" i="8" a="1"/>
  <c r="AA209" i="8" a="1"/>
  <c r="AJ202" i="8" a="1"/>
  <c r="AK6" i="8" a="1"/>
  <c r="AJ68" i="8" a="1"/>
  <c r="AJ214" i="8" a="1"/>
  <c r="AK108" i="8" a="1"/>
  <c r="AJ165" i="8" a="1"/>
  <c r="AB267" i="8" a="1"/>
  <c r="AA151" i="8" a="1"/>
  <c r="Z322" i="8" a="1"/>
  <c r="Z87" i="8" a="1"/>
  <c r="Y96" i="8" a="1"/>
  <c r="Y44" i="8" a="1"/>
  <c r="AJ145" i="8" a="1"/>
  <c r="AB282" i="8" a="1"/>
  <c r="AA38" i="8" a="1"/>
  <c r="Z172" i="8" a="1"/>
  <c r="Z151" i="8" a="1"/>
  <c r="Y233" i="8" a="1"/>
  <c r="AJ254" i="8" a="1"/>
  <c r="AJ117" i="8" a="1"/>
  <c r="AB122" i="8" a="1"/>
  <c r="AA99" i="8" a="1"/>
  <c r="Z184" i="8" a="1"/>
  <c r="Z314" i="8" a="1"/>
  <c r="Y245" i="8" a="1"/>
  <c r="AK50" i="8" a="1"/>
  <c r="AJ132" i="8" a="1"/>
  <c r="AJ43" i="8" a="1"/>
  <c r="AB92" i="8" a="1"/>
  <c r="AA260" i="8" a="1"/>
  <c r="Z105" i="8" a="1"/>
  <c r="Y257" i="8" a="1"/>
  <c r="Y282" i="8" a="1"/>
  <c r="S87" i="8" a="1"/>
  <c r="R17" i="8" a="1"/>
  <c r="AB233" i="8" a="1"/>
  <c r="AA26" i="8" a="1"/>
  <c r="Z53" i="8" a="1"/>
  <c r="Y112" i="8" a="1"/>
  <c r="Y270" i="8" a="1"/>
  <c r="S126" i="8" a="1"/>
  <c r="R22" i="8" a="1"/>
  <c r="AB245" i="8" a="1"/>
  <c r="AB225" i="8" a="1"/>
  <c r="AA140" i="8" a="1"/>
  <c r="Z324" i="8" a="1"/>
  <c r="Y232" i="8" a="1"/>
  <c r="Y194" i="8" a="1"/>
  <c r="S209" i="8" a="1"/>
  <c r="S175" i="8" a="1"/>
  <c r="AJ261" i="8" a="1"/>
  <c r="AJ128" i="8" a="1"/>
  <c r="AJ281" i="8" a="1"/>
  <c r="AK118" i="8" a="1"/>
  <c r="AB104" i="8" a="1"/>
  <c r="Z40" i="8" a="1"/>
  <c r="Y52" i="8" a="1"/>
  <c r="Y295" i="8" a="1"/>
  <c r="S237" i="8" a="1"/>
  <c r="R191" i="8" a="1"/>
  <c r="R116" i="8" a="1"/>
  <c r="Q65" i="8" a="1"/>
  <c r="Q51" i="8" a="1"/>
  <c r="P298" i="8" a="1"/>
  <c r="P273" i="8" a="1"/>
  <c r="J88" i="8" a="1"/>
  <c r="J177" i="8" a="1"/>
  <c r="AK44" i="8" a="1"/>
  <c r="AK293" i="8" a="1"/>
  <c r="AK33" i="8" a="1"/>
  <c r="AJ150" i="8" a="1"/>
  <c r="AI12" i="8" a="1"/>
  <c r="AK278" i="8" a="1"/>
  <c r="AK29" i="8" a="1"/>
  <c r="AK134" i="8" a="1"/>
  <c r="AK258" i="8" a="1"/>
  <c r="AJ172" i="8" a="1"/>
  <c r="AJ193" i="8" a="1"/>
  <c r="AK47" i="8" a="1"/>
  <c r="AK259" i="8" a="1"/>
  <c r="AJ218" i="8" a="1"/>
  <c r="AK106" i="8" a="1"/>
  <c r="AK159" i="8" a="1"/>
  <c r="AJ107" i="8" a="1"/>
  <c r="AJ242" i="8" a="1"/>
  <c r="AB138" i="8" a="1"/>
  <c r="AK58" i="8" a="1"/>
  <c r="AK199" i="8" a="1"/>
  <c r="AK17" i="8" a="1"/>
  <c r="AK260" i="8" a="1"/>
  <c r="AJ326" i="8" a="1"/>
  <c r="AK70" i="8" a="1"/>
  <c r="AK303" i="8" a="1"/>
  <c r="AK251" i="8" a="1"/>
  <c r="AK147" i="8" a="1"/>
  <c r="AK273" i="8" a="1"/>
  <c r="AJ316" i="8" a="1"/>
  <c r="AJ204" i="8" a="1"/>
  <c r="AK287" i="8" a="1"/>
  <c r="AK81" i="8" a="1"/>
  <c r="AJ265" i="8" a="1"/>
  <c r="AK250" i="8" a="1"/>
  <c r="AK26" i="8" a="1"/>
  <c r="AJ179" i="8" a="1"/>
  <c r="AJ146" i="8" a="1"/>
  <c r="AB271" i="8" a="1"/>
  <c r="AK130" i="8" a="1"/>
  <c r="AK242" i="8" a="1"/>
  <c r="AK227" i="8" a="1"/>
  <c r="AK255" i="8" a="1"/>
  <c r="AJ164" i="8" a="1"/>
  <c r="AK214" i="8" a="1"/>
  <c r="AK164" i="8" a="1"/>
  <c r="AK324" i="8" a="1"/>
  <c r="AK16" i="8" a="1"/>
  <c r="AK165" i="8" a="1"/>
  <c r="AJ17" i="8" a="1"/>
  <c r="AJ279" i="8" a="1"/>
  <c r="AK18" i="8" a="1"/>
  <c r="AK51" i="8" a="1"/>
  <c r="AJ236" i="8" a="1"/>
  <c r="AK322" i="8" a="1"/>
  <c r="AK158" i="8" a="1"/>
  <c r="AJ48" i="8" a="1"/>
  <c r="AJ288" i="8" a="1"/>
  <c r="AK52" i="8" a="1"/>
  <c r="AK202" i="8" a="1"/>
  <c r="AK285" i="8" a="1"/>
  <c r="AK288" i="8" a="1"/>
  <c r="AK104" i="8" a="1"/>
  <c r="AJ129" i="8" a="1"/>
  <c r="AK286" i="8" a="1"/>
  <c r="AK110" i="8" a="1"/>
  <c r="AK72" i="8" a="1"/>
  <c r="AK88" i="8" a="1"/>
  <c r="AK87" i="8" a="1"/>
  <c r="AJ89" i="8" a="1"/>
  <c r="AJ270" i="8" a="1"/>
  <c r="AK90" i="8" a="1"/>
  <c r="AJ34" i="8" a="1"/>
  <c r="AJ283" i="8" a="1"/>
  <c r="AK233" i="8" a="1"/>
  <c r="AK254" i="8" a="1"/>
  <c r="AJ120" i="8" a="1"/>
  <c r="AH6" i="8" a="1"/>
  <c r="AK124" i="8" a="1"/>
  <c r="AK231" i="8" a="1"/>
  <c r="AK157" i="8" a="1"/>
  <c r="AJ74" i="8" a="1"/>
  <c r="AB297" i="8" a="1"/>
  <c r="AA154" i="8" a="1"/>
  <c r="AA326" i="8" a="1"/>
  <c r="AK10" i="8" a="1"/>
  <c r="AJ66" i="8" a="1"/>
  <c r="AB310" i="8" a="1"/>
  <c r="AB321" i="8" a="1"/>
  <c r="AA138" i="8" a="1"/>
  <c r="AJ131" i="8" a="1"/>
  <c r="AK212" i="8" a="1"/>
  <c r="AJ20" i="8" a="1"/>
  <c r="AB113" i="8" a="1"/>
  <c r="AB229" i="8" a="1"/>
  <c r="AK46" i="8" a="1"/>
  <c r="AJ90" i="8" a="1"/>
  <c r="AK327" i="8" a="1"/>
  <c r="AK100" i="8" a="1"/>
  <c r="AJ114" i="8" a="1"/>
  <c r="AK237" i="8" a="1"/>
  <c r="AB316" i="8" a="1"/>
  <c r="AB288" i="8" a="1"/>
  <c r="AA253" i="8" a="1"/>
  <c r="Z228" i="8" a="1"/>
  <c r="Z217" i="8" a="1"/>
  <c r="Y115" i="8" a="1"/>
  <c r="S262" i="8" a="1"/>
  <c r="AB112" i="8" a="1"/>
  <c r="AB219" i="8" a="1"/>
  <c r="AA198" i="8" a="1"/>
  <c r="Z95" i="8" a="1"/>
  <c r="Z255" i="8" a="1"/>
  <c r="Y291" i="8" a="1"/>
  <c r="AI4" i="8" a="1"/>
  <c r="AB124" i="8" a="1"/>
  <c r="AB188" i="8" a="1"/>
  <c r="AA216" i="8" a="1"/>
  <c r="Z107" i="8" a="1"/>
  <c r="Z25" i="8" a="1"/>
  <c r="AK289" i="8" a="1"/>
  <c r="AJ212" i="8" a="1"/>
  <c r="AJ253" i="8" a="1"/>
  <c r="AJ144" i="8" a="1"/>
  <c r="AB270" i="8" a="1"/>
  <c r="AA248" i="8" a="1"/>
  <c r="Z9" i="8" a="1"/>
  <c r="Y145" i="8" a="1"/>
  <c r="S275" i="8" a="1"/>
  <c r="S247" i="8" a="1"/>
  <c r="R102" i="8" a="1"/>
  <c r="AB9" i="8" a="1"/>
  <c r="AA270" i="8" a="1"/>
  <c r="Z157" i="8" a="1"/>
  <c r="Y263" i="8" a="1"/>
  <c r="Y117" i="8" a="1"/>
  <c r="S169" i="8" a="1"/>
  <c r="R23" i="8" a="1"/>
  <c r="AB32" i="8" a="1"/>
  <c r="AB295" i="8" a="1"/>
  <c r="AA273" i="8" a="1"/>
  <c r="Z8" i="8" a="1"/>
  <c r="Y281" i="8" a="1"/>
  <c r="Y279" i="8" a="1"/>
  <c r="S177" i="8" a="1"/>
  <c r="R106" i="8" a="1"/>
  <c r="AB137" i="8" a="1"/>
  <c r="AB250" i="8" a="1"/>
  <c r="AB100" i="8" a="1"/>
  <c r="AB34" i="8" a="1"/>
  <c r="AA90" i="8" a="1"/>
  <c r="Z300" i="8" a="1"/>
  <c r="Y221" i="8" a="1"/>
  <c r="S160" i="8" a="1"/>
  <c r="S254" i="8" a="1"/>
  <c r="R92" i="8" a="1"/>
  <c r="R230" i="8" a="1"/>
  <c r="Q78" i="8" a="1"/>
  <c r="Q55" i="8" a="1"/>
  <c r="P185" i="8" a="1"/>
  <c r="P62" i="8" a="1"/>
  <c r="J29" i="8" a="1"/>
  <c r="J162" i="8" a="1"/>
  <c r="I154" i="8" a="1"/>
  <c r="I266" i="8" a="1"/>
  <c r="I176" i="8" a="1"/>
  <c r="H174" i="8" a="1"/>
  <c r="H217" i="8" a="1"/>
  <c r="G185" i="8" a="1"/>
  <c r="AB167" i="8" a="1"/>
  <c r="AA169" i="8" a="1"/>
  <c r="Z6" i="8" a="1"/>
  <c r="Y269" i="8" a="1"/>
  <c r="Y319" i="8" a="1"/>
  <c r="S248" i="8" a="1"/>
  <c r="R184" i="8" a="1"/>
  <c r="R306" i="8" a="1"/>
  <c r="Q94" i="8" a="1"/>
  <c r="Q288" i="8" a="1"/>
  <c r="Q241" i="8" a="1"/>
  <c r="P48" i="8" a="1"/>
  <c r="P45" i="8" a="1"/>
  <c r="J179" i="8" a="1"/>
  <c r="J120" i="8" a="1"/>
  <c r="I304" i="8" a="1"/>
  <c r="I317" i="8" a="1"/>
  <c r="H88" i="8" a="1"/>
  <c r="H301" i="8" a="1"/>
  <c r="AB69" i="8" a="1"/>
  <c r="AA252" i="8" a="1"/>
  <c r="Z55" i="8" a="1"/>
  <c r="Y251" i="8" a="1"/>
  <c r="Y86" i="8" a="1"/>
  <c r="AB302" i="8" a="1"/>
  <c r="AA156" i="8" a="1"/>
  <c r="Z177" i="8" a="1"/>
  <c r="Y87" i="8" a="1"/>
  <c r="S178" i="8" a="1"/>
  <c r="S271" i="8" a="1"/>
  <c r="R209" i="8" a="1"/>
  <c r="R272" i="8" a="1"/>
  <c r="Q287" i="8" a="1"/>
  <c r="Q140" i="8" a="1"/>
  <c r="P172" i="8" a="1"/>
  <c r="P235" i="8" a="1"/>
  <c r="P193" i="8" a="1"/>
  <c r="J44" i="8" a="1"/>
  <c r="J211" i="8" a="1"/>
  <c r="I251" i="8" a="1"/>
  <c r="I270" i="8" a="1"/>
  <c r="H29" i="8" a="1"/>
  <c r="H182" i="8" a="1"/>
  <c r="AB175" i="8" a="1"/>
  <c r="AA200" i="8" a="1"/>
  <c r="Z265" i="8" a="1"/>
  <c r="Y171" i="8" a="1"/>
  <c r="S304" i="8" a="1"/>
  <c r="AA52" i="8" a="1"/>
  <c r="AA282" i="8" a="1"/>
  <c r="Z200" i="8" a="1"/>
  <c r="Y271" i="8" a="1"/>
  <c r="S5" i="8" a="1"/>
  <c r="AA250" i="8" a="1"/>
  <c r="Z112" i="8" a="1"/>
  <c r="Z277" i="8" a="1"/>
  <c r="Y284" i="8" a="1"/>
  <c r="S119" i="8" a="1"/>
  <c r="AB27" i="8" a="1"/>
  <c r="AA224" i="8" a="1"/>
  <c r="Z294" i="8" a="1"/>
  <c r="Y215" i="8" a="1"/>
  <c r="Y188" i="8" a="1"/>
  <c r="Z293" i="8" a="1"/>
  <c r="S18" i="8" a="1"/>
  <c r="R298" i="8" a="1"/>
  <c r="R241" i="8" a="1"/>
  <c r="Q36" i="8" a="1"/>
  <c r="Q158" i="8" a="1"/>
  <c r="P117" i="8" a="1"/>
  <c r="J269" i="8" a="1"/>
  <c r="J20" i="8" a="1"/>
  <c r="I60" i="8" a="1"/>
  <c r="I278" i="8" a="1"/>
  <c r="H175" i="8" a="1"/>
  <c r="G124" i="8" a="1"/>
  <c r="G229" i="8" a="1"/>
  <c r="I3" i="8" a="1"/>
  <c r="P66" i="8" a="1"/>
  <c r="J116" i="8" a="1"/>
  <c r="AJ197" i="8" a="1"/>
  <c r="Z319" i="8" a="1"/>
  <c r="S314" i="8" a="1"/>
  <c r="R36" i="8" a="1"/>
  <c r="R267" i="8" a="1"/>
  <c r="Q325" i="8" a="1"/>
  <c r="P262" i="8" a="1"/>
  <c r="P297" i="8" a="1"/>
  <c r="J12" i="8" a="1"/>
  <c r="J212" i="8" a="1"/>
  <c r="I122" i="8" a="1"/>
  <c r="H190" i="8" a="1"/>
  <c r="H103" i="8" a="1"/>
  <c r="G263" i="8" a="1"/>
  <c r="G240" i="8" a="1"/>
  <c r="Q35" i="8" a="1"/>
  <c r="P162" i="8" a="1"/>
  <c r="J324" i="8" a="1"/>
  <c r="AB213" i="8" a="1"/>
  <c r="Y150" i="8" a="1"/>
  <c r="S279" i="8" a="1"/>
  <c r="R87" i="8" a="1"/>
  <c r="Q299" i="8" a="1"/>
  <c r="Z230" i="8" a="1"/>
  <c r="S80" i="8" a="1"/>
  <c r="R221" i="8" a="1"/>
  <c r="R25" i="8" a="1"/>
  <c r="Q26" i="8" a="1"/>
  <c r="P184" i="8" a="1"/>
  <c r="P201" i="8" a="1"/>
  <c r="J203" i="8" a="1"/>
  <c r="J291" i="8" a="1"/>
  <c r="I300" i="8" a="1"/>
  <c r="H112" i="8" a="1"/>
  <c r="H230" i="8" a="1"/>
  <c r="G304" i="8" a="1"/>
  <c r="G150" i="8" a="1"/>
  <c r="Q228" i="8" a="1"/>
  <c r="R3" i="8" a="1"/>
  <c r="P308" i="8" a="1"/>
  <c r="AA124" i="8" a="1"/>
  <c r="Y7" i="8" a="1"/>
  <c r="S122" i="8" a="1"/>
  <c r="R50" i="8" a="1"/>
  <c r="Q316" i="8" a="1"/>
  <c r="Z96" i="8" a="1"/>
  <c r="S66" i="8" a="1"/>
  <c r="R287" i="8" a="1"/>
  <c r="R200" i="8" a="1"/>
  <c r="AK281" i="8" a="1"/>
  <c r="AK21" i="8" a="1"/>
  <c r="AK210" i="8" a="1"/>
  <c r="AJ148" i="8" a="1"/>
  <c r="AJ91" i="8" a="1"/>
  <c r="AK23" i="8" a="1"/>
  <c r="AK86" i="8" a="1"/>
  <c r="AK128" i="8" a="1"/>
  <c r="AK304" i="8" a="1"/>
  <c r="AK271" i="8" a="1"/>
  <c r="AJ30" i="8" a="1"/>
  <c r="AJ21" i="8" a="1"/>
  <c r="AK200" i="8" a="1"/>
  <c r="AJ250" i="8" a="1"/>
  <c r="AJ222" i="8" a="1"/>
  <c r="AK167" i="8" a="1"/>
  <c r="AK122" i="8" a="1"/>
  <c r="AJ134" i="8" a="1"/>
  <c r="AB130" i="8" a="1"/>
  <c r="AK125" i="8" a="1"/>
  <c r="AK8" i="8" a="1"/>
  <c r="AJ274" i="8" a="1"/>
  <c r="AI11" i="8" a="1"/>
  <c r="AB290" i="8" a="1"/>
  <c r="AA47" i="8" a="1"/>
  <c r="AA146" i="8" a="1"/>
  <c r="AK263" i="8" a="1"/>
  <c r="AJ266" i="8" a="1"/>
  <c r="AB179" i="8" a="1"/>
  <c r="AB43" i="8" a="1"/>
  <c r="AK244" i="8" a="1"/>
  <c r="AJ186" i="8" a="1"/>
  <c r="AK169" i="8" a="1"/>
  <c r="AJ321" i="8" a="1"/>
  <c r="AB78" i="8" a="1"/>
  <c r="AB206" i="8" a="1"/>
  <c r="AK216" i="8" a="1"/>
  <c r="AJ57" i="8" a="1"/>
  <c r="AJ208" i="8" a="1"/>
  <c r="AK24" i="8" a="1"/>
  <c r="AJ79" i="8" a="1"/>
  <c r="AK62" i="8" a="1"/>
  <c r="AB287" i="8" a="1"/>
  <c r="AA262" i="8" a="1"/>
  <c r="AA201" i="8" a="1"/>
  <c r="Z192" i="8" a="1"/>
  <c r="Y130" i="8" a="1"/>
  <c r="Y312" i="8" a="1"/>
  <c r="AK221" i="8" a="1"/>
  <c r="AB65" i="8" a="1"/>
  <c r="AA70" i="8" a="1"/>
  <c r="AA289" i="8" a="1"/>
  <c r="Z48" i="8" a="1"/>
  <c r="Z115" i="8" a="1"/>
  <c r="Y68" i="8" a="1"/>
  <c r="AJ76" i="8" a="1"/>
  <c r="AK59" i="8" a="1"/>
  <c r="AJ160" i="8" a="1"/>
  <c r="AA298" i="8" a="1"/>
  <c r="AJ290" i="8" a="1"/>
  <c r="AK28" i="8" a="1"/>
  <c r="AJ187" i="8" a="1"/>
  <c r="AK312" i="8" a="1"/>
  <c r="AK53" i="8" a="1"/>
  <c r="AB155" i="8" a="1"/>
  <c r="Z120" i="8" a="1"/>
  <c r="S234" i="8" a="1"/>
  <c r="AA279" i="8" a="1"/>
  <c r="Y176" i="8" a="1"/>
  <c r="AB231" i="8" a="1"/>
  <c r="Z282" i="8" a="1"/>
  <c r="AJ232" i="8" a="1"/>
  <c r="AJ22" i="8" a="1"/>
  <c r="Z196" i="8" a="1"/>
  <c r="S202" i="8" a="1"/>
  <c r="R26" i="8" a="1"/>
  <c r="Z155" i="8" a="1"/>
  <c r="Y128" i="8" a="1"/>
  <c r="AK83" i="8" a="1"/>
  <c r="AA302" i="8" a="1"/>
  <c r="Y90" i="8" a="1"/>
  <c r="S265" i="8" a="1"/>
  <c r="AB94" i="8" a="1"/>
  <c r="AJ152" i="8" a="1"/>
  <c r="Y316" i="8" a="1"/>
  <c r="S104" i="8" a="1"/>
  <c r="Q137" i="8" a="1"/>
  <c r="P113" i="8" a="1"/>
  <c r="J173" i="8" a="1"/>
  <c r="I82" i="8" a="1"/>
  <c r="I103" i="8" a="1"/>
  <c r="H155" i="8" a="1"/>
  <c r="H62" i="8" a="1"/>
  <c r="G151" i="8" a="1"/>
  <c r="AA11" i="8" a="1"/>
  <c r="Z131" i="8" a="1"/>
  <c r="Y315" i="8" a="1"/>
  <c r="S167" i="8" a="1"/>
  <c r="R76" i="8" a="1"/>
  <c r="R194" i="8" a="1"/>
  <c r="Q281" i="8" a="1"/>
  <c r="Q229" i="8" a="1"/>
  <c r="P271" i="8" a="1"/>
  <c r="J238" i="8" a="1"/>
  <c r="J278" i="8" a="1"/>
  <c r="I36" i="8" a="1"/>
  <c r="I169" i="8" a="1"/>
  <c r="H170" i="8" a="1"/>
  <c r="AA196" i="8" a="1"/>
  <c r="Z5" i="8" a="1"/>
  <c r="Y125" i="8" a="1"/>
  <c r="S77" i="8" a="1"/>
  <c r="AA231" i="8" a="1"/>
  <c r="Z50" i="8" a="1"/>
  <c r="Y163" i="8" a="1"/>
  <c r="S19" i="8" a="1"/>
  <c r="R125" i="8" a="1"/>
  <c r="R240" i="8" a="1"/>
  <c r="Q324" i="8" a="1"/>
  <c r="P100" i="8" a="1"/>
  <c r="P225" i="8" a="1"/>
  <c r="J191" i="8" a="1"/>
  <c r="J289" i="8" a="1"/>
  <c r="I283" i="8" a="1"/>
  <c r="H100" i="8" a="1"/>
  <c r="H140" i="8" a="1"/>
  <c r="AA114" i="8" a="1"/>
  <c r="Z156" i="8" a="1"/>
  <c r="Y98" i="8" a="1"/>
  <c r="AB268" i="8" a="1"/>
  <c r="AA122" i="8" a="1"/>
  <c r="Z326" i="8" a="1"/>
  <c r="Y314" i="8" a="1"/>
  <c r="AB198" i="8" a="1"/>
  <c r="AA44" i="8" a="1"/>
  <c r="Y41" i="8" a="1"/>
  <c r="S100" i="8" a="1"/>
  <c r="AB174" i="8" a="1"/>
  <c r="Z34" i="8" a="1"/>
  <c r="Y46" i="8" a="1"/>
  <c r="Y228" i="8" a="1"/>
  <c r="Y54" i="8" a="1"/>
  <c r="S93" i="8" a="1"/>
  <c r="R20" i="8" a="1"/>
  <c r="Q57" i="8" a="1"/>
  <c r="P36" i="8" a="1"/>
  <c r="J226" i="8" a="1"/>
  <c r="I4" i="8" a="1"/>
  <c r="I33" i="8" a="1"/>
  <c r="H283" i="8" a="1"/>
  <c r="G113" i="8" a="1"/>
  <c r="G135" i="8" a="1"/>
  <c r="P155" i="8" a="1"/>
  <c r="I124" i="8" a="1"/>
  <c r="Z280" i="8" a="1"/>
  <c r="S8" i="8" a="1"/>
  <c r="R27" i="8" a="1"/>
  <c r="Q293" i="8" a="1"/>
  <c r="P166" i="8" a="1"/>
  <c r="P182" i="8" a="1"/>
  <c r="J156" i="8" a="1"/>
  <c r="I254" i="8" a="1"/>
  <c r="H42" i="8" a="1"/>
  <c r="G52" i="8" a="1"/>
  <c r="G91" i="8" a="1"/>
  <c r="Q69" i="8" a="1"/>
  <c r="J197" i="8" a="1"/>
  <c r="AB41" i="8" a="1"/>
  <c r="S239" i="8" a="1"/>
  <c r="R77" i="8" a="1"/>
  <c r="Q202" i="8" a="1"/>
  <c r="Y61" i="8" a="1"/>
  <c r="R64" i="8" a="1"/>
  <c r="R128" i="8" a="1"/>
  <c r="Q80" i="8" a="1"/>
  <c r="P270" i="8" a="1"/>
  <c r="J95" i="8" a="1"/>
  <c r="I220" i="8" a="1"/>
  <c r="I188" i="8" a="1"/>
  <c r="H57" i="8" a="1"/>
  <c r="G18" i="8" a="1"/>
  <c r="G325" i="8" a="1"/>
  <c r="Q249" i="8" a="1"/>
  <c r="P44" i="8" a="1"/>
  <c r="Z99" i="8" a="1"/>
  <c r="S315" i="8" a="1"/>
  <c r="R62" i="8" a="1"/>
  <c r="AA199" i="8" a="1"/>
  <c r="S251" i="8" a="1"/>
  <c r="AJ110" i="8" a="1"/>
  <c r="AK163" i="8" a="1"/>
  <c r="AJ240" i="8" a="1"/>
  <c r="AA195" i="8" a="1"/>
  <c r="AH3" i="8" a="1"/>
  <c r="AJ70" i="8" a="1"/>
  <c r="AB166" i="8" a="1"/>
  <c r="AJ304" i="8" a="1"/>
  <c r="AJ233" i="8" a="1"/>
  <c r="AB186" i="8" a="1"/>
  <c r="Z313" i="8" a="1"/>
  <c r="AJ189" i="8" a="1"/>
  <c r="Z250" i="8" a="1"/>
  <c r="AJ122" i="8" a="1"/>
  <c r="AB33" i="8" a="1"/>
  <c r="Z60" i="8" a="1"/>
  <c r="AJ101" i="8" a="1"/>
  <c r="AJ199" i="8" a="1"/>
  <c r="Z283" i="8" a="1"/>
  <c r="S280" i="8" a="1"/>
  <c r="AK172" i="8" a="1"/>
  <c r="Z264" i="8" a="1"/>
  <c r="S52" i="8" a="1"/>
  <c r="AB120" i="8" a="1"/>
  <c r="AA43" i="8" a="1"/>
  <c r="Y192" i="8" a="1"/>
  <c r="S98" i="8" a="1"/>
  <c r="AB5" i="8" a="1"/>
  <c r="AB195" i="8" a="1"/>
  <c r="Y113" i="8" a="1"/>
  <c r="S295" i="8" a="1"/>
  <c r="Q263" i="8" a="1"/>
  <c r="P299" i="8" a="1"/>
  <c r="J285" i="8" a="1"/>
  <c r="I226" i="8" a="1"/>
  <c r="I56" i="8" a="1"/>
  <c r="H227" i="8" a="1"/>
  <c r="H127" i="8" a="1"/>
  <c r="G79" i="8" a="1"/>
  <c r="AA203" i="8" a="1"/>
  <c r="Z132" i="8" a="1"/>
  <c r="Y43" i="8" a="1"/>
  <c r="S186" i="8" a="1"/>
  <c r="R274" i="8" a="1"/>
  <c r="R147" i="8" a="1"/>
  <c r="Q12" i="8" a="1"/>
  <c r="Q291" i="8" a="1"/>
  <c r="P8" i="8" a="1"/>
  <c r="J310" i="8" a="1"/>
  <c r="J283" i="8" a="1"/>
  <c r="I108" i="8" a="1"/>
  <c r="I323" i="8" a="1"/>
  <c r="H259" i="8" a="1"/>
  <c r="AA17" i="8" a="1"/>
  <c r="Z137" i="8" a="1"/>
  <c r="Y120" i="8" a="1"/>
  <c r="AJ247" i="8" a="1"/>
  <c r="AA62" i="8" a="1"/>
  <c r="Z152" i="8" a="1"/>
  <c r="Y326" i="8" a="1"/>
  <c r="S270" i="8" a="1"/>
  <c r="R12" i="8" a="1"/>
  <c r="R277" i="8" a="1"/>
  <c r="Q253" i="8" a="1"/>
  <c r="P244" i="8" a="1"/>
  <c r="P134" i="8" a="1"/>
  <c r="J275" i="8" a="1"/>
  <c r="J299" i="8" a="1"/>
  <c r="I73" i="8" a="1"/>
  <c r="H172" i="8" a="1"/>
  <c r="H267" i="8" a="1"/>
  <c r="AA163" i="8" a="1"/>
  <c r="Z259" i="8" a="1"/>
  <c r="Y235" i="8" a="1"/>
  <c r="AB221" i="8" a="1"/>
  <c r="AA265" i="8" a="1"/>
  <c r="Z183" i="8" a="1"/>
  <c r="Y260" i="8" a="1"/>
  <c r="AB75" i="8" a="1"/>
  <c r="Z232" i="8" a="1"/>
  <c r="Y179" i="8" a="1"/>
  <c r="S214" i="8" a="1"/>
  <c r="AB327" i="8" a="1"/>
  <c r="Z148" i="8" a="1"/>
  <c r="Y172" i="8" a="1"/>
  <c r="S34" i="8" a="1"/>
  <c r="Y259" i="8" a="1"/>
  <c r="S189" i="8" a="1"/>
  <c r="R302" i="8" a="1"/>
  <c r="Q205" i="8" a="1"/>
  <c r="P150" i="8" a="1"/>
  <c r="J77" i="8" a="1"/>
  <c r="I112" i="8" a="1"/>
  <c r="I295" i="8" a="1"/>
  <c r="H253" i="8" a="1"/>
  <c r="G197" i="8" a="1"/>
  <c r="G253" i="8" a="1"/>
  <c r="P252" i="8" a="1"/>
  <c r="I322" i="8" a="1"/>
  <c r="Z305" i="8" a="1"/>
  <c r="S193" i="8" a="1"/>
  <c r="R73" i="8" a="1"/>
  <c r="Q42" i="8" a="1"/>
  <c r="P269" i="8" a="1"/>
  <c r="J52" i="8" a="1"/>
  <c r="J31" i="8" a="1"/>
  <c r="I129" i="8" a="1"/>
  <c r="H138" i="8" a="1"/>
  <c r="G130" i="8" a="1"/>
  <c r="G313" i="8" a="1"/>
  <c r="Q309" i="8" a="1"/>
  <c r="J18" i="8" a="1"/>
  <c r="AA76" i="8" a="1"/>
  <c r="S221" i="8" a="1"/>
  <c r="R215" i="8" a="1"/>
  <c r="Q31" i="8" a="1"/>
  <c r="Y296" i="8" a="1"/>
  <c r="R208" i="8" a="1"/>
  <c r="R273" i="8" a="1"/>
  <c r="Q319" i="8" a="1"/>
  <c r="P296" i="8" a="1"/>
  <c r="J24" i="8" a="1"/>
  <c r="I239" i="8" a="1"/>
  <c r="I260" i="8" a="1"/>
  <c r="H313" i="8" a="1"/>
  <c r="G96" i="8" a="1"/>
  <c r="G200" i="8" a="1"/>
  <c r="P94" i="8" a="1"/>
  <c r="P265" i="8" a="1"/>
  <c r="Y28" i="8" a="1"/>
  <c r="S272" i="8" a="1"/>
  <c r="R85" i="8" a="1"/>
  <c r="AA230" i="8" a="1"/>
  <c r="S49" i="8" a="1"/>
  <c r="R122" i="8" a="1"/>
  <c r="Q53" i="8" a="1"/>
  <c r="AA109" i="8" a="1"/>
  <c r="Y105" i="8" a="1"/>
  <c r="S285" i="8" a="1"/>
  <c r="R297" i="8" a="1"/>
  <c r="Q264" i="8" a="1"/>
  <c r="Z130" i="8" a="1"/>
  <c r="S96" i="8" a="1"/>
  <c r="Y160" i="8" a="1"/>
  <c r="AA310" i="8" a="1"/>
  <c r="Y253" i="8" a="1"/>
  <c r="Z256" i="8" a="1"/>
  <c r="S210" i="8" a="1"/>
  <c r="Z19" i="8" a="1"/>
  <c r="S171" i="8" a="1"/>
  <c r="R216" i="8" a="1"/>
  <c r="Q76" i="8" a="1"/>
  <c r="Q7" i="8" a="1"/>
  <c r="P23" i="8" a="1"/>
  <c r="P176" i="8" a="1"/>
  <c r="J200" i="8" a="1"/>
  <c r="J3" i="8" a="1"/>
  <c r="I27" i="8" a="1"/>
  <c r="R111" i="8" a="1"/>
  <c r="P310" i="8" a="1"/>
  <c r="J263" i="8" a="1"/>
  <c r="I12" i="8" a="1"/>
  <c r="H65" i="8" a="1"/>
  <c r="H147" i="8" a="1"/>
  <c r="G51" i="8" a="1"/>
  <c r="G40" i="8" a="1"/>
  <c r="J298" i="8" a="1"/>
  <c r="H58" i="8" a="1"/>
  <c r="G7" i="8" a="1"/>
  <c r="G284" i="8" a="1"/>
  <c r="G139" i="8" a="1"/>
  <c r="G158" i="8" a="1"/>
  <c r="J327" i="8" a="1"/>
  <c r="G316" i="8" a="1"/>
  <c r="I231" i="8" a="1"/>
  <c r="J279" i="8" a="1"/>
  <c r="G223" i="8" a="1"/>
  <c r="G203" i="8" a="1"/>
  <c r="R157" i="8" a="1"/>
  <c r="P12" i="8" a="1"/>
  <c r="J195" i="8" a="1"/>
  <c r="I265" i="8" a="1"/>
  <c r="H72" i="8" a="1"/>
  <c r="G153" i="8" a="1"/>
  <c r="I282" i="8" a="1"/>
  <c r="G167" i="8" a="1"/>
  <c r="G323" i="8" a="1"/>
  <c r="G88" i="8" a="1"/>
  <c r="H288" i="8" a="1"/>
  <c r="Q85" i="8" a="1"/>
  <c r="H124" i="8" a="1"/>
  <c r="J208" i="8" a="1"/>
  <c r="G176" i="8" a="1"/>
  <c r="H282" i="8" a="1"/>
  <c r="H53" i="8" a="1"/>
  <c r="R281" i="8" a="1"/>
  <c r="Q157" i="8" a="1"/>
  <c r="S309" i="8" a="1"/>
  <c r="Q315" i="8" a="1"/>
  <c r="P301" i="8" a="1"/>
  <c r="J67" i="8" a="1"/>
  <c r="I147" i="8" a="1"/>
  <c r="H73" i="8" a="1"/>
  <c r="G24" i="8" a="1"/>
  <c r="G75" i="8" a="1"/>
  <c r="I84" i="8" a="1"/>
  <c r="H257" i="8" a="1"/>
  <c r="I165" i="8" a="1"/>
  <c r="G235" i="8" a="1"/>
  <c r="R114" i="8" a="1"/>
  <c r="I242" i="8" a="1"/>
  <c r="P80" i="8" a="1"/>
  <c r="H75" i="8" a="1"/>
  <c r="I195" i="8" a="1"/>
  <c r="I136" i="8" a="1"/>
  <c r="AK305" i="8" a="1"/>
  <c r="AJ319" i="8" a="1"/>
  <c r="AJ85" i="8" a="1"/>
  <c r="AA21" i="8" a="1"/>
  <c r="AB154" i="8" a="1"/>
  <c r="AJ286" i="8" a="1"/>
  <c r="AB322" i="8" a="1"/>
  <c r="AJ149" i="8" a="1"/>
  <c r="AJ173" i="8" a="1"/>
  <c r="AB248" i="8" a="1"/>
  <c r="Z51" i="8" a="1"/>
  <c r="AJ224" i="8" a="1"/>
  <c r="Z299" i="8" a="1"/>
  <c r="AJ314" i="8" a="1"/>
  <c r="AB146" i="8" a="1"/>
  <c r="Z62" i="8" a="1"/>
  <c r="AJ31" i="8" a="1"/>
  <c r="AB178" i="8" a="1"/>
  <c r="Z218" i="8" a="1"/>
  <c r="S101" i="8" a="1"/>
  <c r="AB108" i="8" a="1"/>
  <c r="Z174" i="8" a="1"/>
  <c r="S208" i="8" a="1"/>
  <c r="AB326" i="8" a="1"/>
  <c r="AA194" i="8" a="1"/>
  <c r="Y32" i="8" a="1"/>
  <c r="S267" i="8" a="1"/>
  <c r="AB143" i="8" a="1"/>
  <c r="AA148" i="8" a="1"/>
  <c r="Y84" i="8" a="1"/>
  <c r="R72" i="8" a="1"/>
  <c r="Q6" i="8" a="1"/>
  <c r="P42" i="8" a="1"/>
  <c r="J210" i="8" a="1"/>
  <c r="I298" i="8" a="1"/>
  <c r="I86" i="8" a="1"/>
  <c r="H30" i="8" a="1"/>
  <c r="H139" i="8" a="1"/>
  <c r="G327" i="8" a="1"/>
  <c r="AA96" i="8" a="1"/>
  <c r="Z7" i="8" a="1"/>
  <c r="Y201" i="8" a="1"/>
  <c r="S84" i="8" a="1"/>
  <c r="R5" i="8" a="1"/>
  <c r="R44" i="8" a="1"/>
  <c r="Q84" i="8" a="1"/>
  <c r="P16" i="8" a="1"/>
  <c r="P277" i="8" a="1"/>
  <c r="J35" i="8" a="1"/>
  <c r="J135" i="8" a="1"/>
  <c r="I180" i="8" a="1"/>
  <c r="I127" i="8" a="1"/>
  <c r="H32" i="8" a="1"/>
  <c r="AA215" i="8" a="1"/>
  <c r="Z12" i="8" a="1"/>
  <c r="Y37" i="8" a="1"/>
  <c r="AB160" i="8" a="1"/>
  <c r="AA278" i="8" a="1"/>
  <c r="Z139" i="8" a="1"/>
  <c r="Y133" i="8" a="1"/>
  <c r="S39" i="8" a="1"/>
  <c r="AK308" i="8" a="1"/>
  <c r="AB58" i="8" a="1"/>
  <c r="AJ105" i="8" a="1"/>
  <c r="AA188" i="8" a="1"/>
  <c r="AB232" i="8" a="1"/>
  <c r="AJ29" i="8" a="1"/>
  <c r="AB35" i="8" a="1"/>
  <c r="AJ293" i="8" a="1"/>
  <c r="AJ317" i="8" a="1"/>
  <c r="AB284" i="8" a="1"/>
  <c r="Z91" i="8" a="1"/>
  <c r="AB16" i="8" a="1"/>
  <c r="Z23" i="8" a="1"/>
  <c r="AJ295" i="8" a="1"/>
  <c r="AA94" i="8" a="1"/>
  <c r="Z49" i="8" a="1"/>
  <c r="AJ278" i="8" a="1"/>
  <c r="AB157" i="8" a="1"/>
  <c r="Z26" i="8" a="1"/>
  <c r="S185" i="8" a="1"/>
  <c r="AB50" i="8" a="1"/>
  <c r="Z266" i="8" a="1"/>
  <c r="S7" i="8" a="1"/>
  <c r="AB111" i="8" a="1"/>
  <c r="AA254" i="8" a="1"/>
  <c r="Y158" i="8" a="1"/>
  <c r="R178" i="8" a="1"/>
  <c r="AJ200" i="8" a="1"/>
  <c r="AA5" i="8" a="1"/>
  <c r="Y15" i="8" a="1"/>
  <c r="R150" i="8" a="1"/>
  <c r="Q150" i="8" a="1"/>
  <c r="P266" i="8" a="1"/>
  <c r="J8" i="8" a="1"/>
  <c r="I155" i="8" a="1"/>
  <c r="I104" i="8" a="1"/>
  <c r="H102" i="8" a="1"/>
  <c r="G82" i="8" a="1"/>
  <c r="G187" i="8" a="1"/>
  <c r="AA49" i="8" a="1"/>
  <c r="Z242" i="8" a="1"/>
  <c r="Y278" i="8" a="1"/>
  <c r="S204" i="8" a="1"/>
  <c r="R305" i="8" a="1"/>
  <c r="R248" i="8" a="1"/>
  <c r="Q156" i="8" a="1"/>
  <c r="P232" i="8" a="1"/>
  <c r="P181" i="8" a="1"/>
  <c r="J107" i="8" a="1"/>
  <c r="J194" i="8" a="1"/>
  <c r="I324" i="8" a="1"/>
  <c r="H16" i="8" a="1"/>
  <c r="H213" i="8" a="1"/>
  <c r="AA102" i="8" a="1"/>
  <c r="Z144" i="8" a="1"/>
  <c r="Y308" i="8" a="1"/>
  <c r="AB209" i="8" a="1"/>
  <c r="AA157" i="8" a="1"/>
  <c r="Z63" i="8" a="1"/>
  <c r="Y123" i="8" a="1"/>
  <c r="S37" i="8" a="1"/>
  <c r="AK144" i="8" a="1"/>
  <c r="AK196" i="8" a="1"/>
  <c r="AJ313" i="8" a="1"/>
  <c r="AA207" i="8" a="1"/>
  <c r="AB23" i="8" a="1"/>
  <c r="AJ257" i="8" a="1"/>
  <c r="AB191" i="8" a="1"/>
  <c r="AJ37" i="8" a="1"/>
  <c r="AJ98" i="8" a="1"/>
  <c r="AA64" i="8" a="1"/>
  <c r="Z278" i="8" a="1"/>
  <c r="AB214" i="8" a="1"/>
  <c r="Z209" i="8" a="1"/>
  <c r="AH5" i="8" a="1"/>
  <c r="AA51" i="8" a="1"/>
  <c r="Z122" i="8" a="1"/>
  <c r="AJ277" i="8" a="1"/>
  <c r="AB247" i="8" a="1"/>
  <c r="Z241" i="8" a="1"/>
  <c r="S273" i="8" a="1"/>
  <c r="AB264" i="8" a="1"/>
  <c r="Z290" i="8" a="1"/>
  <c r="S25" i="8" a="1"/>
  <c r="AK42" i="8" a="1"/>
  <c r="Z90" i="8" a="1"/>
  <c r="Y311" i="8" a="1"/>
  <c r="R250" i="8" a="1"/>
  <c r="AJ306" i="8" a="1"/>
  <c r="AA277" i="8" a="1"/>
  <c r="Y67" i="8" a="1"/>
  <c r="R228" i="8" a="1"/>
  <c r="Q270" i="8" a="1"/>
  <c r="P283" i="8" a="1"/>
  <c r="J270" i="8" a="1"/>
  <c r="I227" i="8" a="1"/>
  <c r="I207" i="8" a="1"/>
  <c r="H159" i="8" a="1"/>
  <c r="G154" i="8" a="1"/>
  <c r="G132" i="8" a="1"/>
  <c r="AA288" i="8" a="1"/>
  <c r="Z109" i="8" a="1"/>
  <c r="Y141" i="8" a="1"/>
  <c r="S252" i="8" a="1"/>
  <c r="R78" i="8" a="1"/>
  <c r="R283" i="8" a="1"/>
  <c r="Q231" i="8" a="1"/>
  <c r="P304" i="8" a="1"/>
  <c r="P164" i="8" a="1"/>
  <c r="J257" i="8" a="1"/>
  <c r="J284" i="8" a="1"/>
  <c r="I247" i="8" a="1"/>
  <c r="H160" i="8" a="1"/>
  <c r="H252" i="8" a="1"/>
  <c r="AA121" i="8" a="1"/>
  <c r="Z284" i="8" a="1"/>
  <c r="Y187" i="8" a="1"/>
  <c r="AB181" i="8" a="1"/>
  <c r="AA75" i="8" a="1"/>
  <c r="Y88" i="8" a="1"/>
  <c r="Y21" i="8" a="1"/>
  <c r="S67" i="8" a="1"/>
  <c r="R264" i="8" a="1"/>
  <c r="Q178" i="8" a="1"/>
  <c r="Q50" i="8" a="1"/>
  <c r="P203" i="8" a="1"/>
  <c r="P25" i="8" a="1"/>
  <c r="J97" i="8" a="1"/>
  <c r="I172" i="8" a="1"/>
  <c r="I258" i="8" a="1"/>
  <c r="H101" i="8" a="1"/>
  <c r="AB262" i="8" a="1"/>
  <c r="AA61" i="8" a="1"/>
  <c r="Z189" i="8" a="1"/>
  <c r="Y246" i="8" a="1"/>
  <c r="AB147" i="8" a="1"/>
  <c r="Z70" i="8" a="1"/>
  <c r="Y35" i="8" a="1"/>
  <c r="S94" i="8" a="1"/>
  <c r="AA95" i="8" a="1"/>
  <c r="Z180" i="8" a="1"/>
  <c r="Y219" i="8" a="1"/>
  <c r="AK213" i="8" a="1"/>
  <c r="AA322" i="8" a="1"/>
  <c r="Z113" i="8" a="1"/>
  <c r="Y66" i="8" a="1"/>
  <c r="AB320" i="8" a="1"/>
  <c r="S22" i="8" a="1"/>
  <c r="R65" i="8" a="1"/>
  <c r="Q190" i="8" a="1"/>
  <c r="Q279" i="8" a="1"/>
  <c r="P183" i="8" a="1"/>
  <c r="J115" i="8" a="1"/>
  <c r="I41" i="8" a="1"/>
  <c r="I327" i="8" a="1"/>
  <c r="H123" i="8" a="1"/>
  <c r="G219" i="8" a="1"/>
  <c r="R146" i="8" a="1"/>
  <c r="P87" i="8" a="1"/>
  <c r="I162" i="8" a="1"/>
  <c r="Y286" i="8" a="1"/>
  <c r="S200" i="8" a="1"/>
  <c r="R309" i="8" a="1"/>
  <c r="Q266" i="8" a="1"/>
  <c r="P156" i="8" a="1"/>
  <c r="J281" i="8" a="1"/>
  <c r="J273" i="8" a="1"/>
  <c r="I117" i="8" a="1"/>
  <c r="H51" i="8" a="1"/>
  <c r="G41" i="8" a="1"/>
  <c r="G236" i="8" a="1"/>
  <c r="P268" i="8" a="1"/>
  <c r="J228" i="8" a="1"/>
  <c r="Z239" i="8" a="1"/>
  <c r="S69" i="8" a="1"/>
  <c r="R193" i="8" a="1"/>
  <c r="AA317" i="8" a="1"/>
  <c r="S233" i="8" a="1"/>
  <c r="R48" i="8" a="1"/>
  <c r="Q311" i="8" a="1"/>
  <c r="Q97" i="8" a="1"/>
  <c r="P230" i="8" a="1"/>
  <c r="J103" i="8" a="1"/>
  <c r="I269" i="8" a="1"/>
  <c r="H202" i="8" a="1"/>
  <c r="H290" i="8" a="1"/>
  <c r="G57" i="8" a="1"/>
  <c r="Q162" i="8" a="1"/>
  <c r="P264" i="8" a="1"/>
  <c r="J268" i="8" a="1"/>
  <c r="Y183" i="8" a="1"/>
  <c r="R275" i="8" a="1"/>
  <c r="R55" i="8" a="1"/>
  <c r="Z44" i="8" a="1"/>
  <c r="S194" i="8" a="1"/>
  <c r="R93" i="8" a="1"/>
  <c r="Q66" i="8" a="1"/>
  <c r="Z124" i="8" a="1"/>
  <c r="S257" i="8" a="1"/>
  <c r="R299" i="8" a="1"/>
  <c r="R56" i="8" a="1"/>
  <c r="Q110" i="8" a="1"/>
  <c r="Z57" i="8" a="1"/>
  <c r="AB169" i="8" a="1"/>
  <c r="AK232" i="8" a="1"/>
  <c r="AK31" i="8" a="1"/>
  <c r="AB257" i="8" a="1"/>
  <c r="Z238" i="8" a="1"/>
  <c r="AB163" i="8" a="1"/>
  <c r="AK300" i="8" a="1"/>
  <c r="AB266" i="8" a="1"/>
  <c r="AK240" i="8" a="1"/>
  <c r="AK272" i="8" a="1"/>
  <c r="AA110" i="8" a="1"/>
  <c r="Y168" i="8" a="1"/>
  <c r="AB55" i="8" a="1"/>
  <c r="Z235" i="8" a="1"/>
  <c r="AK27" i="8" a="1"/>
  <c r="AA31" i="8" a="1"/>
  <c r="Z297" i="8" a="1"/>
  <c r="AJ103" i="8" a="1"/>
  <c r="AB319" i="8" a="1"/>
  <c r="Z145" i="8" a="1"/>
  <c r="S297" i="8" a="1"/>
  <c r="AB294" i="8" a="1"/>
  <c r="Y214" i="8" a="1"/>
  <c r="S306" i="8" a="1"/>
  <c r="AJ194" i="8" a="1"/>
  <c r="Z248" i="8" a="1"/>
  <c r="AA3" i="8" a="1"/>
  <c r="AI9" i="8" a="1"/>
  <c r="AH7" i="8" a="1"/>
  <c r="AA129" i="8" a="1"/>
  <c r="Y199" i="8" a="1"/>
  <c r="R57" i="8" a="1"/>
  <c r="Q91" i="8" a="1"/>
  <c r="P153" i="8" a="1"/>
  <c r="J84" i="8" a="1"/>
  <c r="I30" i="8" a="1"/>
  <c r="I259" i="8" a="1"/>
  <c r="H291" i="8" a="1"/>
  <c r="G226" i="8" a="1"/>
  <c r="AJ163" i="8" a="1"/>
  <c r="AA242" i="8" a="1"/>
  <c r="Z295" i="8" a="1"/>
  <c r="Y231" i="8" a="1"/>
  <c r="S56" i="8" a="1"/>
  <c r="R156" i="8" a="1"/>
  <c r="R295" i="8" a="1"/>
  <c r="Q182" i="8" a="1"/>
  <c r="P317" i="8" a="1"/>
  <c r="P73" i="8" a="1"/>
  <c r="J54" i="8" a="1"/>
  <c r="J122" i="8" a="1"/>
  <c r="I294" i="8" a="1"/>
  <c r="H232" i="8" a="1"/>
  <c r="H297" i="8" a="1"/>
  <c r="AA213" i="8" a="1"/>
  <c r="Z127" i="8" a="1"/>
  <c r="Y152" i="8" a="1"/>
  <c r="AB80" i="8" a="1"/>
  <c r="AA33" i="8" a="1"/>
  <c r="Y226" i="8" a="1"/>
  <c r="AB3" i="8" a="1"/>
  <c r="AK73" i="8" a="1"/>
  <c r="AK20" i="8" a="1"/>
  <c r="AB54" i="8" a="1"/>
  <c r="Z310" i="8" a="1"/>
  <c r="AB165" i="8" a="1"/>
  <c r="AK323" i="8" a="1"/>
  <c r="AB180" i="8" a="1"/>
  <c r="AK115" i="8" a="1"/>
  <c r="AK170" i="8" a="1"/>
  <c r="AA123" i="8" a="1"/>
  <c r="Y109" i="8" a="1"/>
  <c r="AB240" i="8" a="1"/>
  <c r="Z98" i="8" a="1"/>
  <c r="AJ116" i="8" a="1"/>
  <c r="AA8" i="8" a="1"/>
  <c r="Y4" i="8" a="1"/>
  <c r="AJ198" i="8" a="1"/>
  <c r="AA220" i="8" a="1"/>
  <c r="Y72" i="8" a="1"/>
  <c r="S146" i="8" a="1"/>
  <c r="AB241" i="8" a="1"/>
  <c r="Y65" i="8" a="1"/>
  <c r="S141" i="8" a="1"/>
  <c r="AB81" i="8" a="1"/>
  <c r="Z231" i="8" a="1"/>
  <c r="S64" i="8" a="1"/>
  <c r="AB220" i="8" a="1"/>
  <c r="AB11" i="8" a="1"/>
  <c r="Z154" i="8" a="1"/>
  <c r="S58" i="8" a="1"/>
  <c r="R288" i="8" a="1"/>
  <c r="Q255" i="8" a="1"/>
  <c r="P146" i="8" a="1"/>
  <c r="J235" i="8" a="1"/>
  <c r="I102" i="8" a="1"/>
  <c r="I55" i="8" a="1"/>
  <c r="H68" i="8" a="1"/>
  <c r="G298" i="8" a="1"/>
  <c r="AB136" i="8" a="1"/>
  <c r="AA236" i="8" a="1"/>
  <c r="Z307" i="8" a="1"/>
  <c r="Y169" i="8" a="1"/>
  <c r="S228" i="8" a="1"/>
  <c r="R234" i="8" a="1"/>
  <c r="Q22" i="8" a="1"/>
  <c r="Q254" i="8" a="1"/>
  <c r="P41" i="8" a="1"/>
  <c r="P229" i="8" a="1"/>
  <c r="J79" i="8" a="1"/>
  <c r="I16" i="8" a="1"/>
  <c r="I200" i="8" a="1"/>
  <c r="H89" i="8" a="1"/>
  <c r="AJ211" i="8" a="1"/>
  <c r="AA327" i="8" a="1"/>
  <c r="Z38" i="8" a="1"/>
  <c r="Y267" i="8" a="1"/>
  <c r="AB74" i="8" a="1"/>
  <c r="Z185" i="8" a="1"/>
  <c r="Y5" i="8" a="1"/>
  <c r="S82" i="8" a="1"/>
  <c r="S128" i="8" a="1"/>
  <c r="AJ161" i="8" a="1"/>
  <c r="AK63" i="8" a="1"/>
  <c r="AB159" i="8" a="1"/>
  <c r="Z306" i="8" a="1"/>
  <c r="AB67" i="8" a="1"/>
  <c r="AK37" i="8" a="1"/>
  <c r="AB105" i="8" a="1"/>
  <c r="AK80" i="8" a="1"/>
  <c r="AK279" i="8" a="1"/>
  <c r="AA39" i="8" a="1"/>
  <c r="Y258" i="8" a="1"/>
  <c r="AB273" i="8" a="1"/>
  <c r="Z315" i="8" a="1"/>
  <c r="AI10" i="8" a="1"/>
  <c r="AA111" i="8" a="1"/>
  <c r="Y42" i="8" a="1"/>
  <c r="AJ104" i="8" a="1"/>
  <c r="AA23" i="8" a="1"/>
  <c r="Y162" i="8" a="1"/>
  <c r="S113" i="8" a="1"/>
  <c r="AA295" i="8" a="1"/>
  <c r="Y167" i="8" a="1"/>
  <c r="S307" i="8" a="1"/>
  <c r="AB31" i="8" a="1"/>
  <c r="Z169" i="8" a="1"/>
  <c r="S156" i="8" a="1"/>
  <c r="AB317" i="8" a="1"/>
  <c r="AB149" i="8" a="1"/>
  <c r="Z288" i="8" a="1"/>
  <c r="S305" i="8" a="1"/>
  <c r="R265" i="8" a="1"/>
  <c r="Q176" i="8" a="1"/>
  <c r="P158" i="8" a="1"/>
  <c r="J93" i="8" a="1"/>
  <c r="I174" i="8" a="1"/>
  <c r="H10" i="8" a="1"/>
  <c r="H110" i="8" a="1"/>
  <c r="G275" i="8" a="1"/>
  <c r="AB26" i="8" a="1"/>
  <c r="AA117" i="8" a="1"/>
  <c r="Z308" i="8" a="1"/>
  <c r="Y189" i="8" a="1"/>
  <c r="S188" i="8" a="1"/>
  <c r="R278" i="8" a="1"/>
  <c r="Q166" i="8" a="1"/>
  <c r="Q123" i="8" a="1"/>
  <c r="P119" i="8" a="1"/>
  <c r="P135" i="8" a="1"/>
  <c r="J187" i="8" a="1"/>
  <c r="I88" i="8" a="1"/>
  <c r="I212" i="8" a="1"/>
  <c r="H161" i="8" a="1"/>
  <c r="AB142" i="8" a="1"/>
  <c r="AA45" i="8" a="1"/>
  <c r="Z73" i="8" a="1"/>
  <c r="Y264" i="8" a="1"/>
  <c r="AB56" i="8" a="1"/>
  <c r="Z11" i="8" a="1"/>
  <c r="Y131" i="8" a="1"/>
  <c r="S292" i="8" a="1"/>
  <c r="S321" i="8" a="1"/>
  <c r="R254" i="8" a="1"/>
  <c r="Q11" i="8" a="1"/>
  <c r="Q117" i="8" a="1"/>
  <c r="P138" i="8" a="1"/>
  <c r="J34" i="8" a="1"/>
  <c r="J188" i="8" a="1"/>
  <c r="I29" i="8" a="1"/>
  <c r="I252" i="8" a="1"/>
  <c r="H192" i="8" a="1"/>
  <c r="AB91" i="8" a="1"/>
  <c r="AA74" i="8" a="1"/>
  <c r="Y238" i="8" a="1"/>
  <c r="Z3" i="8" a="1"/>
  <c r="AA214" i="8" a="1"/>
  <c r="Z30" i="8" a="1"/>
  <c r="Y138" i="8" a="1"/>
  <c r="S95" i="8" a="1"/>
  <c r="AA91" i="8" a="1"/>
  <c r="Z158" i="8" a="1"/>
  <c r="Y97" i="8" a="1"/>
  <c r="AB29" i="8" a="1"/>
  <c r="AA259" i="8" a="1"/>
  <c r="Z159" i="8" a="1"/>
  <c r="Y216" i="8" a="1"/>
  <c r="AA92" i="8" a="1"/>
  <c r="S150" i="8" a="1"/>
  <c r="R110" i="8" a="1"/>
  <c r="Q23" i="8" a="1"/>
  <c r="P58" i="8" a="1"/>
  <c r="P313" i="8" a="1"/>
  <c r="J98" i="8" a="1"/>
  <c r="I150" i="8" a="1"/>
  <c r="H113" i="8" a="1"/>
  <c r="H210" i="8" a="1"/>
  <c r="G81" i="8" a="1"/>
  <c r="Q236" i="8" a="1"/>
  <c r="J89" i="8" a="1"/>
  <c r="AK3" i="8" a="1"/>
  <c r="S28" i="8" a="1"/>
  <c r="R316" i="8" a="1"/>
  <c r="R303" i="8" a="1"/>
  <c r="Q302" i="8" a="1"/>
  <c r="P211" i="8" a="1"/>
  <c r="J302" i="8" a="1"/>
  <c r="I47" i="8" a="1"/>
  <c r="I146" i="8" a="1"/>
  <c r="H135" i="8" a="1"/>
  <c r="G237" i="8" a="1"/>
  <c r="H3" i="8" a="1"/>
  <c r="P285" i="8" a="1"/>
  <c r="I143" i="8" a="1"/>
  <c r="Z219" i="8" a="1"/>
  <c r="S92" i="8" a="1"/>
  <c r="R327" i="8" a="1"/>
  <c r="Z263" i="8" a="1"/>
  <c r="S145" i="8" a="1"/>
  <c r="R121" i="8" a="1"/>
  <c r="Q192" i="8" a="1"/>
  <c r="P274" i="8" a="1"/>
  <c r="P254" i="8" a="1"/>
  <c r="J282" i="8" a="1"/>
  <c r="I81" i="8" a="1"/>
  <c r="H60" i="8" a="1"/>
  <c r="G64" i="8" a="1"/>
  <c r="G302" i="8" a="1"/>
  <c r="Q175" i="8" a="1"/>
  <c r="AB199" i="8" a="1"/>
  <c r="AK133" i="8" a="1"/>
  <c r="AK139" i="8" a="1"/>
  <c r="AB51" i="8" a="1"/>
  <c r="AA115" i="8" a="1"/>
  <c r="AA235" i="8" a="1"/>
  <c r="AA318" i="8" a="1"/>
  <c r="AB193" i="8" a="1"/>
  <c r="AB12" i="8" a="1"/>
  <c r="S65" i="8" a="1"/>
  <c r="J160" i="8" a="1"/>
  <c r="H82" i="8" a="1"/>
  <c r="AB325" i="8" a="1"/>
  <c r="Y297" i="8" a="1"/>
  <c r="Q238" i="8" a="1"/>
  <c r="P127" i="8" a="1"/>
  <c r="I141" i="8" a="1"/>
  <c r="AA299" i="8" a="1"/>
  <c r="AA40" i="8" a="1"/>
  <c r="S198" i="8" a="1"/>
  <c r="R49" i="8" a="1"/>
  <c r="Q168" i="8" a="1"/>
  <c r="P60" i="8" a="1"/>
  <c r="J119" i="8" a="1"/>
  <c r="I316" i="8" a="1"/>
  <c r="H28" i="8" a="1"/>
  <c r="AB121" i="8" a="1"/>
  <c r="Z24" i="8" a="1"/>
  <c r="Y165" i="8" a="1"/>
  <c r="AA19" i="8" a="1"/>
  <c r="Y12" i="8" a="1"/>
  <c r="AB20" i="8" a="1"/>
  <c r="Z205" i="8" a="1"/>
  <c r="S4" i="8" a="1"/>
  <c r="AA84" i="8" a="1"/>
  <c r="Z176" i="8" a="1"/>
  <c r="AA32" i="8" a="1"/>
  <c r="S43" i="8" a="1"/>
  <c r="Q245" i="8" a="1"/>
  <c r="P251" i="8" a="1"/>
  <c r="J182" i="8" a="1"/>
  <c r="I301" i="8" a="1"/>
  <c r="H97" i="8" a="1"/>
  <c r="G97" i="8" a="1"/>
  <c r="J256" i="8" a="1"/>
  <c r="AA63" i="8" a="1"/>
  <c r="R190" i="8" a="1"/>
  <c r="Q119" i="8" a="1"/>
  <c r="P224" i="8" a="1"/>
  <c r="J242" i="8" a="1"/>
  <c r="I235" i="8" a="1"/>
  <c r="H67" i="8" a="1"/>
  <c r="G144" i="8" a="1"/>
  <c r="J293" i="8" a="1"/>
  <c r="Z296" i="8" a="1"/>
  <c r="R251" i="8" a="1"/>
  <c r="AA321" i="8" a="1"/>
  <c r="S230" i="8" a="1"/>
  <c r="Q131" i="8" a="1"/>
  <c r="P168" i="8" a="1"/>
  <c r="J260" i="8" a="1"/>
  <c r="I97" i="8" a="1"/>
  <c r="H200" i="8" a="1"/>
  <c r="G170" i="8" a="1"/>
  <c r="P174" i="8" a="1"/>
  <c r="Z198" i="8" a="1"/>
  <c r="S45" i="8" a="1"/>
  <c r="Q214" i="8" a="1"/>
  <c r="Y75" i="8" a="1"/>
  <c r="R159" i="8" a="1"/>
  <c r="Q246" i="8" a="1"/>
  <c r="Z216" i="8" a="1"/>
  <c r="S9" i="8" a="1"/>
  <c r="R151" i="8" a="1"/>
  <c r="Q179" i="8" a="1"/>
  <c r="Z321" i="8" a="1"/>
  <c r="AA308" i="8" a="1"/>
  <c r="S238" i="8" a="1"/>
  <c r="Z68" i="8" a="1"/>
  <c r="AA101" i="8" a="1"/>
  <c r="S10" i="8" a="1"/>
  <c r="Z56" i="8" a="1"/>
  <c r="S278" i="8" a="1"/>
  <c r="R38" i="8" a="1"/>
  <c r="Q274" i="8" a="1"/>
  <c r="Q122" i="8" a="1"/>
  <c r="P144" i="8" a="1"/>
  <c r="J130" i="8" a="1"/>
  <c r="J314" i="8" a="1"/>
  <c r="I54" i="8" a="1"/>
  <c r="S294" i="8" a="1"/>
  <c r="Q320" i="8" a="1"/>
  <c r="J286" i="8" a="1"/>
  <c r="I113" i="8" a="1"/>
  <c r="H191" i="8" a="1"/>
  <c r="G148" i="8" a="1"/>
  <c r="G134" i="8" a="1"/>
  <c r="G114" i="8" a="1"/>
  <c r="J294" i="8" a="1"/>
  <c r="H20" i="8" a="1"/>
  <c r="H153" i="8" a="1"/>
  <c r="H242" i="8" a="1"/>
  <c r="G126" i="8" a="1"/>
  <c r="J4" i="8" a="1"/>
  <c r="H117" i="8" a="1"/>
  <c r="H130" i="8" a="1"/>
  <c r="I94" i="8" a="1"/>
  <c r="J21" i="8" a="1"/>
  <c r="S223" i="8" a="1"/>
  <c r="Q99" i="8" a="1"/>
  <c r="P27" i="8" a="1"/>
  <c r="I166" i="8" a="1"/>
  <c r="H178" i="8" a="1"/>
  <c r="G26" i="8" a="1"/>
  <c r="I167" i="8" a="1"/>
  <c r="G262" i="8" a="1"/>
  <c r="G30" i="8" a="1"/>
  <c r="G89" i="8" a="1"/>
  <c r="G42" i="8" a="1"/>
  <c r="J202" i="8" a="1"/>
  <c r="G196" i="8" a="1"/>
  <c r="H35" i="8" a="1"/>
  <c r="I210" i="8" a="1"/>
  <c r="J168" i="8" a="1"/>
  <c r="S195" i="8" a="1"/>
  <c r="Q39" i="8" a="1"/>
  <c r="S260" i="8" a="1"/>
  <c r="Q145" i="8" a="1"/>
  <c r="J124" i="8" a="1"/>
  <c r="I293" i="8" a="1"/>
  <c r="H263" i="8" a="1"/>
  <c r="H44" i="8" a="1"/>
  <c r="G39" i="8" a="1"/>
  <c r="J240" i="8" a="1"/>
  <c r="H70" i="8" a="1"/>
  <c r="G210" i="8" a="1"/>
  <c r="G312" i="8" a="1"/>
  <c r="G156" i="8" a="1"/>
  <c r="H250" i="8" a="1"/>
  <c r="J53" i="8" a="1"/>
  <c r="G247" i="8" a="1"/>
  <c r="H187" i="8" a="1"/>
  <c r="H81" i="8" a="1"/>
  <c r="R236" i="8" a="1"/>
  <c r="P196" i="8" a="1"/>
  <c r="J229" i="8" a="1"/>
  <c r="Q256" i="8" a="1"/>
  <c r="P9" i="8" a="1"/>
  <c r="J38" i="8" a="1"/>
  <c r="H269" i="8" a="1"/>
  <c r="Q95" i="8" a="1"/>
  <c r="P39" i="8" a="1"/>
  <c r="J271" i="8" a="1"/>
  <c r="I194" i="8" a="1"/>
  <c r="S20" i="8" a="1"/>
  <c r="Q267" i="8" a="1"/>
  <c r="Q58" i="8" a="1"/>
  <c r="P165" i="8" a="1"/>
  <c r="Q215" i="8" a="1"/>
  <c r="P237" i="8" a="1"/>
  <c r="R133" i="8" a="1"/>
  <c r="P89" i="8" a="1"/>
  <c r="J73" i="8" a="1"/>
  <c r="I186" i="8" a="1"/>
  <c r="H185" i="8" a="1"/>
  <c r="G28" i="8" a="1"/>
  <c r="G204" i="8" a="1"/>
  <c r="G288" i="8" a="1"/>
  <c r="H205" i="8" a="1"/>
  <c r="I281" i="8" a="1"/>
  <c r="J181" i="8" a="1"/>
  <c r="G55" i="8" a="1"/>
  <c r="G21" i="8" a="1"/>
  <c r="J57" i="8" a="1"/>
  <c r="G112" i="8" a="1"/>
  <c r="H223" i="8" a="1"/>
  <c r="P288" i="8" a="1"/>
  <c r="J99" i="8" a="1"/>
  <c r="P212" i="8" a="1"/>
  <c r="J313" i="8" a="1"/>
  <c r="G260" i="8" a="1"/>
  <c r="Q108" i="8" a="1"/>
  <c r="J117" i="8" a="1"/>
  <c r="I289" i="8" a="1"/>
  <c r="S327" i="8" a="1"/>
  <c r="Q187" i="8" a="1"/>
  <c r="G283" i="8" a="1"/>
  <c r="Q210" i="8" a="1"/>
  <c r="P37" i="8" a="1"/>
  <c r="P65" i="8" a="1"/>
  <c r="J159" i="8" a="1"/>
  <c r="I171" i="8" a="1"/>
  <c r="G136" i="8" a="1"/>
  <c r="G62" i="8" a="1"/>
  <c r="G279" i="8" a="1"/>
  <c r="H61" i="8" a="1"/>
  <c r="I274" i="8" a="1"/>
  <c r="J175" i="8" a="1"/>
  <c r="J225" i="8" a="1"/>
  <c r="Q155" i="8" a="1"/>
  <c r="Z134" i="8" a="1"/>
  <c r="S41" i="8" a="1"/>
  <c r="Q87" i="8" a="1"/>
  <c r="S165" i="8" a="1"/>
  <c r="Q98" i="8" a="1"/>
  <c r="AA25" i="8" a="1"/>
  <c r="Y209" i="8" a="1"/>
  <c r="S143" i="8" a="1"/>
  <c r="S51" i="8" a="1"/>
  <c r="Q17" i="8" a="1"/>
  <c r="P141" i="8" a="1"/>
  <c r="J189" i="8" a="1"/>
  <c r="P124" i="8" a="1"/>
  <c r="I325" i="8" a="1"/>
  <c r="G227" i="8" a="1"/>
  <c r="G99" i="8" a="1"/>
  <c r="G166" i="8" a="1"/>
  <c r="AK137" i="8" a="1"/>
  <c r="AB278" i="8" a="1"/>
  <c r="AJ38" i="8" a="1"/>
  <c r="AJ324" i="8" a="1"/>
  <c r="AA271" i="8" a="1"/>
  <c r="Z262" i="8" a="1"/>
  <c r="AA55" i="8" a="1"/>
  <c r="AA80" i="8" a="1"/>
  <c r="AB135" i="8" a="1"/>
  <c r="AB150" i="8" a="1"/>
  <c r="S116" i="8" a="1"/>
  <c r="J232" i="8" a="1"/>
  <c r="H298" i="8" a="1"/>
  <c r="AB223" i="8" a="1"/>
  <c r="S268" i="8" a="1"/>
  <c r="Q312" i="8" a="1"/>
  <c r="J22" i="8" a="1"/>
  <c r="I115" i="8" a="1"/>
  <c r="Z52" i="8" a="1"/>
  <c r="AA221" i="8" a="1"/>
  <c r="S6" i="8" a="1"/>
  <c r="R80" i="8" a="1"/>
  <c r="Q265" i="8" a="1"/>
  <c r="P210" i="8" a="1"/>
  <c r="J66" i="8" a="1"/>
  <c r="I101" i="8" a="1"/>
  <c r="H244" i="8" a="1"/>
  <c r="AB115" i="8" a="1"/>
  <c r="Z243" i="8" a="1"/>
  <c r="S88" i="8" a="1"/>
  <c r="AA128" i="8" a="1"/>
  <c r="Y170" i="8" a="1"/>
  <c r="AB25" i="8" a="1"/>
  <c r="Z81" i="8" a="1"/>
  <c r="S316" i="8" a="1"/>
  <c r="AA57" i="8" a="1"/>
  <c r="Y298" i="8" a="1"/>
  <c r="AA204" i="8" a="1"/>
  <c r="R46" i="8" a="1"/>
  <c r="Q113" i="8" a="1"/>
  <c r="P240" i="8" a="1"/>
  <c r="J234" i="8" a="1"/>
  <c r="I14" i="8" a="1"/>
  <c r="H128" i="8" a="1"/>
  <c r="G44" i="8" a="1"/>
  <c r="J326" i="8" a="1"/>
  <c r="Z302" i="8" a="1"/>
  <c r="R71" i="8" a="1"/>
  <c r="Q132" i="8" a="1"/>
  <c r="P194" i="8" a="1"/>
  <c r="J207" i="8" a="1"/>
  <c r="I243" i="8" a="1"/>
  <c r="G208" i="8" a="1"/>
  <c r="R235" i="8" a="1"/>
  <c r="J111" i="8" a="1"/>
  <c r="Z236" i="8" a="1"/>
  <c r="R42" i="8" a="1"/>
  <c r="Z66" i="8" a="1"/>
  <c r="R263" i="8" a="1"/>
  <c r="Q54" i="8" a="1"/>
  <c r="P170" i="8" a="1"/>
  <c r="J91" i="8" a="1"/>
  <c r="I297" i="8" a="1"/>
  <c r="G142" i="8" a="1"/>
  <c r="Q28" i="8" a="1"/>
  <c r="P312" i="8" a="1"/>
  <c r="Z84" i="8" a="1"/>
  <c r="R214" i="8" a="1"/>
  <c r="Q317" i="8" a="1"/>
  <c r="S148" i="8" a="1"/>
  <c r="R140" i="8" a="1"/>
  <c r="Q174" i="8" a="1"/>
  <c r="Z195" i="8" a="1"/>
  <c r="S235" i="8" a="1"/>
  <c r="R39" i="8" a="1"/>
  <c r="Q72" i="8" a="1"/>
  <c r="Y154" i="8" a="1"/>
  <c r="AA170" i="8" a="1"/>
  <c r="S131" i="8" a="1"/>
  <c r="Z104" i="8" a="1"/>
  <c r="AA312" i="8" a="1"/>
  <c r="S322" i="8" a="1"/>
  <c r="Z153" i="8" a="1"/>
  <c r="S213" i="8" a="1"/>
  <c r="R134" i="8" a="1"/>
  <c r="Q233" i="8" a="1"/>
  <c r="Q135" i="8" a="1"/>
  <c r="P234" i="8" a="1"/>
  <c r="J220" i="8" a="1"/>
  <c r="J9" i="8" a="1"/>
  <c r="I144" i="8" a="1"/>
  <c r="R244" i="8" a="1"/>
  <c r="Q25" i="8" a="1"/>
  <c r="J125" i="8" a="1"/>
  <c r="I26" i="8" a="1"/>
  <c r="H66" i="8" a="1"/>
  <c r="G250" i="8" a="1"/>
  <c r="G181" i="8" a="1"/>
  <c r="G49" i="8" a="1"/>
  <c r="I287" i="8" a="1"/>
  <c r="H86" i="8" a="1"/>
  <c r="H169" i="8" a="1"/>
  <c r="H158" i="8" a="1"/>
  <c r="G245" i="8" a="1"/>
  <c r="J215" i="8" a="1"/>
  <c r="G48" i="8" a="1"/>
  <c r="H6" i="8" a="1"/>
  <c r="I132" i="8" a="1"/>
  <c r="J147" i="8" a="1"/>
  <c r="S326" i="8" a="1"/>
  <c r="Q296" i="8" a="1"/>
  <c r="J112" i="8" a="1"/>
  <c r="I275" i="8" a="1"/>
  <c r="H322" i="8" a="1"/>
  <c r="G295" i="8" a="1"/>
  <c r="I87" i="8" a="1"/>
  <c r="G12" i="8" a="1"/>
  <c r="G129" i="8" a="1"/>
  <c r="G165" i="8" a="1"/>
  <c r="G147" i="8" a="1"/>
  <c r="J15" i="8" a="1"/>
  <c r="G257" i="8" a="1"/>
  <c r="H229" i="8" a="1"/>
  <c r="I234" i="8" a="1"/>
  <c r="I299" i="8" a="1"/>
  <c r="S147" i="8" a="1"/>
  <c r="Q33" i="8" a="1"/>
  <c r="S117" i="8" a="1"/>
  <c r="Q169" i="8" a="1"/>
  <c r="J316" i="8" a="1"/>
  <c r="I179" i="8" a="1"/>
  <c r="H95" i="8" a="1"/>
  <c r="G70" i="8" a="1"/>
  <c r="G216" i="8" a="1"/>
  <c r="I52" i="8" a="1"/>
  <c r="H214" i="8" a="1"/>
  <c r="G264" i="8" a="1"/>
  <c r="Q115" i="8" a="1"/>
  <c r="H143" i="8" a="1"/>
  <c r="G195" i="8" a="1"/>
  <c r="R69" i="8" a="1"/>
  <c r="Q89" i="8" a="1"/>
  <c r="P81" i="8" a="1"/>
  <c r="Q197" i="8" a="1"/>
  <c r="R291" i="8" a="1"/>
  <c r="H54" i="8" a="1"/>
  <c r="I92" i="8" a="1"/>
  <c r="G286" i="8" a="1"/>
  <c r="P255" i="8" a="1"/>
  <c r="G220" i="8" a="1"/>
  <c r="P307" i="8" a="1"/>
  <c r="R119" i="8" a="1"/>
  <c r="R323" i="8" a="1"/>
  <c r="Y142" i="8" a="1"/>
  <c r="R176" i="8" a="1"/>
  <c r="Y197" i="8" a="1"/>
  <c r="S269" i="8" a="1"/>
  <c r="AA311" i="8" a="1"/>
  <c r="Y262" i="8" a="1"/>
  <c r="R260" i="8" a="1"/>
  <c r="Q219" i="8" a="1"/>
  <c r="J251" i="8" a="1"/>
  <c r="R257" i="8" a="1"/>
  <c r="J92" i="8" a="1"/>
  <c r="H186" i="8" a="1"/>
  <c r="G307" i="8" a="1"/>
  <c r="I24" i="8" a="1"/>
  <c r="G274" i="8" a="1"/>
  <c r="AK146" i="8" a="1"/>
  <c r="AA10" i="8" a="1"/>
  <c r="AJ121" i="8" a="1"/>
  <c r="AB106" i="8" a="1"/>
  <c r="AA294" i="8" a="1"/>
  <c r="Z161" i="8" a="1"/>
  <c r="AA147" i="8" a="1"/>
  <c r="AA303" i="8" a="1"/>
  <c r="AA4" i="8" a="1"/>
  <c r="AI6" i="8" a="1"/>
  <c r="S243" i="8" a="1"/>
  <c r="J304" i="8" a="1"/>
  <c r="H11" i="8" a="1"/>
  <c r="AA22" i="8" a="1"/>
  <c r="S323" i="8" a="1"/>
  <c r="Q71" i="8" a="1"/>
  <c r="J94" i="8" a="1"/>
  <c r="I261" i="8" a="1"/>
  <c r="Z190" i="8" a="1"/>
  <c r="AA108" i="8" a="1"/>
  <c r="S102" i="8" a="1"/>
  <c r="R279" i="8" a="1"/>
  <c r="Q62" i="8" a="1"/>
  <c r="P78" i="8" a="1"/>
  <c r="J305" i="8" a="1"/>
  <c r="I173" i="8" a="1"/>
  <c r="H316" i="8" a="1"/>
  <c r="AB212" i="8" a="1"/>
  <c r="Z188" i="8" a="1"/>
  <c r="S184" i="8" a="1"/>
  <c r="AA56" i="8" a="1"/>
  <c r="Y193" i="8" a="1"/>
  <c r="AA58" i="8" a="1"/>
  <c r="Z211" i="8" a="1"/>
  <c r="S11" i="8" a="1"/>
  <c r="AA225" i="8" a="1"/>
  <c r="Y107" i="8" a="1"/>
  <c r="Z274" i="8" a="1"/>
  <c r="R154" i="8" a="1"/>
  <c r="Q251" i="8" a="1"/>
  <c r="P152" i="8" a="1"/>
  <c r="J32" i="8" a="1"/>
  <c r="I189" i="8" a="1"/>
  <c r="G46" i="8" a="1"/>
  <c r="G117" i="8" a="1"/>
  <c r="J133" i="8" a="1"/>
  <c r="Z327" i="8" a="1"/>
  <c r="R203" i="8" a="1"/>
  <c r="Q306" i="8" a="1"/>
  <c r="P253" i="8" a="1"/>
  <c r="H94" i="8" a="1"/>
  <c r="Q292" i="8" a="1"/>
  <c r="J267" i="8" a="1"/>
  <c r="Y47" i="8" a="1"/>
  <c r="R138" i="8" a="1"/>
  <c r="Z114" i="8" a="1"/>
  <c r="R83" i="8" a="1"/>
  <c r="Q144" i="8" a="1"/>
  <c r="H4" i="8" a="1"/>
  <c r="Q47" i="8" a="1"/>
  <c r="AK132" i="8" a="1"/>
  <c r="AA82" i="8" a="1"/>
  <c r="AJ8" i="8" a="1"/>
  <c r="AB208" i="8" a="1"/>
  <c r="AA296" i="8" a="1"/>
  <c r="Z35" i="8" a="1"/>
  <c r="Z76" i="8" a="1"/>
  <c r="AA85" i="8" a="1"/>
  <c r="AA171" i="8" a="1"/>
  <c r="AH10" i="8" a="1"/>
  <c r="S218" i="8" a="1"/>
  <c r="J101" i="8" a="1"/>
  <c r="H83" i="8" a="1"/>
  <c r="AA184" i="8" a="1"/>
  <c r="S71" i="8" a="1"/>
  <c r="Q143" i="8" a="1"/>
  <c r="J166" i="8" a="1"/>
  <c r="I277" i="8" a="1"/>
  <c r="Z173" i="8" a="1"/>
  <c r="AA319" i="8" a="1"/>
  <c r="S27" i="8" a="1"/>
  <c r="R135" i="8" a="1"/>
  <c r="Q278" i="8" a="1"/>
  <c r="P169" i="8" a="1"/>
  <c r="J205" i="8" a="1"/>
  <c r="I48" i="8" a="1"/>
  <c r="H173" i="8" a="1"/>
  <c r="AA46" i="8" a="1"/>
  <c r="Z92" i="8" a="1"/>
  <c r="S216" i="8" a="1"/>
  <c r="Z226" i="8" a="1"/>
  <c r="Y182" i="8" a="1"/>
  <c r="AA257" i="8" a="1"/>
  <c r="Z27" i="8" a="1"/>
  <c r="AJ176" i="8" a="1"/>
  <c r="AA181" i="8" a="1"/>
  <c r="Y204" i="8" a="1"/>
  <c r="Z147" i="8" a="1"/>
  <c r="R185" i="8" a="1"/>
  <c r="Q126" i="8" a="1"/>
  <c r="P189" i="8" a="1"/>
  <c r="J199" i="8" a="1"/>
  <c r="H76" i="8" a="1"/>
  <c r="G202" i="8" a="1"/>
  <c r="Q125" i="8" a="1"/>
  <c r="J252" i="8" a="1"/>
  <c r="Y60" i="8" a="1"/>
  <c r="R132" i="8" a="1"/>
  <c r="Q129" i="8" a="1"/>
  <c r="P278" i="8" a="1"/>
  <c r="I22" i="8" a="1"/>
  <c r="H280" i="8" a="1"/>
  <c r="G119" i="8" a="1"/>
  <c r="Q323" i="8" a="1"/>
  <c r="J217" i="8" a="1"/>
  <c r="Y218" i="8" a="1"/>
  <c r="R115" i="8" a="1"/>
  <c r="Y10" i="8" a="1"/>
  <c r="R144" i="8" a="1"/>
  <c r="Q295" i="8" a="1"/>
  <c r="P259" i="8" a="1"/>
  <c r="J317" i="8" a="1"/>
  <c r="H292" i="8" a="1"/>
  <c r="G299" i="8" a="1"/>
  <c r="Q37" i="8" a="1"/>
  <c r="P303" i="8" a="1"/>
  <c r="Y71" i="8" a="1"/>
  <c r="R227" i="8" a="1"/>
  <c r="AB117" i="8" a="1"/>
  <c r="S110" i="8" a="1"/>
  <c r="R289" i="8" a="1"/>
  <c r="Q49" i="8" a="1"/>
  <c r="Y191" i="8" a="1"/>
  <c r="AJ188" i="8" a="1"/>
  <c r="AK204" i="8" a="1"/>
  <c r="AB127" i="8" a="1"/>
  <c r="AA174" i="8" a="1"/>
  <c r="Z225" i="8" a="1"/>
  <c r="AK119" i="8" a="1"/>
  <c r="Y27" i="8" a="1"/>
  <c r="Y180" i="8" a="1"/>
  <c r="Z213" i="8" a="1"/>
  <c r="AJ16" i="8" a="1"/>
  <c r="R139" i="8" a="1"/>
  <c r="J140" i="8" a="1"/>
  <c r="H183" i="8" a="1"/>
  <c r="Z46" i="8" a="1"/>
  <c r="S264" i="8" a="1"/>
  <c r="Q141" i="8" a="1"/>
  <c r="J295" i="8" a="1"/>
  <c r="H233" i="8" a="1"/>
  <c r="Z165" i="8" a="1"/>
  <c r="Z167" i="8" a="1"/>
  <c r="S302" i="8" a="1"/>
  <c r="R276" i="8" a="1"/>
  <c r="Q74" i="8" a="1"/>
  <c r="P50" i="8" a="1"/>
  <c r="J80" i="8" a="1"/>
  <c r="I120" i="8" a="1"/>
  <c r="H120" i="8" a="1"/>
  <c r="AA208" i="8" a="1"/>
  <c r="Y94" i="8" a="1"/>
  <c r="S89" i="8" a="1"/>
  <c r="Z245" i="8" a="1"/>
  <c r="Y321" i="8" a="1"/>
  <c r="AA293" i="8" a="1"/>
  <c r="Z85" i="8" a="1"/>
  <c r="AJ185" i="8" a="1"/>
  <c r="AA67" i="8" a="1"/>
  <c r="Y140" i="8" a="1"/>
  <c r="Z215" i="8" a="1"/>
  <c r="R222" i="8" a="1"/>
  <c r="Q252" i="8" a="1"/>
  <c r="P187" i="8" a="1"/>
  <c r="J315" i="8" a="1"/>
  <c r="H5" i="8" a="1"/>
  <c r="G280" i="8" a="1"/>
  <c r="Q327" i="8" a="1"/>
  <c r="J81" i="8" a="1"/>
  <c r="Y103" i="8" a="1"/>
  <c r="R15" i="8" a="1"/>
  <c r="Q103" i="8" a="1"/>
  <c r="P139" i="8" a="1"/>
  <c r="I310" i="8" a="1"/>
  <c r="H23" i="8" a="1"/>
  <c r="G84" i="8" a="1"/>
  <c r="Q48" i="8" a="1"/>
  <c r="I214" i="8" a="1"/>
  <c r="Y50" i="8" a="1"/>
  <c r="R300" i="8" a="1"/>
  <c r="Y53" i="8" a="1"/>
  <c r="R7" i="8" a="1"/>
  <c r="Q81" i="8" a="1"/>
  <c r="P79" i="8" a="1"/>
  <c r="J222" i="8" a="1"/>
  <c r="H221" i="8" a="1"/>
  <c r="G53" i="8" a="1"/>
  <c r="Q212" i="8" a="1"/>
  <c r="P284" i="8" a="1"/>
  <c r="Y186" i="8" a="1"/>
  <c r="R54" i="8" a="1"/>
  <c r="AA136" i="8" a="1"/>
  <c r="S133" i="8" a="1"/>
  <c r="R123" i="8" a="1"/>
  <c r="Q223" i="8" a="1"/>
  <c r="Y237" i="8" a="1"/>
  <c r="AK276" i="8" a="1"/>
  <c r="AJ280" i="8" a="1"/>
  <c r="AA6" i="8" a="1"/>
  <c r="Z287" i="8" a="1"/>
  <c r="Y30" i="8" a="1"/>
  <c r="AK67" i="8" a="1"/>
  <c r="Y212" i="8" a="1"/>
  <c r="Y211" i="8" a="1"/>
  <c r="Y322" i="8" a="1"/>
  <c r="AJ138" i="8" a="1"/>
  <c r="R127" i="8" a="1"/>
  <c r="J230" i="8" a="1"/>
  <c r="H224" i="8" a="1"/>
  <c r="Z178" i="8" a="1"/>
  <c r="S123" i="8" a="1"/>
  <c r="Q20" i="8" a="1"/>
  <c r="J246" i="8" a="1"/>
  <c r="H36" i="8" a="1"/>
  <c r="Y82" i="8" a="1"/>
  <c r="Z18" i="8" a="1"/>
  <c r="R100" i="8" a="1"/>
  <c r="Q34" i="8" a="1"/>
  <c r="Q75" i="8" a="1"/>
  <c r="P21" i="8" a="1"/>
  <c r="J296" i="8" a="1"/>
  <c r="I218" i="8" a="1"/>
  <c r="H211" i="8" a="1"/>
  <c r="AA249" i="8" a="1"/>
  <c r="Y23" i="8" a="1"/>
  <c r="AB152" i="8" a="1"/>
  <c r="Z162" i="8" a="1"/>
  <c r="Y147" i="8" a="1"/>
  <c r="AA287" i="8" a="1"/>
  <c r="Y18" i="8" a="1"/>
  <c r="AB48" i="8" a="1"/>
  <c r="Z286" i="8" a="1"/>
  <c r="Y8" i="8" a="1"/>
  <c r="Y56" i="8" a="1"/>
  <c r="R195" i="8" a="1"/>
  <c r="Q8" i="8" a="1"/>
  <c r="P241" i="8" a="1"/>
  <c r="I202" i="8" a="1"/>
  <c r="H203" i="8" a="1"/>
  <c r="G120" i="8" a="1"/>
  <c r="Q44" i="8" a="1"/>
  <c r="I53" i="8" a="1"/>
  <c r="S227" i="8" a="1"/>
  <c r="R224" i="8" a="1"/>
  <c r="Q128" i="8" a="1"/>
  <c r="J142" i="8" a="1"/>
  <c r="I137" i="8" a="1"/>
  <c r="H87" i="8" a="1"/>
  <c r="G320" i="8" a="1"/>
  <c r="Q321" i="8" a="1"/>
  <c r="I72" i="8" a="1"/>
  <c r="S30" i="8" a="1"/>
  <c r="R259" i="8" a="1"/>
  <c r="S112" i="8" a="1"/>
  <c r="R206" i="8" a="1"/>
  <c r="Q139" i="8" a="1"/>
  <c r="J64" i="8" a="1"/>
  <c r="I59" i="8" a="1"/>
  <c r="H150" i="8" a="1"/>
  <c r="G265" i="8" a="1"/>
  <c r="Q152" i="8" a="1"/>
  <c r="P291" i="8" a="1"/>
  <c r="Y243" i="8" a="1"/>
  <c r="R162" i="8" a="1"/>
  <c r="AA54" i="8" a="1"/>
  <c r="S318" i="8" a="1"/>
  <c r="R247" i="8" a="1"/>
  <c r="Q247" i="8" a="1"/>
  <c r="Y325" i="8" a="1"/>
  <c r="AJ201" i="8" a="1"/>
  <c r="AJ227" i="8" a="1"/>
  <c r="AA241" i="8" a="1"/>
  <c r="Z191" i="8" a="1"/>
  <c r="Y159" i="8" a="1"/>
  <c r="AJ54" i="8" a="1"/>
  <c r="S40" i="8" a="1"/>
  <c r="Y207" i="8" a="1"/>
  <c r="Y185" i="8" a="1"/>
  <c r="AB172" i="8" a="1"/>
  <c r="Q88" i="8" a="1"/>
  <c r="I10" i="8" a="1"/>
  <c r="H327" i="8" a="1"/>
  <c r="Z318" i="8" a="1"/>
  <c r="S303" i="8" a="1"/>
  <c r="Q290" i="8" a="1"/>
  <c r="J170" i="8" a="1"/>
  <c r="H180" i="8" a="1"/>
  <c r="Y287" i="8" a="1"/>
  <c r="Z237" i="8" a="1"/>
  <c r="R286" i="8" a="1"/>
  <c r="AK320" i="8" a="1"/>
  <c r="AB211" i="8" a="1"/>
  <c r="AJ94" i="8" a="1"/>
  <c r="Y240" i="8" a="1"/>
  <c r="AB28" i="8" a="1"/>
  <c r="AK19" i="8" a="1"/>
  <c r="S217" i="8" a="1"/>
  <c r="R94" i="8" a="1"/>
  <c r="S60" i="8" a="1"/>
  <c r="Z125" i="8" a="1"/>
  <c r="Q199" i="8" a="1"/>
  <c r="I315" i="8" a="1"/>
  <c r="G35" i="8" a="1"/>
  <c r="Y70" i="8" a="1"/>
  <c r="R175" i="8" a="1"/>
  <c r="P191" i="8" a="1"/>
  <c r="I160" i="8" a="1"/>
  <c r="AB203" i="8" a="1"/>
  <c r="Y62" i="8" a="1"/>
  <c r="Y275" i="8" a="1"/>
  <c r="AK283" i="8" a="1"/>
  <c r="AA125" i="8" a="1"/>
  <c r="AJ219" i="8" a="1"/>
  <c r="Y323" i="8" a="1"/>
  <c r="AB275" i="8" a="1"/>
  <c r="AK296" i="8" a="1"/>
  <c r="R89" i="8" a="1"/>
  <c r="R238" i="8" a="1"/>
  <c r="S38" i="8" a="1"/>
  <c r="Z108" i="8" a="1"/>
  <c r="Q56" i="8" a="1"/>
  <c r="I219" i="8" a="1"/>
  <c r="G107" i="8" a="1"/>
  <c r="Y184" i="8" a="1"/>
  <c r="R68" i="8" a="1"/>
  <c r="P311" i="8" a="1"/>
  <c r="I232" i="8" a="1"/>
  <c r="AB98" i="8" a="1"/>
  <c r="Y307" i="8" a="1"/>
  <c r="Y126" i="8" a="1"/>
  <c r="AK313" i="8" a="1"/>
  <c r="AA269" i="8" a="1"/>
  <c r="AJ153" i="8" a="1"/>
  <c r="S118" i="8" a="1"/>
  <c r="AB77" i="8" a="1"/>
  <c r="AJ127" i="8" a="1"/>
  <c r="R161" i="8" a="1"/>
  <c r="R310" i="8" a="1"/>
  <c r="S212" i="8" a="1"/>
  <c r="Z312" i="8" a="1"/>
  <c r="P305" i="8" a="1"/>
  <c r="I192" i="8" a="1"/>
  <c r="G317" i="8" a="1"/>
  <c r="Y119" i="8" a="1"/>
  <c r="R164" i="8" a="1"/>
  <c r="P126" i="8" a="1"/>
  <c r="I17" i="8" a="1"/>
  <c r="AB303" i="8" a="1"/>
  <c r="S76" i="8" a="1"/>
  <c r="Y99" i="8" a="1"/>
  <c r="R314" i="8" a="1"/>
  <c r="Q24" i="8" a="1"/>
  <c r="P131" i="8" a="1"/>
  <c r="J322" i="8" a="1"/>
  <c r="I100" i="8" a="1"/>
  <c r="I139" i="8" a="1"/>
  <c r="AJ259" i="8" a="1"/>
  <c r="Z29" i="8" a="1"/>
  <c r="Y134" i="8" a="1"/>
  <c r="AA189" i="8" a="1"/>
  <c r="Y244" i="8" a="1"/>
  <c r="AB36" i="8" a="1"/>
  <c r="Z36" i="8" a="1"/>
  <c r="Y327" i="8" a="1"/>
  <c r="AA142" i="8" a="1"/>
  <c r="Z325" i="8" a="1"/>
  <c r="AB216" i="8" a="1"/>
  <c r="S224" i="8" a="1"/>
  <c r="Q82" i="8" a="1"/>
  <c r="P29" i="8" a="1"/>
  <c r="J236" i="8" a="1"/>
  <c r="I110" i="8" a="1"/>
  <c r="H312" i="8" a="1"/>
  <c r="G182" i="8" a="1"/>
  <c r="P261" i="8" a="1"/>
  <c r="AA7" i="8" a="1"/>
  <c r="S134" i="8" a="1"/>
  <c r="Q275" i="8" a="1"/>
  <c r="P54" i="8" a="1"/>
  <c r="J272" i="8" a="1"/>
  <c r="I249" i="8" a="1"/>
  <c r="H218" i="8" a="1"/>
  <c r="G180" i="8" a="1"/>
  <c r="P243" i="8" a="1"/>
  <c r="AA175" i="8" a="1"/>
  <c r="R58" i="8" a="1"/>
  <c r="AA12" i="8" a="1"/>
  <c r="S246" i="8" a="1"/>
  <c r="Q298" i="8" a="1"/>
  <c r="P287" i="8" a="1"/>
  <c r="J277" i="8" a="1"/>
  <c r="I20" i="8" a="1"/>
  <c r="H55" i="8" a="1"/>
  <c r="G145" i="8" a="1"/>
  <c r="P167" i="8" a="1"/>
  <c r="AA30" i="8" a="1"/>
  <c r="S236" i="8" a="1"/>
  <c r="R255" i="8" a="1"/>
  <c r="Y129" i="8" a="1"/>
  <c r="R131" i="8" a="1"/>
  <c r="Q198" i="8" a="1"/>
  <c r="AA228" i="8" a="1"/>
  <c r="S129" i="8" a="1"/>
  <c r="R170" i="8" a="1"/>
  <c r="Q222" i="8" a="1"/>
  <c r="AA307" i="8" a="1"/>
  <c r="AB261" i="8" a="1"/>
  <c r="Y63" i="8" a="1"/>
  <c r="Z101" i="8" a="1"/>
  <c r="S181" i="8" a="1"/>
  <c r="Y210" i="8" a="1"/>
  <c r="Z268" i="8" a="1"/>
  <c r="S144" i="8" a="1"/>
  <c r="R18" i="8" a="1"/>
  <c r="R326" i="8" a="1"/>
  <c r="Q133" i="8" a="1"/>
  <c r="P239" i="8" a="1"/>
  <c r="P99" i="8" a="1"/>
  <c r="J90" i="8" a="1"/>
  <c r="I125" i="8" a="1"/>
  <c r="S201" i="8" a="1"/>
  <c r="Q27" i="8" a="1"/>
  <c r="P231" i="8" a="1"/>
  <c r="I148" i="8" a="1"/>
  <c r="H166" i="8" a="1"/>
  <c r="H199" i="8" a="1"/>
  <c r="G212" i="8" a="1"/>
  <c r="G239" i="8" a="1"/>
  <c r="J219" i="8" a="1"/>
  <c r="H296" i="8" a="1"/>
  <c r="H90" i="8" a="1"/>
  <c r="H96" i="8" a="1"/>
  <c r="H300" i="8" a="1"/>
  <c r="P215" i="8" a="1"/>
  <c r="H207" i="8" a="1"/>
  <c r="I262" i="8" a="1"/>
  <c r="J28" i="8" a="1"/>
  <c r="G152" i="8" a="1"/>
  <c r="G267" i="8" a="1"/>
  <c r="Q300" i="8" a="1"/>
  <c r="P145" i="8" a="1"/>
  <c r="J114" i="8" a="1"/>
  <c r="I241" i="8" a="1"/>
  <c r="G256" i="8" a="1"/>
  <c r="J318" i="8" a="1"/>
  <c r="H9" i="8" a="1"/>
  <c r="H56" i="8" a="1"/>
  <c r="H264" i="8" a="1"/>
  <c r="H315" i="8" a="1"/>
  <c r="P108" i="8" a="1"/>
  <c r="H21" i="8" a="1"/>
  <c r="I326" i="8" a="1"/>
  <c r="J85" i="8" a="1"/>
  <c r="J321" i="8" a="1"/>
  <c r="G225" i="8" a="1"/>
  <c r="Q170" i="8" a="1"/>
  <c r="J288" i="8" a="1"/>
  <c r="AK39" i="8" a="1"/>
  <c r="AA66" i="8" a="1"/>
  <c r="AJ169" i="8" a="1"/>
  <c r="S190" i="8" a="1"/>
  <c r="AB277" i="8" a="1"/>
  <c r="AK154" i="8" a="1"/>
  <c r="AJ226" i="8" a="1"/>
  <c r="I182" i="8" a="1"/>
  <c r="AB194" i="8" a="1"/>
  <c r="Q83" i="8" a="1"/>
  <c r="J192" i="8" a="1"/>
  <c r="H176" i="8" a="1"/>
  <c r="Y224" i="8" a="1"/>
  <c r="S196" i="8" a="1"/>
  <c r="Y39" i="8" a="1"/>
  <c r="Y213" i="8" a="1"/>
  <c r="R213" i="8" a="1"/>
  <c r="J249" i="8" a="1"/>
  <c r="G294" i="8" a="1"/>
  <c r="AB187" i="8" a="1"/>
  <c r="Q218" i="8" a="1"/>
  <c r="I156" i="8" a="1"/>
  <c r="G138" i="8" a="1"/>
  <c r="S308" i="8" a="1"/>
  <c r="S187" i="8" a="1"/>
  <c r="J154" i="8" a="1"/>
  <c r="H195" i="8" a="1"/>
  <c r="P84" i="8" a="1"/>
  <c r="R79" i="8" a="1"/>
  <c r="R220" i="8" a="1"/>
  <c r="Y104" i="8" a="1"/>
  <c r="R9" i="8" a="1"/>
  <c r="AB153" i="8" a="1"/>
  <c r="AA292" i="8" a="1"/>
  <c r="AA223" i="8" a="1"/>
  <c r="AB134" i="8" a="1"/>
  <c r="AB224" i="8" a="1"/>
  <c r="S205" i="8" a="1"/>
  <c r="R189" i="8" a="1"/>
  <c r="Q248" i="8" a="1"/>
  <c r="P236" i="8" a="1"/>
  <c r="J224" i="8" a="1"/>
  <c r="I284" i="8" a="1"/>
  <c r="Q109" i="8" a="1"/>
  <c r="J206" i="8" a="1"/>
  <c r="H46" i="8" a="1"/>
  <c r="G108" i="8" a="1"/>
  <c r="G160" i="8" a="1"/>
  <c r="I128" i="8" a="1"/>
  <c r="G116" i="8" a="1"/>
  <c r="G92" i="8" a="1"/>
  <c r="Q114" i="8" a="1"/>
  <c r="H163" i="8" a="1"/>
  <c r="G106" i="8" a="1"/>
  <c r="G16" i="8" a="1"/>
  <c r="G306" i="8" a="1"/>
  <c r="P130" i="8" a="1"/>
  <c r="J216" i="8" a="1"/>
  <c r="H52" i="8" a="1"/>
  <c r="G315" i="8" a="1"/>
  <c r="H222" i="8" a="1"/>
  <c r="G76" i="8" a="1"/>
  <c r="G43" i="8" a="1"/>
  <c r="Q101" i="8" a="1"/>
  <c r="H33" i="8" a="1"/>
  <c r="G322" i="8" a="1"/>
  <c r="G186" i="8" a="1"/>
  <c r="S231" i="8" a="1"/>
  <c r="P107" i="8" a="1"/>
  <c r="R188" i="8" a="1"/>
  <c r="P219" i="8" a="1"/>
  <c r="I184" i="8" a="1"/>
  <c r="H84" i="8" a="1"/>
  <c r="G77" i="8" a="1"/>
  <c r="J60" i="8" a="1"/>
  <c r="I63" i="8" a="1"/>
  <c r="G69" i="8" a="1"/>
  <c r="H137" i="8" a="1"/>
  <c r="J41" i="8" a="1"/>
  <c r="G211" i="8" a="1"/>
  <c r="H284" i="8" a="1"/>
  <c r="H129" i="8" a="1"/>
  <c r="G23" i="8" a="1"/>
  <c r="Q77" i="8" a="1"/>
  <c r="P32" i="8" a="1"/>
  <c r="R91" i="8" a="1"/>
  <c r="P96" i="8" a="1"/>
  <c r="J254" i="8" a="1"/>
  <c r="R47" i="8" a="1"/>
  <c r="P208" i="8" a="1"/>
  <c r="J308" i="8" a="1"/>
  <c r="I111" i="8" a="1"/>
  <c r="R143" i="8" a="1"/>
  <c r="S276" i="8" a="1"/>
  <c r="Q189" i="8" a="1"/>
  <c r="R199" i="8" a="1"/>
  <c r="P326" i="8" a="1"/>
  <c r="Q221" i="8" a="1"/>
  <c r="P51" i="8" a="1"/>
  <c r="J176" i="8" a="1"/>
  <c r="H148" i="8" a="1"/>
  <c r="H25" i="8" a="1"/>
  <c r="G67" i="8" a="1"/>
  <c r="J221" i="8" a="1"/>
  <c r="P175" i="8" a="1"/>
  <c r="G241" i="8" a="1"/>
  <c r="G259" i="8" a="1"/>
  <c r="Q207" i="8" a="1"/>
  <c r="I236" i="8" a="1"/>
  <c r="G305" i="8" a="1"/>
  <c r="H142" i="8" a="1"/>
  <c r="Y85" i="8" a="1"/>
  <c r="H271" i="8" a="1"/>
  <c r="Y190" i="8" a="1"/>
  <c r="Q96" i="8" a="1"/>
  <c r="J39" i="8" a="1"/>
  <c r="H305" i="8" a="1"/>
  <c r="AB318" i="8" a="1"/>
  <c r="S310" i="8" a="1"/>
  <c r="Y33" i="8" a="1"/>
  <c r="Y289" i="8" a="1"/>
  <c r="R45" i="8" a="1"/>
  <c r="I292" i="8" a="1"/>
  <c r="G321" i="8" a="1"/>
  <c r="AA153" i="8" a="1"/>
  <c r="Q272" i="8" a="1"/>
  <c r="I211" i="8" a="1"/>
  <c r="P70" i="8" a="1"/>
  <c r="S55" i="8" a="1"/>
  <c r="S86" i="8" a="1"/>
  <c r="J262" i="8" a="1"/>
  <c r="H243" i="8" a="1"/>
  <c r="J70" i="8" a="1"/>
  <c r="R182" i="8" a="1"/>
  <c r="R239" i="8" a="1"/>
  <c r="S226" i="8" a="1"/>
  <c r="R217" i="8" a="1"/>
  <c r="AA286" i="8" a="1"/>
  <c r="Z136" i="8" a="1"/>
  <c r="AA206" i="8" a="1"/>
  <c r="AA164" i="8" a="1"/>
  <c r="AA107" i="8" a="1"/>
  <c r="S32" i="8" a="1"/>
  <c r="R33" i="8" a="1"/>
  <c r="Q261" i="8" a="1"/>
  <c r="P217" i="8" a="1"/>
  <c r="J290" i="8" a="1"/>
  <c r="I273" i="8" a="1"/>
  <c r="Q285" i="8" a="1"/>
  <c r="J121" i="8" a="1"/>
  <c r="H310" i="8" a="1"/>
  <c r="G15" i="8" a="1"/>
  <c r="G161" i="8" a="1"/>
  <c r="I74" i="8" a="1"/>
  <c r="H49" i="8" a="1"/>
  <c r="G128" i="8" a="1"/>
  <c r="Q93" i="8" a="1"/>
  <c r="G122" i="8" a="1"/>
  <c r="G125" i="8" a="1"/>
  <c r="G17" i="8" a="1"/>
  <c r="S26" i="8" a="1"/>
  <c r="P322" i="8" a="1"/>
  <c r="J165" i="8" a="1"/>
  <c r="H71" i="8" a="1"/>
  <c r="P260" i="8" a="1"/>
  <c r="H27" i="8" a="1"/>
  <c r="G20" i="8" a="1"/>
  <c r="G32" i="8" a="1"/>
  <c r="Q61" i="8" a="1"/>
  <c r="G103" i="8" a="1"/>
  <c r="G60" i="8" a="1"/>
  <c r="G234" i="8" a="1"/>
  <c r="R262" i="8" a="1"/>
  <c r="P18" i="8" a="1"/>
  <c r="Q172" i="8" a="1"/>
  <c r="P206" i="8" a="1"/>
  <c r="I42" i="8" a="1"/>
  <c r="H15" i="8" a="1"/>
  <c r="G173" i="8" a="1"/>
  <c r="J231" i="8" a="1"/>
  <c r="I217" i="8" a="1"/>
  <c r="I311" i="8" a="1"/>
  <c r="H157" i="8" a="1"/>
  <c r="J7" i="8" a="1"/>
  <c r="G168" i="8" a="1"/>
  <c r="G214" i="8" a="1"/>
  <c r="G137" i="8" a="1"/>
  <c r="G291" i="8" a="1"/>
  <c r="Q90" i="8" a="1"/>
  <c r="P55" i="8" a="1"/>
  <c r="R117" i="8" a="1"/>
  <c r="P31" i="8" a="1"/>
  <c r="J204" i="8" a="1"/>
  <c r="R108" i="8" a="1"/>
  <c r="P318" i="8" a="1"/>
  <c r="J312" i="8" a="1"/>
  <c r="I314" i="8" a="1"/>
  <c r="R192" i="8" a="1"/>
  <c r="R130" i="8" a="1"/>
  <c r="P106" i="8" a="1"/>
  <c r="Q64" i="8" a="1"/>
  <c r="P314" i="8" a="1"/>
  <c r="Q227" i="8" a="1"/>
  <c r="P140" i="8" a="1"/>
  <c r="I142" i="8" a="1"/>
  <c r="H286" i="8" a="1"/>
  <c r="G244" i="8" a="1"/>
  <c r="G252" i="8" a="1"/>
  <c r="J144" i="8" a="1"/>
  <c r="P75" i="8" a="1"/>
  <c r="G115" i="8" a="1"/>
  <c r="R324" i="8" a="1"/>
  <c r="Q86" i="8" a="1"/>
  <c r="H134" i="8" a="1"/>
  <c r="H246" i="8" a="1"/>
  <c r="R30" i="8" a="1"/>
  <c r="G54" i="8" a="1"/>
  <c r="S172" i="8" a="1"/>
  <c r="Q127" i="8" a="1"/>
  <c r="J153" i="8" a="1"/>
  <c r="AB215" i="8" a="1"/>
  <c r="AB139" i="8" a="1"/>
  <c r="AK75" i="8" a="1"/>
  <c r="AJ203" i="8" a="1"/>
  <c r="Y153" i="8" a="1"/>
  <c r="Q280" i="8" a="1"/>
  <c r="I131" i="8" a="1"/>
  <c r="G80" i="8" a="1"/>
  <c r="S179" i="8" a="1"/>
  <c r="P64" i="8" a="1"/>
  <c r="I43" i="8" a="1"/>
  <c r="P59" i="8" a="1"/>
  <c r="S225" i="8" a="1"/>
  <c r="R243" i="8" a="1"/>
  <c r="J5" i="8" a="1"/>
  <c r="H307" i="8" a="1"/>
  <c r="J172" i="8" a="1"/>
  <c r="R105" i="8" a="1"/>
  <c r="R319" i="8" a="1"/>
  <c r="S53" i="8" a="1"/>
  <c r="R294" i="8" a="1"/>
  <c r="AA284" i="8" a="1"/>
  <c r="Z83" i="8" a="1"/>
  <c r="AA291" i="8" a="1"/>
  <c r="Z269" i="8" a="1"/>
  <c r="AA20" i="8" a="1"/>
  <c r="S139" i="8" a="1"/>
  <c r="R312" i="8" a="1"/>
  <c r="Q188" i="8" a="1"/>
  <c r="P86" i="8" a="1"/>
  <c r="J150" i="8" a="1"/>
  <c r="I9" i="8" a="1"/>
  <c r="P95" i="8" a="1"/>
  <c r="J43" i="8" a="1"/>
  <c r="H265" i="8" a="1"/>
  <c r="G38" i="8" a="1"/>
  <c r="G222" i="8" a="1"/>
  <c r="H245" i="8" a="1"/>
  <c r="G191" i="8" a="1"/>
  <c r="H118" i="8" a="1"/>
  <c r="P40" i="8" a="1"/>
  <c r="G318" i="8" a="1"/>
  <c r="G159" i="8" a="1"/>
  <c r="G205" i="8" a="1"/>
  <c r="R256" i="8" a="1"/>
  <c r="P101" i="8" a="1"/>
  <c r="J102" i="8" a="1"/>
  <c r="H197" i="8" a="1"/>
  <c r="P38" i="8" a="1"/>
  <c r="H69" i="8" a="1"/>
  <c r="G296" i="8" a="1"/>
  <c r="H238" i="8" a="1"/>
  <c r="P214" i="8" a="1"/>
  <c r="G271" i="8" a="1"/>
  <c r="G25" i="8" a="1"/>
  <c r="G127" i="8" a="1"/>
  <c r="R321" i="8" a="1"/>
  <c r="P222" i="8" a="1"/>
  <c r="Q5" i="8" a="1"/>
  <c r="P49" i="8" a="1"/>
  <c r="I98" i="8" a="1"/>
  <c r="H258" i="8" a="1"/>
  <c r="G87" i="8" a="1"/>
  <c r="J14" i="8" a="1"/>
  <c r="I177" i="8" a="1"/>
  <c r="H106" i="8" a="1"/>
  <c r="H278" i="8" a="1"/>
  <c r="J297" i="8" a="1"/>
  <c r="G63" i="8" a="1"/>
  <c r="G269" i="8" a="1"/>
  <c r="G183" i="8" a="1"/>
  <c r="G194" i="8" a="1"/>
  <c r="Q243" i="8" a="1"/>
  <c r="P315" i="8" a="1"/>
  <c r="R320" i="8" a="1"/>
  <c r="P43" i="8" a="1"/>
  <c r="I58" i="8" a="1"/>
  <c r="R317" i="8" a="1"/>
  <c r="P197" i="8" a="1"/>
  <c r="J69" i="8" a="1"/>
  <c r="I75" i="8" a="1"/>
  <c r="R201" i="8" a="1"/>
  <c r="R149" i="8" a="1"/>
  <c r="P238" i="8" a="1"/>
  <c r="Q209" i="8" a="1"/>
  <c r="P109" i="8" a="1"/>
  <c r="Q216" i="8" a="1"/>
  <c r="P159" i="8" a="1"/>
  <c r="I280" i="8" a="1"/>
  <c r="H59" i="8" a="1"/>
  <c r="G215" i="8" a="1"/>
  <c r="G105" i="8" a="1"/>
  <c r="J325" i="8" a="1"/>
  <c r="J227" i="8" a="1"/>
  <c r="J274" i="8" a="1"/>
  <c r="J311" i="8" a="1"/>
  <c r="Q124" i="8" a="1"/>
  <c r="S72" i="8" a="1"/>
  <c r="R86" i="8" a="1"/>
  <c r="AA162" i="8" a="1"/>
  <c r="Z258" i="8" a="1"/>
  <c r="Z142" i="8" a="1"/>
  <c r="Z301" i="8" a="1"/>
  <c r="R40" i="8" a="1"/>
  <c r="R67" i="8" a="1"/>
  <c r="P52" i="8" a="1"/>
  <c r="P147" i="8" a="1"/>
  <c r="J158" i="8" a="1"/>
  <c r="I271" i="8" a="1"/>
  <c r="P6" i="8" a="1"/>
  <c r="J248" i="8" a="1"/>
  <c r="H234" i="8" a="1"/>
  <c r="G277" i="8" a="1"/>
  <c r="G56" i="8" a="1"/>
  <c r="H215" i="8" a="1"/>
  <c r="G109" i="8" a="1"/>
  <c r="H281" i="8" a="1"/>
  <c r="P61" i="8" a="1"/>
  <c r="P46" i="8" a="1"/>
  <c r="G198" i="8" a="1"/>
  <c r="J233" i="8" a="1"/>
  <c r="R269" i="8" a="1"/>
  <c r="J132" i="8" a="1"/>
  <c r="H273" i="8" a="1"/>
  <c r="J137" i="8" a="1"/>
  <c r="G58" i="8" a="1"/>
  <c r="G224" i="8" a="1"/>
  <c r="H114" i="8" a="1"/>
  <c r="P92" i="8" a="1"/>
  <c r="G254" i="8" a="1"/>
  <c r="P122" i="8" a="1"/>
  <c r="J180" i="8" a="1"/>
  <c r="R31" i="8" a="1"/>
  <c r="P195" i="8" a="1"/>
  <c r="Q18" i="8" a="1"/>
  <c r="J143" i="8" a="1"/>
  <c r="I204" i="8" a="1"/>
  <c r="H104" i="8" a="1"/>
  <c r="G258" i="8" a="1"/>
  <c r="J50" i="8" a="1"/>
  <c r="H275" i="8" a="1"/>
  <c r="H125" i="8" a="1"/>
  <c r="H189" i="8" a="1"/>
  <c r="J104" i="8" a="1"/>
  <c r="Q116" i="8" a="1"/>
  <c r="G86" i="8" a="1"/>
  <c r="G314" i="8" a="1"/>
  <c r="G14" i="8" a="1"/>
  <c r="Q297" i="8" a="1"/>
  <c r="J184" i="8" a="1"/>
  <c r="Q102" i="8" a="1"/>
  <c r="P105" i="8" a="1"/>
  <c r="I238" i="8" a="1"/>
  <c r="R141" i="8" a="1"/>
  <c r="P102" i="8" a="1"/>
  <c r="J51" i="8" a="1"/>
  <c r="H299" i="8" a="1"/>
  <c r="R307" i="8" a="1"/>
  <c r="R198" i="8" a="1"/>
  <c r="P17" i="8" a="1"/>
  <c r="Q104" i="8" a="1"/>
  <c r="J76" i="8" a="1"/>
  <c r="Q165" i="8" a="1"/>
  <c r="J82" i="8" a="1"/>
  <c r="H168" i="8" a="1"/>
  <c r="G47" i="8" a="1"/>
  <c r="G146" i="8" a="1"/>
  <c r="I126" i="8" a="1"/>
  <c r="J152" i="8" a="1"/>
  <c r="I121" i="8" a="1"/>
  <c r="S152" i="8" a="1"/>
  <c r="I288" i="8" a="1"/>
  <c r="Q73" i="8" a="1"/>
  <c r="Y116" i="8" a="1"/>
  <c r="S16" i="8" a="1"/>
  <c r="Y200" i="8" a="1"/>
  <c r="Z149" i="8" a="1"/>
  <c r="Z150" i="8" a="1"/>
  <c r="Q271" i="8" a="1"/>
  <c r="J301" i="8" a="1"/>
  <c r="AA93" i="8" a="1"/>
  <c r="AB158" i="8" a="1"/>
  <c r="AB192" i="8" a="1"/>
  <c r="AB22" i="8" a="1"/>
  <c r="S154" i="8" a="1"/>
  <c r="Q194" i="8" a="1"/>
  <c r="I221" i="8" a="1"/>
  <c r="G228" i="8" a="1"/>
  <c r="S24" i="8" a="1"/>
  <c r="P47" i="8" a="1"/>
  <c r="H318" i="8" a="1"/>
  <c r="P275" i="8" a="1"/>
  <c r="R202" i="8" a="1"/>
  <c r="R325" i="8" a="1"/>
  <c r="G111" i="8" a="1"/>
  <c r="AB72" i="8" a="1"/>
  <c r="Q130" i="8" a="1"/>
  <c r="AA183" i="8" a="1"/>
  <c r="P216" i="8" a="1"/>
  <c r="R167" i="8" a="1"/>
  <c r="Y239" i="8" a="1"/>
  <c r="Y135" i="8" a="1"/>
  <c r="P28" i="8" a="1"/>
  <c r="I244" i="8" a="1"/>
  <c r="AA176" i="8" a="1"/>
  <c r="AA89" i="8" a="1"/>
  <c r="AA306" i="8" a="1"/>
  <c r="AB71" i="8" a="1"/>
  <c r="AA113" i="8" a="1"/>
  <c r="Q301" i="8" a="1"/>
  <c r="I181" i="8" a="1"/>
  <c r="Q67" i="8" a="1"/>
  <c r="S168" i="8" a="1"/>
  <c r="P246" i="8" a="1"/>
  <c r="H289" i="8" a="1"/>
  <c r="P205" i="8" a="1"/>
  <c r="R249" i="8" a="1"/>
  <c r="R266" i="8" a="1"/>
  <c r="J126" i="8" a="1"/>
  <c r="G301" i="8" a="1"/>
  <c r="AB204" i="8" a="1"/>
  <c r="Z16" i="8" a="1"/>
  <c r="Q220" i="8" a="1"/>
  <c r="S157" i="8" a="1"/>
  <c r="Q46" i="8" a="1"/>
  <c r="Z240" i="8" a="1"/>
  <c r="Z224" i="8" a="1"/>
  <c r="Z276" i="8" a="1"/>
  <c r="Z285" i="8" a="1"/>
  <c r="Z281" i="8" a="1"/>
  <c r="R148" i="8" a="1"/>
  <c r="Q184" i="8" a="1"/>
  <c r="P142" i="8" a="1"/>
  <c r="J40" i="8" a="1"/>
  <c r="I106" i="8" a="1"/>
  <c r="I205" i="8" a="1"/>
  <c r="P204" i="8" a="1"/>
  <c r="J75" i="8" a="1"/>
  <c r="H309" i="8" a="1"/>
  <c r="G27" i="8" a="1"/>
  <c r="G289" i="8" a="1"/>
  <c r="H204" i="8" a="1"/>
  <c r="G270" i="8" a="1"/>
  <c r="H319" i="8" a="1"/>
  <c r="J145" i="8" a="1"/>
  <c r="P221" i="8" a="1"/>
  <c r="G290" i="8" a="1"/>
  <c r="I95" i="8" a="1"/>
  <c r="R231" i="8" a="1"/>
  <c r="P309" i="8" a="1"/>
  <c r="I119" i="8" a="1"/>
  <c r="H270" i="8" a="1"/>
  <c r="J213" i="8" a="1"/>
  <c r="G110" i="8" a="1"/>
  <c r="I225" i="8" a="1"/>
  <c r="H181" i="8" a="1"/>
  <c r="J134" i="8" a="1"/>
  <c r="Q9" i="8" a="1"/>
  <c r="J214" i="8" a="1"/>
  <c r="I240" i="8" a="1"/>
  <c r="R104" i="8" a="1"/>
  <c r="P74" i="8" a="1"/>
  <c r="Q242" i="8" a="1"/>
  <c r="J42" i="8" a="1"/>
  <c r="I308" i="8" a="1"/>
  <c r="H38" i="8" a="1"/>
  <c r="G68" i="8" a="1"/>
  <c r="J218" i="8" a="1"/>
  <c r="H107" i="8" a="1"/>
  <c r="H294" i="8" a="1"/>
  <c r="G94" i="8" a="1"/>
  <c r="I256" i="8" a="1"/>
  <c r="P115" i="8" a="1"/>
  <c r="P132" i="8" a="1"/>
  <c r="G278" i="8" a="1"/>
  <c r="S284" i="8" a="1"/>
  <c r="Q217" i="8" a="1"/>
  <c r="J149" i="8" a="1"/>
  <c r="Q326" i="8" a="1"/>
  <c r="P295" i="8" a="1"/>
  <c r="I5" i="8" a="1"/>
  <c r="R63" i="8" a="1"/>
  <c r="P19" i="8" a="1"/>
  <c r="J258" i="8" a="1"/>
  <c r="G297" i="8" a="1"/>
  <c r="R75" i="8" a="1"/>
  <c r="R212" i="8" a="1"/>
  <c r="P227" i="8" a="1"/>
  <c r="Q224" i="8" a="1"/>
  <c r="J151" i="8" a="1"/>
  <c r="Q235" i="8" a="1"/>
  <c r="J280" i="8" a="1"/>
  <c r="I6" i="8" a="1"/>
  <c r="H255" i="8" a="1"/>
  <c r="G149" i="8" a="1"/>
  <c r="G3" i="8" a="1"/>
  <c r="I276" i="8" a="1"/>
  <c r="J96" i="8" a="1"/>
  <c r="I279" i="8" a="1"/>
  <c r="Q136" i="8" a="1"/>
  <c r="Q107" i="8" a="1"/>
  <c r="J71" i="8" a="1"/>
  <c r="I196" i="8" a="1"/>
  <c r="S300" i="8" a="1"/>
  <c r="P248" i="8" a="1"/>
  <c r="H241" i="8" a="1"/>
  <c r="G33" i="8" a="1"/>
  <c r="G93" i="8" a="1"/>
  <c r="H164" i="8" a="1"/>
  <c r="G207" i="8" a="1"/>
  <c r="H152" i="8" a="1"/>
  <c r="I70" i="8" a="1"/>
  <c r="P103" i="8" a="1"/>
  <c r="P91" i="8" a="1"/>
  <c r="I228" i="8" a="1"/>
  <c r="R183" i="8" a="1"/>
  <c r="P279" i="8" a="1"/>
  <c r="H326" i="8" a="1"/>
  <c r="J201" i="8" a="1"/>
  <c r="G121" i="8" a="1"/>
  <c r="I321" i="8" a="1"/>
  <c r="H248" i="8" a="1"/>
  <c r="J13" i="8" a="1"/>
  <c r="P114" i="8" a="1"/>
  <c r="J87" i="8" a="1"/>
  <c r="I44" i="8" a="1"/>
  <c r="R237" i="8" a="1"/>
  <c r="J118" i="8" a="1"/>
  <c r="Q3" i="8" a="1"/>
  <c r="J193" i="8" a="1"/>
  <c r="I193" i="8" a="1"/>
  <c r="H80" i="8" a="1"/>
  <c r="G248" i="8" a="1"/>
  <c r="I190" i="8" a="1"/>
  <c r="H276" i="8" a="1"/>
  <c r="H74" i="8" a="1"/>
  <c r="G95" i="8" a="1"/>
  <c r="I114" i="8" a="1"/>
  <c r="J62" i="8" a="1"/>
  <c r="J59" i="8" a="1"/>
  <c r="J65" i="8" a="1"/>
  <c r="S258" i="8" a="1"/>
  <c r="Q45" i="8" a="1"/>
  <c r="I318" i="8" a="1"/>
  <c r="Q206" i="8" a="1"/>
  <c r="J190" i="8" a="1"/>
  <c r="R211" i="8" a="1"/>
  <c r="P93" i="8" a="1"/>
  <c r="I64" i="8" a="1"/>
  <c r="S121" i="8" a="1"/>
  <c r="Q52" i="8" a="1"/>
  <c r="S81" i="8" a="1"/>
  <c r="J113" i="8" a="1"/>
  <c r="I157" i="8" a="1"/>
  <c r="G73" i="8" a="1"/>
  <c r="I151" i="8" a="1"/>
  <c r="Y205" i="8" a="1"/>
  <c r="R226" i="8" a="1"/>
  <c r="Y127" i="8" a="1"/>
  <c r="Y31" i="8" a="1"/>
  <c r="Y77" i="8" a="1"/>
  <c r="S109" i="8" a="1"/>
  <c r="R196" i="8" a="1"/>
  <c r="P316" i="8" a="1"/>
  <c r="I237" i="8" a="1"/>
  <c r="AA264" i="8" a="1"/>
  <c r="AA267" i="8" a="1"/>
  <c r="AA135" i="8" a="1"/>
  <c r="AB283" i="8" a="1"/>
  <c r="Y92" i="8" a="1"/>
  <c r="Q313" i="8" a="1"/>
  <c r="I319" i="8" a="1"/>
  <c r="P178" i="8" a="1"/>
  <c r="S261" i="8" a="1"/>
  <c r="J244" i="8" a="1"/>
  <c r="H171" i="8" a="1"/>
  <c r="J148" i="8" a="1"/>
  <c r="Q4" i="8" a="1"/>
  <c r="Q10" i="8" a="1"/>
  <c r="I149" i="8" a="1"/>
  <c r="G213" i="8" a="1"/>
  <c r="AA103" i="8" a="1"/>
  <c r="Z252" i="8" a="1"/>
  <c r="Q149" i="8" a="1"/>
  <c r="S206" i="8" a="1"/>
  <c r="Y247" i="8" a="1"/>
  <c r="Y203" i="8" a="1"/>
  <c r="Y265" i="8" a="1"/>
  <c r="Z93" i="8" a="1"/>
  <c r="Y48" i="8" a="1"/>
  <c r="R292" i="8" a="1"/>
  <c r="P250" i="8" a="1"/>
  <c r="I257" i="8" a="1"/>
  <c r="I18" i="8" a="1"/>
  <c r="S50" i="8" a="1"/>
  <c r="R19" i="8" a="1"/>
  <c r="R29" i="8" a="1"/>
  <c r="P282" i="8" a="1"/>
  <c r="I163" i="8" a="1"/>
  <c r="Z64" i="8" a="1"/>
  <c r="Z309" i="8" a="1"/>
  <c r="AA86" i="8" a="1"/>
  <c r="AA161" i="8" a="1"/>
  <c r="S215" i="8" a="1"/>
  <c r="P148" i="8" a="1"/>
  <c r="H24" i="8" a="1"/>
  <c r="P281" i="8" a="1"/>
  <c r="R52" i="8" a="1"/>
  <c r="J83" i="8" a="1"/>
  <c r="H39" i="8" a="1"/>
  <c r="I31" i="8" a="1"/>
  <c r="Q112" i="8" a="1"/>
  <c r="Q41" i="8" a="1"/>
  <c r="I78" i="8" a="1"/>
  <c r="G9" i="8" a="1"/>
  <c r="S245" i="8" a="1"/>
  <c r="Z212" i="8" a="1"/>
  <c r="Q167" i="8" a="1"/>
  <c r="S229" i="8" a="1"/>
  <c r="Q226" i="8" a="1"/>
  <c r="Y241" i="8" a="1"/>
  <c r="Y255" i="8" a="1"/>
  <c r="Y73" i="8" a="1"/>
  <c r="Y256" i="8" a="1"/>
  <c r="Y317" i="8" a="1"/>
  <c r="R59" i="8" a="1"/>
  <c r="Q239" i="8" a="1"/>
  <c r="P245" i="8" a="1"/>
  <c r="J161" i="8" a="1"/>
  <c r="I286" i="8" a="1"/>
  <c r="R181" i="8" a="1"/>
  <c r="P207" i="8" a="1"/>
  <c r="I246" i="8" a="1"/>
  <c r="H323" i="8" a="1"/>
  <c r="G243" i="8" a="1"/>
  <c r="P157" i="8" a="1"/>
  <c r="G287" i="8" a="1"/>
  <c r="I229" i="8" a="1"/>
  <c r="G190" i="8" a="1"/>
  <c r="I203" i="8" a="1"/>
  <c r="J10" i="8" a="1"/>
  <c r="J323" i="8" a="1"/>
  <c r="I253" i="8" a="1"/>
  <c r="R32" i="8" a="1"/>
  <c r="P63" i="8" a="1"/>
  <c r="I37" i="8" a="1"/>
  <c r="H19" i="8" a="1"/>
  <c r="I178" i="8" a="1"/>
  <c r="G266" i="8" a="1"/>
  <c r="H287" i="8" a="1"/>
  <c r="G310" i="8" a="1"/>
  <c r="I65" i="8" a="1"/>
  <c r="J261" i="8" a="1"/>
  <c r="I77" i="8" a="1"/>
  <c r="H247" i="8" a="1"/>
  <c r="Q154" i="8" a="1"/>
  <c r="H236" i="8" a="1"/>
  <c r="P190" i="8" a="1"/>
  <c r="J223" i="8" a="1"/>
  <c r="I187" i="8" a="1"/>
  <c r="H92" i="8" a="1"/>
  <c r="G19" i="8" a="1"/>
  <c r="I305" i="8" a="1"/>
  <c r="H306" i="8" a="1"/>
  <c r="H141" i="8" a="1"/>
  <c r="G193" i="8" a="1"/>
  <c r="I248" i="8" a="1"/>
  <c r="I76" i="8" a="1"/>
  <c r="J306" i="8" a="1"/>
  <c r="J300" i="8" a="1"/>
  <c r="S313" i="8" a="1"/>
  <c r="P4" i="8" a="1"/>
  <c r="S61" i="8" a="1"/>
  <c r="Q289" i="8" a="1"/>
  <c r="J17" i="8" a="1"/>
  <c r="I90" i="8" a="1"/>
  <c r="Q262" i="8" a="1"/>
  <c r="P177" i="8" a="1"/>
  <c r="I250" i="8" a="1"/>
  <c r="S21" i="8" a="1"/>
  <c r="Q185" i="8" a="1"/>
  <c r="R169" i="8" a="1"/>
  <c r="S63" i="8" a="1"/>
  <c r="Q200" i="8" a="1"/>
  <c r="S74" i="8" a="1"/>
  <c r="Q177" i="8" a="1"/>
  <c r="J239" i="8" a="1"/>
  <c r="I19" i="8" a="1"/>
  <c r="H201" i="8" a="1"/>
  <c r="G90" i="8" a="1"/>
  <c r="G101" i="8" a="1"/>
  <c r="H149" i="8" a="1"/>
  <c r="H47" i="8" a="1"/>
  <c r="H18" i="8" a="1"/>
  <c r="H91" i="8" a="1"/>
  <c r="H219" i="8" a="1"/>
  <c r="J171" i="8" a="1"/>
  <c r="R11" i="8" a="1"/>
  <c r="S15" i="8" a="1"/>
  <c r="J155" i="8" a="1"/>
  <c r="I159" i="8" a="1"/>
  <c r="P3" i="8" a="1"/>
  <c r="R28" i="8" a="1"/>
  <c r="Q203" i="8" a="1"/>
  <c r="P112" i="8" a="1"/>
  <c r="P118" i="8" a="1"/>
  <c r="I145" i="8" a="1"/>
  <c r="G309" i="8" a="1"/>
  <c r="G4" i="8" a="1"/>
  <c r="H237" i="8" a="1"/>
  <c r="AJ125" i="8" a="1"/>
  <c r="P198" i="8" a="1"/>
  <c r="P188" i="8" a="1"/>
  <c r="Y137" i="8" a="1"/>
  <c r="Z320" i="8" a="1"/>
  <c r="S290" i="8" a="1"/>
  <c r="H37" i="8" a="1"/>
  <c r="R158" i="8" a="1"/>
  <c r="I133" i="8" a="1"/>
  <c r="S3" i="8" a="1"/>
  <c r="AB116" i="8" a="1"/>
  <c r="AJ106" i="8" a="1"/>
  <c r="AH9" i="8" a="1"/>
  <c r="Q237" i="8" a="1"/>
  <c r="R90" i="8" a="1"/>
  <c r="P200" i="8" a="1"/>
  <c r="I222" i="8" a="1"/>
  <c r="Z227" i="8" a="1"/>
  <c r="Z133" i="8" a="1"/>
  <c r="Z221" i="8" a="1"/>
  <c r="Z270" i="8" a="1"/>
  <c r="S155" i="8" a="1"/>
  <c r="P143" i="8" a="1"/>
  <c r="H132" i="8" a="1"/>
  <c r="P272" i="8" a="1"/>
  <c r="R225" i="8" a="1"/>
  <c r="J185" i="8" a="1"/>
  <c r="H105" i="8" a="1"/>
  <c r="I255" i="8" a="1"/>
  <c r="AB47" i="8" a="1"/>
  <c r="Q105" i="8" a="1"/>
  <c r="I168" i="8" a="1"/>
  <c r="G217" i="8" a="1"/>
  <c r="S54" i="8" a="1"/>
  <c r="Y198" i="8" a="1"/>
  <c r="AB210" i="8" a="1"/>
  <c r="R118" i="8" a="1"/>
  <c r="Q173" i="8" a="1"/>
  <c r="Y320" i="8" a="1"/>
  <c r="Y277" i="8" a="1"/>
  <c r="Y177" i="8" a="1"/>
  <c r="Y36" i="8" a="1"/>
  <c r="Y272" i="8" a="1"/>
  <c r="R179" i="8" a="1"/>
  <c r="Q30" i="8" a="1"/>
  <c r="P137" i="8" a="1"/>
  <c r="J287" i="8" a="1"/>
  <c r="I35" i="8" a="1"/>
  <c r="R318" i="8" a="1"/>
  <c r="P123" i="8" a="1"/>
  <c r="I69" i="8" a="1"/>
  <c r="H277" i="8" a="1"/>
  <c r="G189" i="8" a="1"/>
  <c r="J36" i="8" a="1"/>
  <c r="G71" i="8" a="1"/>
  <c r="I267" i="8" a="1"/>
  <c r="G31" i="8" a="1"/>
  <c r="I7" i="8" a="1"/>
  <c r="J61" i="8" a="1"/>
  <c r="I302" i="8" a="1"/>
  <c r="H268" i="8" a="1"/>
  <c r="Q148" i="8" a="1"/>
  <c r="J292" i="8" a="1"/>
  <c r="I264" i="8" a="1"/>
  <c r="H235" i="8" a="1"/>
  <c r="I158" i="8" a="1"/>
  <c r="G174" i="8" a="1"/>
  <c r="H98" i="8" a="1"/>
  <c r="G141" i="8" a="1"/>
  <c r="I38" i="8" a="1"/>
  <c r="J33" i="8" a="1"/>
  <c r="H262" i="8" a="1"/>
  <c r="H50" i="8" a="1"/>
  <c r="Q276" i="8" a="1"/>
  <c r="R280" i="8" a="1"/>
  <c r="P233" i="8" a="1"/>
  <c r="J255" i="8" a="1"/>
  <c r="I307" i="8" a="1"/>
  <c r="H177" i="8" a="1"/>
  <c r="G192" i="8" a="1"/>
  <c r="I185" i="8" a="1"/>
  <c r="H325" i="8" a="1"/>
  <c r="G50" i="8" a="1"/>
  <c r="I209" i="8" a="1"/>
  <c r="I138" i="8" a="1"/>
  <c r="P173" i="8" a="1"/>
  <c r="Q230" i="8" a="1"/>
  <c r="Q307" i="8" a="1"/>
  <c r="I23" i="8" a="1"/>
  <c r="Q191" i="8" a="1"/>
  <c r="R136" i="8" a="1"/>
  <c r="R142" i="8" a="1"/>
  <c r="J110" i="8" a="1"/>
  <c r="H122" i="8" a="1"/>
  <c r="G157" i="8" a="1"/>
  <c r="H151" i="8" a="1"/>
  <c r="Y178" i="8" a="1"/>
  <c r="R129" i="8" a="1"/>
  <c r="I199" i="8" a="1"/>
  <c r="Z199" i="8" a="1"/>
  <c r="Z317" i="8" a="1"/>
  <c r="P110" i="8" a="1"/>
  <c r="J58" i="8" a="1"/>
  <c r="J63" i="8" a="1"/>
  <c r="AA158" i="8" a="1"/>
  <c r="S222" i="8" a="1"/>
  <c r="Q59" i="8" a="1"/>
  <c r="Z89" i="8" a="1"/>
  <c r="P35" i="8" a="1"/>
  <c r="I89" i="8" a="1"/>
  <c r="Q250" i="8" a="1"/>
  <c r="J106" i="8" a="1"/>
  <c r="H193" i="8" a="1"/>
  <c r="Y132" i="8" a="1"/>
  <c r="Y143" i="8" a="1"/>
  <c r="Y230" i="8" a="1"/>
  <c r="Z86" i="8" a="1"/>
  <c r="R270" i="8" a="1"/>
  <c r="J136" i="8" a="1"/>
  <c r="H261" i="8" a="1"/>
  <c r="I140" i="8" a="1"/>
  <c r="Q100" i="8" a="1"/>
  <c r="I245" i="8" a="1"/>
  <c r="G133" i="8" a="1"/>
  <c r="Z54" i="8" a="1"/>
  <c r="S36" i="8" a="1"/>
  <c r="P293" i="8" a="1"/>
  <c r="H109" i="8" a="1"/>
  <c r="Q259" i="8" a="1"/>
  <c r="S312" i="8" a="1"/>
  <c r="S277" i="8" a="1"/>
  <c r="AA152" i="8" a="1"/>
  <c r="R66" i="8" a="1"/>
  <c r="Q284" i="8" a="1"/>
  <c r="S59" i="8" a="1"/>
  <c r="AB315" i="8" a="1"/>
  <c r="S281" i="8" a="1"/>
  <c r="S324" i="8" a="1"/>
  <c r="S149" i="8" a="1"/>
  <c r="R163" i="8" a="1"/>
  <c r="Q303" i="8" a="1"/>
  <c r="P133" i="8" a="1"/>
  <c r="J241" i="8" a="1"/>
  <c r="I309" i="8" a="1"/>
  <c r="Q240" i="8" a="1"/>
  <c r="J169" i="8" a="1"/>
  <c r="I21" i="8" a="1"/>
  <c r="G59" i="8" a="1"/>
  <c r="H303" i="8" a="1"/>
  <c r="I164" i="8" a="1"/>
  <c r="G85" i="8" a="1"/>
  <c r="G102" i="8" a="1"/>
  <c r="R51" i="8" a="1"/>
  <c r="H311" i="8" a="1"/>
  <c r="H7" i="8" a="1"/>
  <c r="H285" i="8" a="1"/>
  <c r="H45" i="8" a="1"/>
  <c r="Q63" i="8" a="1"/>
  <c r="J128" i="8" a="1"/>
  <c r="I32" i="8" a="1"/>
  <c r="G123" i="8" a="1"/>
  <c r="H77" i="8" a="1"/>
  <c r="H26" i="8" a="1"/>
  <c r="G140" i="8" a="1"/>
  <c r="R152" i="8" a="1"/>
  <c r="H293" i="8" a="1"/>
  <c r="H93" i="8" a="1"/>
  <c r="G179" i="8" a="1"/>
  <c r="G293" i="8" a="1"/>
  <c r="P136" i="8" a="1"/>
  <c r="R246" i="8" a="1"/>
  <c r="P228" i="8" a="1"/>
  <c r="J174" i="8" a="1"/>
  <c r="H208" i="8" a="1"/>
  <c r="G268" i="8" a="1"/>
  <c r="G162" i="8" a="1"/>
  <c r="I201" i="8" a="1"/>
  <c r="G83" i="8" a="1"/>
  <c r="G61" i="8" a="1"/>
  <c r="P69" i="8" a="1"/>
  <c r="G100" i="8" a="1"/>
  <c r="H256" i="8" a="1"/>
  <c r="H136" i="8" a="1"/>
  <c r="H179" i="8" a="1"/>
  <c r="R187" i="8" a="1"/>
  <c r="P68" i="8" a="1"/>
  <c r="R96" i="8" a="1"/>
  <c r="P306" i="8" a="1"/>
  <c r="J319" i="8" a="1"/>
  <c r="S219" i="8" a="1"/>
  <c r="Q283" i="8" a="1"/>
  <c r="J209" i="8" a="1"/>
  <c r="I290" i="8" a="1"/>
  <c r="P199" i="8" a="1"/>
  <c r="G177" i="8" a="1"/>
  <c r="Q213" i="8" a="1"/>
  <c r="R223" i="8" a="1"/>
  <c r="P300" i="8" a="1"/>
  <c r="R242" i="8" a="1"/>
  <c r="P319" i="8" a="1"/>
  <c r="J253" i="8" a="1"/>
  <c r="I216" i="8" a="1"/>
  <c r="H85" i="8" a="1"/>
  <c r="G303" i="8" a="1"/>
  <c r="P111" i="8" a="1"/>
  <c r="G104" i="8" a="1"/>
  <c r="G232" i="8" a="1"/>
  <c r="G143" i="8" a="1"/>
  <c r="J19" i="8" a="1"/>
  <c r="Y144" i="8" a="1"/>
  <c r="R229" i="8" a="1"/>
  <c r="I135" i="8" a="1"/>
  <c r="Q195" i="8" a="1"/>
  <c r="S12" i="8" a="1"/>
  <c r="J146" i="8" a="1"/>
  <c r="I45" i="8" a="1"/>
  <c r="G326" i="8" a="1"/>
  <c r="H115" i="8" a="1"/>
  <c r="J183" i="8" a="1"/>
  <c r="H145" i="8" a="1"/>
  <c r="H188" i="8" a="1"/>
  <c r="R74" i="8" a="1"/>
  <c r="G311" i="8" a="1"/>
  <c r="I105" i="8" a="1"/>
  <c r="H12" i="8" a="1"/>
  <c r="R290" i="8" a="1"/>
  <c r="Q32" i="8" a="1"/>
  <c r="P11" i="8" a="1"/>
  <c r="R210" i="8" a="1"/>
  <c r="H225" i="8" a="1"/>
  <c r="H165" i="8" a="1"/>
  <c r="H194" i="8" a="1"/>
  <c r="G324" i="8" a="1"/>
  <c r="P104" i="8" a="1"/>
  <c r="P179" i="8" a="1"/>
  <c r="P186" i="8" a="1"/>
  <c r="G300" i="8" a="1"/>
  <c r="H14" i="8" a="1"/>
  <c r="H266" i="8" a="1"/>
  <c r="J78" i="8" a="1"/>
  <c r="G273" i="8" a="1"/>
  <c r="G238" i="8" a="1"/>
  <c r="R207" i="8" a="1"/>
  <c r="R155" i="8" a="1"/>
  <c r="G231" i="8" a="1"/>
  <c r="J46" i="8" a="1"/>
  <c r="Q282" i="8" a="1"/>
  <c r="G72" i="8" a="1"/>
  <c r="G201" i="8" a="1"/>
  <c r="G5" i="8" a="1"/>
  <c r="I96" i="8" a="1"/>
  <c r="J167" i="8" a="1"/>
  <c r="P30" i="8" a="1"/>
  <c r="I183" i="8" a="1"/>
  <c r="I191" i="8" a="1"/>
  <c r="P56" i="8" a="1"/>
  <c r="I116" i="8" a="1"/>
  <c r="P286" i="8" a="1"/>
  <c r="Y174" i="8" a="1"/>
  <c r="P128" i="8" a="1"/>
  <c r="H126" i="8" a="1"/>
  <c r="H133" i="8" a="1"/>
  <c r="G276" i="8" a="1"/>
  <c r="I25" i="8" a="1"/>
  <c r="I99" i="8" a="1"/>
  <c r="R173" i="8" a="1"/>
  <c r="H108" i="8" a="1"/>
  <c r="Y305" i="8" a="1"/>
  <c r="Q29" i="8" a="1"/>
  <c r="H240" i="8" a="1"/>
  <c r="AB228" i="8" a="1"/>
  <c r="R120" i="8" a="1"/>
  <c r="I215" i="8" a="1"/>
  <c r="H146" i="8" a="1"/>
  <c r="H220" i="8" a="1"/>
  <c r="H22" i="8" a="1"/>
  <c r="I80" i="8" a="1"/>
  <c r="H206" i="8" a="1"/>
  <c r="H156" i="8" a="1"/>
  <c r="P125" i="8" a="1"/>
  <c r="G188" i="8" a="1"/>
  <c r="G199" i="8" a="1"/>
  <c r="I62" i="8" a="1"/>
  <c r="P22" i="8" a="1"/>
  <c r="P34" i="8" a="1"/>
  <c r="S31" i="8" a="1"/>
  <c r="Q70" i="8" a="1"/>
  <c r="H249" i="8" a="1"/>
  <c r="H308" i="8" a="1"/>
  <c r="G36" i="8" a="1"/>
  <c r="G66" i="8" a="1"/>
  <c r="G22" i="8" a="1"/>
  <c r="Q43" i="8" a="1"/>
  <c r="H13" i="8" a="1"/>
  <c r="H116" i="8" a="1"/>
  <c r="I109" i="8" a="1"/>
  <c r="R84" i="8" a="1"/>
  <c r="Q146" i="8" a="1"/>
  <c r="G118" i="8" a="1"/>
  <c r="G171" i="8" a="1"/>
  <c r="H43" i="8" a="1"/>
  <c r="I197" i="8" a="1"/>
  <c r="G13" i="8" a="1"/>
  <c r="I306" i="8" a="1"/>
  <c r="Q111" i="8" a="1"/>
  <c r="Q268" i="8" a="1"/>
  <c r="R97" i="8" a="1"/>
  <c r="I206" i="8" a="1"/>
  <c r="J109" i="8" a="1"/>
  <c r="G169" i="8" a="1"/>
  <c r="R112" i="8" a="1"/>
  <c r="J164" i="8" a="1"/>
  <c r="I223" i="8" a="1"/>
  <c r="I123" i="8" a="1"/>
  <c r="J100" i="8" a="1"/>
  <c r="Q171" i="8" a="1"/>
  <c r="I50" i="8" a="1"/>
  <c r="I107" i="8" a="1"/>
  <c r="Y110" i="8" a="1"/>
  <c r="J139" i="8" a="1"/>
  <c r="Q147" i="8" a="1"/>
  <c r="P209" i="8" a="1"/>
  <c r="H144" i="8" a="1"/>
  <c r="G11" i="8" a="1"/>
  <c r="Q186" i="8" a="1"/>
  <c r="Q106" i="8" a="1"/>
  <c r="Z102" i="8" a="1"/>
  <c r="J108" i="8" a="1"/>
  <c r="Q260" i="8" a="1"/>
  <c r="S232" i="8" a="1"/>
  <c r="R282" i="8" a="1"/>
  <c r="I170" i="8" a="1"/>
  <c r="G34" i="8" a="1"/>
  <c r="H212" i="8" a="1"/>
  <c r="H167" i="8" a="1"/>
  <c r="I13" i="8" a="1"/>
  <c r="G184" i="8" a="1"/>
  <c r="H302" i="8" a="1"/>
  <c r="P24" i="8" a="1"/>
  <c r="G242" i="8" a="1"/>
  <c r="P5" i="8" a="1"/>
  <c r="H34" i="8" a="1"/>
  <c r="P202" i="8" a="1"/>
  <c r="J196" i="8" a="1"/>
  <c r="Q204" i="8" a="1"/>
  <c r="P292" i="8" a="1"/>
  <c r="H254" i="8" a="1"/>
  <c r="G281" i="8" a="1"/>
  <c r="G155" i="8" a="1"/>
  <c r="I67" i="8" a="1"/>
  <c r="J11" i="8" a="1"/>
  <c r="J23" i="8" a="1"/>
  <c r="G249" i="8" a="1"/>
  <c r="H162" i="8" a="1"/>
  <c r="J320" i="8" a="1"/>
  <c r="J72" i="8" a="1"/>
  <c r="P320" i="8" a="1"/>
  <c r="G65" i="8" a="1"/>
  <c r="I230" i="8" a="1"/>
  <c r="J265" i="8" a="1"/>
  <c r="J198" i="8" a="1"/>
  <c r="S127" i="8" a="1"/>
  <c r="H272" i="8" a="1"/>
  <c r="G74" i="8" a="1"/>
  <c r="I46" i="8" a="1"/>
  <c r="Q244" i="8" a="1"/>
  <c r="R204" i="8" a="1"/>
  <c r="S174" i="8" a="1"/>
  <c r="P223" i="8" a="1"/>
  <c r="Q318" i="8" a="1"/>
  <c r="R61" i="8" a="1"/>
  <c r="J138" i="8" a="1"/>
  <c r="H64" i="8" a="1"/>
  <c r="R53" i="8" a="1"/>
  <c r="P249" i="8" a="1"/>
  <c r="G78" i="8" a="1"/>
  <c r="I152" i="8" a="1"/>
  <c r="H78" i="8" a="1"/>
  <c r="H239" i="8" a="1"/>
  <c r="R258" i="8" a="1"/>
  <c r="G221" i="8" a="1"/>
  <c r="Q21" i="8" a="1"/>
  <c r="H40" i="8" a="1"/>
  <c r="Q322" i="8" a="1"/>
  <c r="Z110" i="8" a="1"/>
  <c r="I66" i="8" a="1"/>
  <c r="P280" i="8" a="1"/>
  <c r="S159" i="8" a="1"/>
  <c r="R205" i="8" a="1"/>
  <c r="I68" i="8" a="1"/>
  <c r="P321" i="8" a="1"/>
  <c r="I313" i="8" a="1"/>
  <c r="P90" i="8" a="1"/>
  <c r="S114" i="8" a="1"/>
  <c r="G178" i="8" a="1"/>
  <c r="S180" i="8" a="1"/>
  <c r="P20" i="8" a="1"/>
  <c r="P26" i="8" a="1"/>
  <c r="S62" i="8" a="1"/>
  <c r="G255" i="8" a="1"/>
  <c r="S99" i="8" a="1"/>
  <c r="S108" i="8" a="1"/>
  <c r="Q120" i="8" a="1"/>
  <c r="R301" i="8" a="1"/>
  <c r="H198" i="8" a="1"/>
  <c r="G261" i="8" a="1"/>
  <c r="Q258" i="8" a="1"/>
  <c r="I57" i="8" a="1"/>
  <c r="J86" i="8" a="1"/>
  <c r="I224" i="8" a="1"/>
  <c r="I213" i="8" a="1"/>
  <c r="Z71" i="8" a="1"/>
  <c r="P83" i="8" a="1"/>
  <c r="J47" i="8" a="1"/>
  <c r="R308" i="8" a="1"/>
  <c r="G308" i="8" a="1"/>
  <c r="R109" i="8" a="1"/>
  <c r="AB312" i="8" a="1"/>
  <c r="Q234" i="8" a="1"/>
  <c r="Q142" i="8" a="1"/>
  <c r="H295" i="8" a="1"/>
  <c r="G45" i="8" a="1"/>
  <c r="H314" i="8" a="1"/>
  <c r="J25" i="8" a="1"/>
  <c r="AA275" i="8" a="1"/>
  <c r="J55" i="8" a="1"/>
  <c r="I303" i="8" a="1"/>
  <c r="H324" i="8" a="1"/>
  <c r="P220" i="8" a="1"/>
  <c r="Q159" i="8" a="1"/>
  <c r="P7" i="8" a="1"/>
  <c r="S132" i="8" a="1"/>
  <c r="S91" i="8" a="1"/>
  <c r="S244" i="8" a="1"/>
  <c r="H320" i="8" a="1"/>
  <c r="S137" i="8" a="1"/>
  <c r="AA150" i="8" a="1"/>
  <c r="Y6" i="8" a="1"/>
  <c r="H99" i="8" a="1"/>
  <c r="S17" i="8" a="1"/>
  <c r="AA274" i="8" a="1"/>
  <c r="H196" i="8" a="1"/>
  <c r="Q16" i="8" a="1"/>
  <c r="Z223" i="8" a="1"/>
  <c r="I263" i="8" a="1"/>
  <c r="P76" i="8" a="1"/>
  <c r="R245" i="8" a="1"/>
  <c r="AB309" i="8" a="1"/>
  <c r="J26" i="8" a="1"/>
  <c r="I312" i="8" a="1"/>
  <c r="G37" i="8" a="1"/>
  <c r="J163" i="8" a="1"/>
  <c r="J131" i="8" a="1"/>
  <c r="G272" i="8" a="1"/>
  <c r="I71" i="8" a="1"/>
  <c r="R6" i="8" a="1"/>
  <c r="H317" i="8" a="1"/>
  <c r="G292" i="8" a="1"/>
  <c r="I268" i="8" a="1"/>
  <c r="R4" i="8" a="1"/>
  <c r="R10" i="8" a="1"/>
  <c r="R124" i="8" a="1"/>
  <c r="P180" i="8" a="1"/>
  <c r="I296" i="8" a="1"/>
  <c r="G175" i="8" a="1"/>
  <c r="J276" i="8" a="1"/>
  <c r="Y3" i="8" a="1"/>
  <c r="I134" i="8" a="1"/>
  <c r="P72" i="8" a="1"/>
  <c r="R186" i="8" a="1"/>
  <c r="S173" i="8" a="1"/>
  <c r="J105" i="8" a="1"/>
  <c r="I198" i="8" a="1"/>
  <c r="G8" i="8" a="1"/>
  <c r="I49" i="8" a="1"/>
  <c r="J30" i="8" a="1"/>
  <c r="G163" i="8" a="1"/>
  <c r="I285" i="8" a="1"/>
  <c r="R296" i="8" a="1"/>
  <c r="G172" i="8" a="1"/>
  <c r="R41" i="8" a="1"/>
  <c r="G164" i="8" a="1"/>
  <c r="BX11" i="8" l="1"/>
  <c r="BX6" i="8"/>
  <c r="BX5" i="8"/>
  <c r="BX10" i="8"/>
  <c r="BX7" i="8"/>
  <c r="BX9" i="8"/>
  <c r="BX8" i="8"/>
  <c r="BX12" i="8"/>
  <c r="BX4" i="8"/>
  <c r="BQ12" i="8"/>
  <c r="BQ11" i="8"/>
  <c r="BQ10" i="8"/>
  <c r="BQ9" i="8"/>
  <c r="BQ4" i="8"/>
  <c r="BQ5" i="8"/>
  <c r="BQ8" i="8"/>
  <c r="BQ6" i="8"/>
  <c r="BQ7" i="8"/>
  <c r="BO7" i="8"/>
  <c r="BO5" i="8"/>
  <c r="BO9" i="8"/>
  <c r="BO6" i="8"/>
  <c r="BO11" i="8"/>
  <c r="BO8" i="8"/>
  <c r="BO10" i="8"/>
  <c r="BO12" i="8"/>
  <c r="BO4" i="8"/>
  <c r="BP12" i="8"/>
  <c r="BP11" i="8"/>
  <c r="BP10" i="8"/>
  <c r="BP9" i="8"/>
  <c r="BP8" i="8"/>
  <c r="BP7" i="8"/>
  <c r="BP6" i="8"/>
  <c r="BP5" i="8"/>
  <c r="BP4" i="8"/>
  <c r="BZ12" i="8"/>
  <c r="BZ11" i="8"/>
  <c r="BZ10" i="8"/>
  <c r="BZ4" i="8"/>
  <c r="BZ7" i="8"/>
  <c r="BZ5" i="8"/>
  <c r="BZ8" i="8"/>
  <c r="BZ9" i="8"/>
  <c r="BZ6" i="8"/>
  <c r="BY12" i="8"/>
  <c r="BY11" i="8"/>
  <c r="BY10" i="8"/>
  <c r="BY9" i="8"/>
  <c r="BY8" i="8"/>
  <c r="BY7" i="8"/>
  <c r="BY6" i="8"/>
  <c r="BY5" i="8"/>
  <c r="BY4" i="8"/>
  <c r="BF12" i="8"/>
  <c r="BF8" i="8"/>
  <c r="BF4" i="8"/>
  <c r="BF9" i="8"/>
  <c r="BF11" i="8"/>
  <c r="BF6" i="8"/>
  <c r="BF10" i="8"/>
  <c r="BF5" i="8"/>
  <c r="BF7" i="8"/>
  <c r="BG12" i="8"/>
  <c r="BG8" i="8"/>
  <c r="BG4" i="8"/>
  <c r="BG5" i="8"/>
  <c r="BG9" i="8"/>
  <c r="BG10" i="8"/>
  <c r="BG6" i="8"/>
  <c r="BG7" i="8"/>
  <c r="BG11" i="8"/>
  <c r="BH4" i="8"/>
  <c r="BH9" i="8"/>
  <c r="BH5" i="8"/>
  <c r="BH10" i="8"/>
  <c r="BH7" i="8"/>
  <c r="BH6" i="8"/>
  <c r="BH8" i="8"/>
  <c r="BH12" i="8"/>
  <c r="BH11" i="8"/>
  <c r="AW12" i="8"/>
  <c r="AW9" i="8"/>
  <c r="AW6" i="8"/>
  <c r="AW8" i="8"/>
  <c r="AW5" i="8"/>
  <c r="AW11" i="8"/>
  <c r="AW10" i="8"/>
  <c r="AW7" i="8"/>
  <c r="AW4" i="8"/>
  <c r="AX5" i="8"/>
  <c r="AX4" i="8"/>
  <c r="AX11" i="8"/>
  <c r="AX8" i="8"/>
  <c r="AX10" i="8"/>
  <c r="AX7" i="8"/>
  <c r="AX12" i="8"/>
  <c r="AX9" i="8"/>
  <c r="AX6" i="8"/>
  <c r="AY11" i="8"/>
  <c r="AY8" i="8"/>
  <c r="AY5" i="8"/>
  <c r="AY7" i="8"/>
  <c r="AY10" i="8"/>
  <c r="AY4" i="8"/>
  <c r="AY6" i="8"/>
  <c r="AY12" i="8"/>
  <c r="AY9" i="8"/>
  <c r="G55" i="8"/>
  <c r="G259" i="8"/>
  <c r="G231" i="8"/>
  <c r="G143" i="8"/>
  <c r="G118" i="8"/>
  <c r="H13" i="8"/>
  <c r="H151" i="8"/>
  <c r="H18" i="8"/>
  <c r="H142" i="8"/>
  <c r="I279" i="8"/>
  <c r="I121" i="8"/>
  <c r="I274" i="8"/>
  <c r="J181" i="8"/>
  <c r="J274" i="8"/>
  <c r="G115" i="8"/>
  <c r="G241" i="8"/>
  <c r="G281" i="8"/>
  <c r="G232" i="8"/>
  <c r="H308" i="8"/>
  <c r="H165" i="8"/>
  <c r="H237" i="8"/>
  <c r="H47" i="8"/>
  <c r="I288" i="8"/>
  <c r="I92" i="8"/>
  <c r="I281" i="8"/>
  <c r="J96" i="8"/>
  <c r="J152" i="8"/>
  <c r="J227" i="8"/>
  <c r="P75" i="8"/>
  <c r="P175" i="8"/>
  <c r="G164" i="8"/>
  <c r="G104" i="8"/>
  <c r="G175" i="8"/>
  <c r="G11" i="8"/>
  <c r="G4" i="8"/>
  <c r="H61" i="8"/>
  <c r="H205" i="8"/>
  <c r="H149" i="8"/>
  <c r="I157" i="8"/>
  <c r="I276" i="8"/>
  <c r="I126" i="8"/>
  <c r="J325" i="8"/>
  <c r="J144" i="8"/>
  <c r="J221" i="8"/>
  <c r="P249" i="8"/>
  <c r="P111" i="8"/>
  <c r="P220" i="8"/>
  <c r="G279" i="8"/>
  <c r="G288" i="8"/>
  <c r="G169" i="8"/>
  <c r="G157" i="8"/>
  <c r="G101" i="8"/>
  <c r="H246" i="8"/>
  <c r="G3" i="8"/>
  <c r="G146" i="8"/>
  <c r="G105" i="8"/>
  <c r="G252" i="8"/>
  <c r="G67" i="8"/>
  <c r="G13" i="8"/>
  <c r="G62" i="8"/>
  <c r="G204" i="8"/>
  <c r="G303" i="8"/>
  <c r="G273" i="8"/>
  <c r="G249" i="8"/>
  <c r="G309" i="8"/>
  <c r="G90" i="8"/>
  <c r="G305" i="8"/>
  <c r="G149" i="8"/>
  <c r="G47" i="8"/>
  <c r="G215" i="8"/>
  <c r="G244" i="8"/>
  <c r="G136" i="8"/>
  <c r="G28" i="8"/>
  <c r="H25" i="8"/>
  <c r="H254" i="8"/>
  <c r="H85" i="8"/>
  <c r="H249" i="8"/>
  <c r="H225" i="8"/>
  <c r="H122" i="8"/>
  <c r="H201" i="8"/>
  <c r="H134" i="8"/>
  <c r="H255" i="8"/>
  <c r="H168" i="8"/>
  <c r="H54" i="8"/>
  <c r="H185" i="8"/>
  <c r="H59" i="8"/>
  <c r="H286" i="8"/>
  <c r="H148" i="8"/>
  <c r="H40" i="8"/>
  <c r="I216" i="8"/>
  <c r="I296" i="8"/>
  <c r="I25" i="8"/>
  <c r="I145" i="8"/>
  <c r="I19" i="8"/>
  <c r="I236" i="8"/>
  <c r="I171" i="8"/>
  <c r="I186" i="8"/>
  <c r="I6" i="8"/>
  <c r="I107" i="8"/>
  <c r="I280" i="8"/>
  <c r="I142" i="8"/>
  <c r="J176" i="8"/>
  <c r="J86" i="8"/>
  <c r="J253" i="8"/>
  <c r="J55" i="8"/>
  <c r="J198" i="8"/>
  <c r="J110" i="8"/>
  <c r="J159" i="8"/>
  <c r="J73" i="8"/>
  <c r="J239" i="8"/>
  <c r="J113" i="8"/>
  <c r="J280" i="8"/>
  <c r="J82" i="8"/>
  <c r="P159" i="8"/>
  <c r="P140" i="8"/>
  <c r="P51" i="8"/>
  <c r="P320" i="8"/>
  <c r="P319" i="8"/>
  <c r="P186" i="8"/>
  <c r="P65" i="8"/>
  <c r="P89" i="8"/>
  <c r="P292" i="8"/>
  <c r="P118" i="8"/>
  <c r="Q177" i="8"/>
  <c r="Q86" i="8"/>
  <c r="Q235" i="8"/>
  <c r="Q165" i="8"/>
  <c r="Q216" i="8"/>
  <c r="Q227" i="8"/>
  <c r="Q221" i="8"/>
  <c r="Q70" i="8"/>
  <c r="R291" i="8"/>
  <c r="R133" i="8"/>
  <c r="R242" i="8"/>
  <c r="R210" i="8"/>
  <c r="R173" i="8"/>
  <c r="R142" i="8"/>
  <c r="S74" i="8"/>
  <c r="S152" i="8"/>
  <c r="J151" i="8"/>
  <c r="J76" i="8"/>
  <c r="P109" i="8"/>
  <c r="P314" i="8"/>
  <c r="P37" i="8"/>
  <c r="P237" i="8"/>
  <c r="P326" i="8"/>
  <c r="P180" i="8"/>
  <c r="P300" i="8"/>
  <c r="P83" i="8"/>
  <c r="P286" i="8"/>
  <c r="P112" i="8"/>
  <c r="Q200" i="8"/>
  <c r="Q207" i="8"/>
  <c r="Q224" i="8"/>
  <c r="Q104" i="8"/>
  <c r="Q210" i="8"/>
  <c r="Q215" i="8"/>
  <c r="Q209" i="8"/>
  <c r="Q64" i="8"/>
  <c r="R199" i="8"/>
  <c r="R61" i="8"/>
  <c r="R223" i="8"/>
  <c r="R204" i="8"/>
  <c r="R155" i="8"/>
  <c r="R136" i="8"/>
  <c r="S63" i="8"/>
  <c r="S81" i="8"/>
  <c r="G283" i="8"/>
  <c r="P165" i="8"/>
  <c r="P227" i="8"/>
  <c r="P17" i="8"/>
  <c r="P238" i="8"/>
  <c r="P106" i="8"/>
  <c r="Q189" i="8"/>
  <c r="Q146" i="8"/>
  <c r="Q213" i="8"/>
  <c r="Q43" i="8"/>
  <c r="Q204" i="8"/>
  <c r="Q203" i="8"/>
  <c r="Q197" i="8"/>
  <c r="Q58" i="8"/>
  <c r="R169" i="8"/>
  <c r="R324" i="8"/>
  <c r="R212" i="8"/>
  <c r="R198" i="8"/>
  <c r="R149" i="8"/>
  <c r="R130" i="8"/>
  <c r="S276" i="8"/>
  <c r="S31" i="8"/>
  <c r="G177" i="8"/>
  <c r="P11" i="8"/>
  <c r="Q187" i="8"/>
  <c r="Q267" i="8"/>
  <c r="Q186" i="8"/>
  <c r="Q191" i="8"/>
  <c r="Q185" i="8"/>
  <c r="Q52" i="8"/>
  <c r="R75" i="8"/>
  <c r="R307" i="8"/>
  <c r="R201" i="8"/>
  <c r="R192" i="8"/>
  <c r="R143" i="8"/>
  <c r="R124" i="8"/>
  <c r="S327" i="8"/>
  <c r="S20" i="8"/>
  <c r="P199" i="8"/>
  <c r="R258" i="8"/>
  <c r="R53" i="8"/>
  <c r="R28" i="8"/>
  <c r="S21" i="8"/>
  <c r="S121" i="8"/>
  <c r="G297" i="8"/>
  <c r="H299" i="8"/>
  <c r="I75" i="8"/>
  <c r="I314" i="8"/>
  <c r="I289" i="8"/>
  <c r="I194" i="8"/>
  <c r="I111" i="8"/>
  <c r="I123" i="8"/>
  <c r="I290" i="8"/>
  <c r="I96" i="8"/>
  <c r="I197" i="8"/>
  <c r="I23" i="8"/>
  <c r="I250" i="8"/>
  <c r="I64" i="8"/>
  <c r="J258" i="8"/>
  <c r="J51" i="8"/>
  <c r="J117" i="8"/>
  <c r="J271" i="8"/>
  <c r="J69" i="8"/>
  <c r="J312" i="8"/>
  <c r="J308" i="8"/>
  <c r="J78" i="8"/>
  <c r="J209" i="8"/>
  <c r="J23" i="8"/>
  <c r="J196" i="8"/>
  <c r="P3" i="8"/>
  <c r="P177" i="8"/>
  <c r="P93" i="8"/>
  <c r="P81" i="8"/>
  <c r="P39" i="8"/>
  <c r="P19" i="8"/>
  <c r="P102" i="8"/>
  <c r="P197" i="8"/>
  <c r="P318" i="8"/>
  <c r="P208" i="8"/>
  <c r="P34" i="8"/>
  <c r="Q283" i="8"/>
  <c r="Q32" i="8"/>
  <c r="Q21" i="8"/>
  <c r="Q307" i="8"/>
  <c r="Q108" i="8"/>
  <c r="Q95" i="8"/>
  <c r="Q262" i="8"/>
  <c r="R211" i="8"/>
  <c r="R63" i="8"/>
  <c r="R141" i="8"/>
  <c r="R317" i="8"/>
  <c r="R108" i="8"/>
  <c r="R47" i="8"/>
  <c r="R10" i="8"/>
  <c r="S219" i="8"/>
  <c r="S91" i="8"/>
  <c r="G260" i="8"/>
  <c r="H269" i="8"/>
  <c r="I50" i="8"/>
  <c r="I159" i="8"/>
  <c r="I90" i="8"/>
  <c r="I191" i="8"/>
  <c r="I5" i="8"/>
  <c r="I238" i="8"/>
  <c r="I58" i="8"/>
  <c r="J204" i="8"/>
  <c r="J254" i="8"/>
  <c r="J109" i="8"/>
  <c r="J313" i="8"/>
  <c r="J38" i="8"/>
  <c r="J319" i="8"/>
  <c r="J265" i="8"/>
  <c r="J72" i="8"/>
  <c r="J155" i="8"/>
  <c r="J17" i="8"/>
  <c r="J190" i="8"/>
  <c r="P295" i="8"/>
  <c r="P105" i="8"/>
  <c r="P43" i="8"/>
  <c r="P31" i="8"/>
  <c r="P212" i="8"/>
  <c r="P9" i="8"/>
  <c r="P96" i="8"/>
  <c r="P179" i="8"/>
  <c r="P306" i="8"/>
  <c r="P202" i="8"/>
  <c r="P22" i="8"/>
  <c r="Q230" i="8"/>
  <c r="Q289" i="8"/>
  <c r="Q206" i="8"/>
  <c r="Q326" i="8"/>
  <c r="Q102" i="8"/>
  <c r="Q89" i="8"/>
  <c r="Q256" i="8"/>
  <c r="R320" i="8"/>
  <c r="R117" i="8"/>
  <c r="R91" i="8"/>
  <c r="R290" i="8"/>
  <c r="R96" i="8"/>
  <c r="R41" i="8"/>
  <c r="R4" i="8"/>
  <c r="S15" i="8"/>
  <c r="S61" i="8"/>
  <c r="I318" i="8"/>
  <c r="J99" i="8"/>
  <c r="J229" i="8"/>
  <c r="J149" i="8"/>
  <c r="J184" i="8"/>
  <c r="P315" i="8"/>
  <c r="P55" i="8"/>
  <c r="P32" i="8"/>
  <c r="P20" i="8"/>
  <c r="P68" i="8"/>
  <c r="P7" i="8"/>
  <c r="P90" i="8"/>
  <c r="P173" i="8"/>
  <c r="P288" i="8"/>
  <c r="P196" i="8"/>
  <c r="P4" i="8"/>
  <c r="Q45" i="8"/>
  <c r="Q217" i="8"/>
  <c r="Q297" i="8"/>
  <c r="Q243" i="8"/>
  <c r="Q90" i="8"/>
  <c r="Q77" i="8"/>
  <c r="Q244" i="8"/>
  <c r="R187" i="8"/>
  <c r="R207" i="8"/>
  <c r="R69" i="8"/>
  <c r="R236" i="8"/>
  <c r="R84" i="8"/>
  <c r="R11" i="8"/>
  <c r="S313" i="8"/>
  <c r="S258" i="8"/>
  <c r="S284" i="8"/>
  <c r="G14" i="8"/>
  <c r="G194" i="8"/>
  <c r="G291" i="8"/>
  <c r="G23" i="8"/>
  <c r="G22" i="8"/>
  <c r="H223" i="8"/>
  <c r="H81" i="8"/>
  <c r="H179" i="8"/>
  <c r="H34" i="8"/>
  <c r="I62" i="8"/>
  <c r="I138" i="8"/>
  <c r="I136" i="8"/>
  <c r="J300" i="8"/>
  <c r="J65" i="8"/>
  <c r="G278" i="8"/>
  <c r="G314" i="8"/>
  <c r="G183" i="8"/>
  <c r="G137" i="8"/>
  <c r="G112" i="8"/>
  <c r="H187" i="8"/>
  <c r="H129" i="8"/>
  <c r="H12" i="8"/>
  <c r="H136" i="8"/>
  <c r="I195" i="8"/>
  <c r="I99" i="8"/>
  <c r="I268" i="8"/>
  <c r="J171" i="8"/>
  <c r="J306" i="8"/>
  <c r="J59" i="8"/>
  <c r="P132" i="8"/>
  <c r="G86" i="8"/>
  <c r="G195" i="8"/>
  <c r="G247" i="8"/>
  <c r="G269" i="8"/>
  <c r="G214" i="8"/>
  <c r="H75" i="8"/>
  <c r="H284" i="8"/>
  <c r="H144" i="8"/>
  <c r="H256" i="8"/>
  <c r="I213" i="8"/>
  <c r="I57" i="8"/>
  <c r="I209" i="8"/>
  <c r="I76" i="8"/>
  <c r="J62" i="8"/>
  <c r="J57" i="8"/>
  <c r="J53" i="8"/>
  <c r="P115" i="8"/>
  <c r="P80" i="8"/>
  <c r="Q116" i="8"/>
  <c r="G63" i="8"/>
  <c r="G168" i="8"/>
  <c r="G211" i="8"/>
  <c r="G5" i="8"/>
  <c r="G100" i="8"/>
  <c r="H43" i="8"/>
  <c r="H266" i="8"/>
  <c r="H219" i="8"/>
  <c r="H143" i="8"/>
  <c r="H250" i="8"/>
  <c r="I242" i="8"/>
  <c r="I248" i="8"/>
  <c r="I114" i="8"/>
  <c r="I256" i="8"/>
  <c r="J104" i="8"/>
  <c r="J297" i="8"/>
  <c r="J7" i="8"/>
  <c r="J41" i="8"/>
  <c r="P104" i="8"/>
  <c r="P69" i="8"/>
  <c r="P5" i="8"/>
  <c r="Q115" i="8"/>
  <c r="R114" i="8"/>
  <c r="G156" i="8"/>
  <c r="G199" i="8"/>
  <c r="G50" i="8"/>
  <c r="G193" i="8"/>
  <c r="G95" i="8"/>
  <c r="G94" i="8"/>
  <c r="H189" i="8"/>
  <c r="H278" i="8"/>
  <c r="H157" i="8"/>
  <c r="H137" i="8"/>
  <c r="I105" i="8"/>
  <c r="G235" i="8"/>
  <c r="G264" i="8"/>
  <c r="G312" i="8"/>
  <c r="G61" i="8"/>
  <c r="G221" i="8"/>
  <c r="G292" i="8"/>
  <c r="H325" i="8"/>
  <c r="H141" i="8"/>
  <c r="H74" i="8"/>
  <c r="H294" i="8"/>
  <c r="H125" i="8"/>
  <c r="H106" i="8"/>
  <c r="I165" i="8"/>
  <c r="I311" i="8"/>
  <c r="G21" i="8"/>
  <c r="G210" i="8"/>
  <c r="G69" i="8"/>
  <c r="G276" i="8"/>
  <c r="G83" i="8"/>
  <c r="G178" i="8"/>
  <c r="H324" i="8"/>
  <c r="H91" i="8"/>
  <c r="H306" i="8"/>
  <c r="H276" i="8"/>
  <c r="H257" i="8"/>
  <c r="H107" i="8"/>
  <c r="H275" i="8"/>
  <c r="H214" i="8"/>
  <c r="H70" i="8"/>
  <c r="I177" i="8"/>
  <c r="I217" i="8"/>
  <c r="I63" i="8"/>
  <c r="I206" i="8"/>
  <c r="I201" i="8"/>
  <c r="I230" i="8"/>
  <c r="I109" i="8"/>
  <c r="I84" i="8"/>
  <c r="I185" i="8"/>
  <c r="I305" i="8"/>
  <c r="I190" i="8"/>
  <c r="I52" i="8"/>
  <c r="J240" i="8"/>
  <c r="J218" i="8"/>
  <c r="J50" i="8"/>
  <c r="J14" i="8"/>
  <c r="J231" i="8"/>
  <c r="J60" i="8"/>
  <c r="J11" i="8"/>
  <c r="G75" i="8"/>
  <c r="G162" i="8"/>
  <c r="G242" i="8"/>
  <c r="G188" i="8"/>
  <c r="G192" i="8"/>
  <c r="G216" i="8"/>
  <c r="G39" i="8"/>
  <c r="G19" i="8"/>
  <c r="G248" i="8"/>
  <c r="G68" i="8"/>
  <c r="G258" i="8"/>
  <c r="G87" i="8"/>
  <c r="G24" i="8"/>
  <c r="G173" i="8"/>
  <c r="G77" i="8"/>
  <c r="G311" i="8"/>
  <c r="G268" i="8"/>
  <c r="G172" i="8"/>
  <c r="G70" i="8"/>
  <c r="H44" i="8"/>
  <c r="H317" i="8"/>
  <c r="H177" i="8"/>
  <c r="H92" i="8"/>
  <c r="H80" i="8"/>
  <c r="H73" i="8"/>
  <c r="H38" i="8"/>
  <c r="H104" i="8"/>
  <c r="H258" i="8"/>
  <c r="H15" i="8"/>
  <c r="H84" i="8"/>
  <c r="H239" i="8"/>
  <c r="H95" i="8"/>
  <c r="H263" i="8"/>
  <c r="H208" i="8"/>
  <c r="H64" i="8"/>
  <c r="I223" i="8"/>
  <c r="I147" i="8"/>
  <c r="I307" i="8"/>
  <c r="I187" i="8"/>
  <c r="I193" i="8"/>
  <c r="I308" i="8"/>
  <c r="I204" i="8"/>
  <c r="I98" i="8"/>
  <c r="I42" i="8"/>
  <c r="I179" i="8"/>
  <c r="I293" i="8"/>
  <c r="I184" i="8"/>
  <c r="I46" i="8"/>
  <c r="J67" i="8"/>
  <c r="J174" i="8"/>
  <c r="J25" i="8"/>
  <c r="J320" i="8"/>
  <c r="J255" i="8"/>
  <c r="J223" i="8"/>
  <c r="J193" i="8"/>
  <c r="J42" i="8"/>
  <c r="J143" i="8"/>
  <c r="J316" i="8"/>
  <c r="J124" i="8"/>
  <c r="P49" i="8"/>
  <c r="P301" i="8"/>
  <c r="P206" i="8"/>
  <c r="P219" i="8"/>
  <c r="P321" i="8"/>
  <c r="P228" i="8"/>
  <c r="P24" i="8"/>
  <c r="P125" i="8"/>
  <c r="P233" i="8"/>
  <c r="P190" i="8"/>
  <c r="Q3" i="8"/>
  <c r="Q169" i="8"/>
  <c r="Q145" i="8"/>
  <c r="Q315" i="8"/>
  <c r="Q242" i="8"/>
  <c r="Q18" i="8"/>
  <c r="Q5" i="8"/>
  <c r="Q172" i="8"/>
  <c r="R188" i="8"/>
  <c r="R74" i="8"/>
  <c r="R246" i="8"/>
  <c r="R296" i="8"/>
  <c r="R6" i="8"/>
  <c r="R280" i="8"/>
  <c r="S117" i="8"/>
  <c r="S309" i="8"/>
  <c r="S260" i="8"/>
  <c r="H236" i="8"/>
  <c r="J288" i="8"/>
  <c r="J118" i="8"/>
  <c r="P74" i="8"/>
  <c r="P195" i="8"/>
  <c r="P222" i="8"/>
  <c r="P18" i="8"/>
  <c r="P107" i="8"/>
  <c r="P209" i="8"/>
  <c r="P136" i="8"/>
  <c r="Q157" i="8"/>
  <c r="Q33" i="8"/>
  <c r="Q39" i="8"/>
  <c r="Q171" i="8"/>
  <c r="Q170" i="8"/>
  <c r="Q318" i="8"/>
  <c r="Q276" i="8"/>
  <c r="Q154" i="8"/>
  <c r="R237" i="8"/>
  <c r="R104" i="8"/>
  <c r="R31" i="8"/>
  <c r="R321" i="8"/>
  <c r="R281" i="8"/>
  <c r="R262" i="8"/>
  <c r="S147" i="8"/>
  <c r="S195" i="8"/>
  <c r="S231" i="8"/>
  <c r="G225" i="8"/>
  <c r="G201" i="8"/>
  <c r="G293" i="8"/>
  <c r="G238" i="8"/>
  <c r="H14" i="8"/>
  <c r="H50" i="8"/>
  <c r="H247" i="8"/>
  <c r="H53" i="8"/>
  <c r="I44" i="8"/>
  <c r="I240" i="8"/>
  <c r="I299" i="8"/>
  <c r="J168" i="8"/>
  <c r="J180" i="8"/>
  <c r="J321" i="8"/>
  <c r="G127" i="8"/>
  <c r="G234" i="8"/>
  <c r="G186" i="8"/>
  <c r="G66" i="8"/>
  <c r="G179" i="8"/>
  <c r="H282" i="8"/>
  <c r="H302" i="8"/>
  <c r="H156" i="8"/>
  <c r="H262" i="8"/>
  <c r="I234" i="8"/>
  <c r="I210" i="8"/>
  <c r="I77" i="8"/>
  <c r="J85" i="8"/>
  <c r="J87" i="8"/>
  <c r="J214" i="8"/>
  <c r="P122" i="8"/>
  <c r="G25" i="8"/>
  <c r="G176" i="8"/>
  <c r="G60" i="8"/>
  <c r="G322" i="8"/>
  <c r="H188" i="8"/>
  <c r="H93" i="8"/>
  <c r="H229" i="8"/>
  <c r="H35" i="8"/>
  <c r="I285" i="8"/>
  <c r="I326" i="8"/>
  <c r="I71" i="8"/>
  <c r="J33" i="8"/>
  <c r="J261" i="8"/>
  <c r="J208" i="8"/>
  <c r="P114" i="8"/>
  <c r="Q9" i="8"/>
  <c r="G254" i="8"/>
  <c r="G271" i="8"/>
  <c r="G103" i="8"/>
  <c r="G257" i="8"/>
  <c r="G196" i="8"/>
  <c r="H33" i="8"/>
  <c r="H21" i="8"/>
  <c r="H133" i="8"/>
  <c r="H293" i="8"/>
  <c r="H124" i="8"/>
  <c r="I116" i="8"/>
  <c r="I183" i="8"/>
  <c r="I38" i="8"/>
  <c r="I65" i="8"/>
  <c r="J13" i="8"/>
  <c r="J134" i="8"/>
  <c r="J15" i="8"/>
  <c r="J202" i="8"/>
  <c r="P92" i="8"/>
  <c r="P108" i="8"/>
  <c r="P214" i="8"/>
  <c r="Q85" i="8"/>
  <c r="Q61" i="8"/>
  <c r="Q101" i="8"/>
  <c r="R97" i="8"/>
  <c r="R152" i="8"/>
  <c r="G171" i="8"/>
  <c r="G261" i="8"/>
  <c r="G141" i="8"/>
  <c r="G147" i="8"/>
  <c r="G42" i="8"/>
  <c r="G310" i="8"/>
  <c r="H315" i="8"/>
  <c r="H288" i="8"/>
  <c r="H248" i="8"/>
  <c r="H181" i="8"/>
  <c r="H114" i="8"/>
  <c r="H238" i="8"/>
  <c r="G32" i="8"/>
  <c r="G43" i="8"/>
  <c r="G324" i="8"/>
  <c r="G140" i="8"/>
  <c r="G165" i="8"/>
  <c r="G89" i="8"/>
  <c r="G184" i="8"/>
  <c r="G88" i="8"/>
  <c r="H264" i="8"/>
  <c r="H206" i="8"/>
  <c r="H98" i="8"/>
  <c r="H287" i="8"/>
  <c r="I321" i="8"/>
  <c r="I225" i="8"/>
  <c r="G224" i="8"/>
  <c r="G296" i="8"/>
  <c r="G20" i="8"/>
  <c r="G129" i="8"/>
  <c r="G30" i="8"/>
  <c r="G323" i="8"/>
  <c r="G76" i="8"/>
  <c r="H56" i="8"/>
  <c r="H145" i="8"/>
  <c r="H26" i="8"/>
  <c r="G163" i="8"/>
  <c r="G272" i="8"/>
  <c r="G174" i="8"/>
  <c r="G266" i="8"/>
  <c r="G121" i="8"/>
  <c r="G110" i="8"/>
  <c r="G12" i="8"/>
  <c r="G167" i="8"/>
  <c r="G262" i="8"/>
  <c r="G58" i="8"/>
  <c r="H9" i="8"/>
  <c r="H69" i="8"/>
  <c r="H27" i="8"/>
  <c r="H222" i="8"/>
  <c r="H78" i="8"/>
  <c r="H77" i="8"/>
  <c r="H196" i="8"/>
  <c r="I303" i="8"/>
  <c r="I158" i="8"/>
  <c r="I282" i="8"/>
  <c r="I87" i="8"/>
  <c r="I167" i="8"/>
  <c r="I178" i="8"/>
  <c r="J318" i="8"/>
  <c r="J201" i="8"/>
  <c r="J213" i="8"/>
  <c r="J137" i="8"/>
  <c r="P38" i="8"/>
  <c r="P260" i="8"/>
  <c r="G315" i="8"/>
  <c r="G74" i="8"/>
  <c r="G153" i="8"/>
  <c r="G123" i="8"/>
  <c r="G295" i="8"/>
  <c r="G26" i="8"/>
  <c r="G65" i="8"/>
  <c r="G256" i="8"/>
  <c r="H116" i="8"/>
  <c r="H235" i="8"/>
  <c r="H19" i="8"/>
  <c r="H326" i="8"/>
  <c r="H270" i="8"/>
  <c r="H273" i="8"/>
  <c r="H72" i="8"/>
  <c r="H197" i="8"/>
  <c r="H71" i="8"/>
  <c r="H322" i="8"/>
  <c r="H178" i="8"/>
  <c r="H52" i="8"/>
  <c r="I241" i="8"/>
  <c r="I67" i="8"/>
  <c r="I32" i="8"/>
  <c r="I13" i="8"/>
  <c r="I80" i="8"/>
  <c r="I264" i="8"/>
  <c r="I265" i="8"/>
  <c r="I37" i="8"/>
  <c r="I18" i="8"/>
  <c r="I119" i="8"/>
  <c r="I275" i="8"/>
  <c r="I166" i="8"/>
  <c r="J132" i="8"/>
  <c r="J114" i="8"/>
  <c r="J102" i="8"/>
  <c r="J165" i="8"/>
  <c r="J216" i="8"/>
  <c r="J183" i="8"/>
  <c r="J195" i="8"/>
  <c r="J128" i="8"/>
  <c r="J30" i="8"/>
  <c r="J131" i="8"/>
  <c r="J292" i="8"/>
  <c r="J112" i="8"/>
  <c r="P27" i="8"/>
  <c r="P63" i="8"/>
  <c r="P145" i="8"/>
  <c r="P279" i="8"/>
  <c r="P309" i="8"/>
  <c r="P216" i="8"/>
  <c r="P12" i="8"/>
  <c r="P101" i="8"/>
  <c r="P322" i="8"/>
  <c r="P130" i="8"/>
  <c r="Q147" i="8"/>
  <c r="Q63" i="8"/>
  <c r="Q296" i="8"/>
  <c r="Q99" i="8"/>
  <c r="Q159" i="8"/>
  <c r="Q300" i="8"/>
  <c r="Q258" i="8"/>
  <c r="Q148" i="8"/>
  <c r="R157" i="8"/>
  <c r="R32" i="8"/>
  <c r="R183" i="8"/>
  <c r="R231" i="8"/>
  <c r="R269" i="8"/>
  <c r="R256" i="8"/>
  <c r="S26" i="8"/>
  <c r="S326" i="8"/>
  <c r="S223" i="8"/>
  <c r="G306" i="8"/>
  <c r="G267" i="8"/>
  <c r="G72" i="8"/>
  <c r="G203" i="8"/>
  <c r="H45" i="8"/>
  <c r="H314" i="8"/>
  <c r="H162" i="8"/>
  <c r="H268" i="8"/>
  <c r="I253" i="8"/>
  <c r="I228" i="8"/>
  <c r="I95" i="8"/>
  <c r="J147" i="8"/>
  <c r="J21" i="8"/>
  <c r="J233" i="8"/>
  <c r="G152" i="8"/>
  <c r="G223" i="8"/>
  <c r="G205" i="8"/>
  <c r="G17" i="8"/>
  <c r="G16" i="8"/>
  <c r="H194" i="8"/>
  <c r="H285" i="8"/>
  <c r="H167" i="8"/>
  <c r="H22" i="8"/>
  <c r="I302" i="8"/>
  <c r="I132" i="8"/>
  <c r="I94" i="8"/>
  <c r="J323" i="8"/>
  <c r="J279" i="8"/>
  <c r="J28" i="8"/>
  <c r="P91" i="8"/>
  <c r="G290" i="8"/>
  <c r="G198" i="8"/>
  <c r="G159" i="8"/>
  <c r="G125" i="8"/>
  <c r="G106" i="8"/>
  <c r="H115" i="8"/>
  <c r="H7" i="8"/>
  <c r="H6" i="8"/>
  <c r="H130" i="8"/>
  <c r="I231" i="8"/>
  <c r="I49" i="8"/>
  <c r="I262" i="8"/>
  <c r="J163" i="8"/>
  <c r="J61" i="8"/>
  <c r="J10" i="8"/>
  <c r="P103" i="8"/>
  <c r="P221" i="8"/>
  <c r="P46" i="8"/>
  <c r="G318" i="8"/>
  <c r="G122" i="8"/>
  <c r="G48" i="8"/>
  <c r="G316" i="8"/>
  <c r="H117" i="8"/>
  <c r="H163" i="8"/>
  <c r="H207" i="8"/>
  <c r="H126" i="8"/>
  <c r="H311" i="8"/>
  <c r="I224" i="8"/>
  <c r="I313" i="8"/>
  <c r="I7" i="8"/>
  <c r="I203" i="8"/>
  <c r="I70" i="8"/>
  <c r="J145" i="8"/>
  <c r="J327" i="8"/>
  <c r="J215" i="8"/>
  <c r="J4" i="8"/>
  <c r="P61" i="8"/>
  <c r="P215" i="8"/>
  <c r="P40" i="8"/>
  <c r="Q93" i="8"/>
  <c r="Q114" i="8"/>
  <c r="Q268" i="8"/>
  <c r="R51" i="8"/>
  <c r="G45" i="8"/>
  <c r="G300" i="8"/>
  <c r="G158" i="8"/>
  <c r="G31" i="8"/>
  <c r="G245" i="8"/>
  <c r="G126" i="8"/>
  <c r="G190" i="8"/>
  <c r="H300" i="8"/>
  <c r="H152" i="8"/>
  <c r="H319" i="8"/>
  <c r="H281" i="8"/>
  <c r="H118" i="8"/>
  <c r="G128" i="8"/>
  <c r="G92" i="8"/>
  <c r="G139" i="8"/>
  <c r="G36" i="8"/>
  <c r="G102" i="8"/>
  <c r="H158" i="8"/>
  <c r="H242" i="8"/>
  <c r="H212" i="8"/>
  <c r="H96" i="8"/>
  <c r="H220" i="8"/>
  <c r="I267" i="8"/>
  <c r="I229" i="8"/>
  <c r="G207" i="8"/>
  <c r="G270" i="8"/>
  <c r="G284" i="8"/>
  <c r="G109" i="8"/>
  <c r="G191" i="8"/>
  <c r="G274" i="8"/>
  <c r="H169" i="8"/>
  <c r="H153" i="8"/>
  <c r="H49" i="8"/>
  <c r="H90" i="8"/>
  <c r="G116" i="8"/>
  <c r="G326" i="8"/>
  <c r="G85" i="8"/>
  <c r="G8" i="8"/>
  <c r="G7" i="8"/>
  <c r="G37" i="8"/>
  <c r="G71" i="8"/>
  <c r="G287" i="8"/>
  <c r="G166" i="8"/>
  <c r="H86" i="8"/>
  <c r="H20" i="8"/>
  <c r="H164" i="8"/>
  <c r="H296" i="8"/>
  <c r="H204" i="8"/>
  <c r="H215" i="8"/>
  <c r="H245" i="8"/>
  <c r="H58" i="8"/>
  <c r="I74" i="8"/>
  <c r="I128" i="8"/>
  <c r="I152" i="8"/>
  <c r="I164" i="8"/>
  <c r="I24" i="8"/>
  <c r="I287" i="8"/>
  <c r="J294" i="8"/>
  <c r="J138" i="8"/>
  <c r="J219" i="8"/>
  <c r="J164" i="8"/>
  <c r="J36" i="8"/>
  <c r="J298" i="8"/>
  <c r="P157" i="8"/>
  <c r="G93" i="8"/>
  <c r="G289" i="8"/>
  <c r="G56" i="8"/>
  <c r="G222" i="8"/>
  <c r="G99" i="8"/>
  <c r="G49" i="8"/>
  <c r="G114" i="8"/>
  <c r="G161" i="8"/>
  <c r="G239" i="8"/>
  <c r="G160" i="8"/>
  <c r="G40" i="8"/>
  <c r="H272" i="8"/>
  <c r="H303" i="8"/>
  <c r="H295" i="8"/>
  <c r="H198" i="8"/>
  <c r="G189" i="8"/>
  <c r="G243" i="8"/>
  <c r="G307" i="8"/>
  <c r="G181" i="8"/>
  <c r="G134" i="8"/>
  <c r="G33" i="8"/>
  <c r="G212" i="8"/>
  <c r="G51" i="8"/>
  <c r="G27" i="8"/>
  <c r="G277" i="8"/>
  <c r="G38" i="8"/>
  <c r="G15" i="8"/>
  <c r="G108" i="8"/>
  <c r="G155" i="8"/>
  <c r="G59" i="8"/>
  <c r="G227" i="8"/>
  <c r="G250" i="8"/>
  <c r="G148" i="8"/>
  <c r="G34" i="8"/>
  <c r="H147" i="8"/>
  <c r="H199" i="8"/>
  <c r="H146" i="8"/>
  <c r="H277" i="8"/>
  <c r="H323" i="8"/>
  <c r="H241" i="8"/>
  <c r="H309" i="8"/>
  <c r="H234" i="8"/>
  <c r="H265" i="8"/>
  <c r="H186" i="8"/>
  <c r="H66" i="8"/>
  <c r="H191" i="8"/>
  <c r="H65" i="8"/>
  <c r="H310" i="8"/>
  <c r="H166" i="8"/>
  <c r="H46" i="8"/>
  <c r="I45" i="8"/>
  <c r="I21" i="8"/>
  <c r="I198" i="8"/>
  <c r="I312" i="8"/>
  <c r="I69" i="8"/>
  <c r="I246" i="8"/>
  <c r="I325" i="8"/>
  <c r="I26" i="8"/>
  <c r="I12" i="8"/>
  <c r="I113" i="8"/>
  <c r="I257" i="8"/>
  <c r="I148" i="8"/>
  <c r="J75" i="8"/>
  <c r="J248" i="8"/>
  <c r="J43" i="8"/>
  <c r="J121" i="8"/>
  <c r="J206" i="8"/>
  <c r="J139" i="8"/>
  <c r="J169" i="8"/>
  <c r="J92" i="8"/>
  <c r="J263" i="8"/>
  <c r="J125" i="8"/>
  <c r="J286" i="8"/>
  <c r="J100" i="8"/>
  <c r="P231" i="8"/>
  <c r="P223" i="8"/>
  <c r="P123" i="8"/>
  <c r="P207" i="8"/>
  <c r="P248" i="8"/>
  <c r="P204" i="8"/>
  <c r="P6" i="8"/>
  <c r="P95" i="8"/>
  <c r="P310" i="8"/>
  <c r="P124" i="8"/>
  <c r="Q25" i="8"/>
  <c r="Q320" i="8"/>
  <c r="Q285" i="8"/>
  <c r="Q27" i="8"/>
  <c r="Q109" i="8"/>
  <c r="Q282" i="8"/>
  <c r="Q240" i="8"/>
  <c r="Q142" i="8"/>
  <c r="R301" i="8"/>
  <c r="R318" i="8"/>
  <c r="R111" i="8"/>
  <c r="R181" i="8"/>
  <c r="R257" i="8"/>
  <c r="R244" i="8"/>
  <c r="S294" i="8"/>
  <c r="S300" i="8"/>
  <c r="S201" i="8"/>
  <c r="I205" i="8"/>
  <c r="I271" i="8"/>
  <c r="I9" i="8"/>
  <c r="I273" i="8"/>
  <c r="I284" i="8"/>
  <c r="I27" i="8"/>
  <c r="I68" i="8"/>
  <c r="I309" i="8"/>
  <c r="I170" i="8"/>
  <c r="I144" i="8"/>
  <c r="I54" i="8"/>
  <c r="I215" i="8"/>
  <c r="I125" i="8"/>
  <c r="I35" i="8"/>
  <c r="I286" i="8"/>
  <c r="I196" i="8"/>
  <c r="I106" i="8"/>
  <c r="J3" i="8"/>
  <c r="J158" i="8"/>
  <c r="J150" i="8"/>
  <c r="J290" i="8"/>
  <c r="J189" i="8"/>
  <c r="J9" i="8"/>
  <c r="J314" i="8"/>
  <c r="J224" i="8"/>
  <c r="J90" i="8"/>
  <c r="J146" i="8"/>
  <c r="J241" i="8"/>
  <c r="J105" i="8"/>
  <c r="J200" i="8"/>
  <c r="J26" i="8"/>
  <c r="J287" i="8"/>
  <c r="J161" i="8"/>
  <c r="J71" i="8"/>
  <c r="J251" i="8"/>
  <c r="J220" i="8"/>
  <c r="J130" i="8"/>
  <c r="J40" i="8"/>
  <c r="P99" i="8"/>
  <c r="P147" i="8"/>
  <c r="P86" i="8"/>
  <c r="P176" i="8"/>
  <c r="P217" i="8"/>
  <c r="P236" i="8"/>
  <c r="P128" i="8"/>
  <c r="P133" i="8"/>
  <c r="P56" i="8"/>
  <c r="P141" i="8"/>
  <c r="P234" i="8"/>
  <c r="P144" i="8"/>
  <c r="P30" i="8"/>
  <c r="P239" i="8"/>
  <c r="P137" i="8"/>
  <c r="P23" i="8"/>
  <c r="P245" i="8"/>
  <c r="P250" i="8"/>
  <c r="P142" i="8"/>
  <c r="P52" i="8"/>
  <c r="Q188" i="8"/>
  <c r="Q261" i="8"/>
  <c r="Q219" i="8"/>
  <c r="Q135" i="8"/>
  <c r="Q122" i="8"/>
  <c r="Q248" i="8"/>
  <c r="Q133" i="8"/>
  <c r="Q7" i="8"/>
  <c r="Q111" i="8"/>
  <c r="Q303" i="8"/>
  <c r="Q234" i="8"/>
  <c r="Q120" i="8"/>
  <c r="Q30" i="8"/>
  <c r="Q239" i="8"/>
  <c r="Q107" i="8"/>
  <c r="Q17" i="8"/>
  <c r="Q233" i="8"/>
  <c r="Q274" i="8"/>
  <c r="Q184" i="8"/>
  <c r="Q76" i="8"/>
  <c r="R326" i="8"/>
  <c r="R67" i="8"/>
  <c r="R312" i="8"/>
  <c r="R33" i="8"/>
  <c r="R189" i="8"/>
  <c r="R205" i="8"/>
  <c r="R163" i="8"/>
  <c r="R282" i="8"/>
  <c r="R260" i="8"/>
  <c r="R134" i="8"/>
  <c r="R38" i="8"/>
  <c r="R216" i="8"/>
  <c r="R120" i="8"/>
  <c r="R18" i="8"/>
  <c r="R179" i="8"/>
  <c r="R59" i="8"/>
  <c r="R292" i="8"/>
  <c r="R148" i="8"/>
  <c r="R40" i="8"/>
  <c r="S139" i="8"/>
  <c r="S85" i="8"/>
  <c r="S32" i="8"/>
  <c r="S51" i="8"/>
  <c r="S213" i="8"/>
  <c r="S171" i="8"/>
  <c r="S278" i="8"/>
  <c r="S205" i="8"/>
  <c r="S144" i="8"/>
  <c r="S12" i="8"/>
  <c r="S149" i="8"/>
  <c r="S173" i="8"/>
  <c r="S16" i="8"/>
  <c r="Y81" i="8"/>
  <c r="Y272" i="8"/>
  <c r="Y317" i="8"/>
  <c r="Y48" i="8"/>
  <c r="Y262" i="8"/>
  <c r="Z19" i="8"/>
  <c r="Z153" i="8"/>
  <c r="Z56" i="8"/>
  <c r="Z281" i="8"/>
  <c r="Z268" i="8"/>
  <c r="AA183" i="8"/>
  <c r="AA20" i="8"/>
  <c r="AA134" i="8"/>
  <c r="AA107" i="8"/>
  <c r="AB224" i="8"/>
  <c r="AB309" i="8"/>
  <c r="S324" i="8"/>
  <c r="S132" i="8"/>
  <c r="S210" i="8"/>
  <c r="S143" i="8"/>
  <c r="S322" i="8"/>
  <c r="S10" i="8"/>
  <c r="Y31" i="8"/>
  <c r="Y210" i="8"/>
  <c r="Y293" i="8"/>
  <c r="Y36" i="8"/>
  <c r="Y256" i="8"/>
  <c r="Z93" i="8"/>
  <c r="Z285" i="8"/>
  <c r="Z301" i="8"/>
  <c r="Z269" i="8"/>
  <c r="Z256" i="8"/>
  <c r="AA164" i="8"/>
  <c r="AA311" i="8"/>
  <c r="AA312" i="8"/>
  <c r="AA101" i="8"/>
  <c r="AB177" i="8"/>
  <c r="AB134" i="8"/>
  <c r="S181" i="8"/>
  <c r="S114" i="8"/>
  <c r="S281" i="8"/>
  <c r="S137" i="8"/>
  <c r="S244" i="8"/>
  <c r="Y177" i="8"/>
  <c r="Y253" i="8"/>
  <c r="Y73" i="8"/>
  <c r="Y265" i="8"/>
  <c r="Y209" i="8"/>
  <c r="Y166" i="8"/>
  <c r="Z104" i="8"/>
  <c r="Z68" i="8"/>
  <c r="Z276" i="8"/>
  <c r="Z101" i="8"/>
  <c r="Z142" i="8"/>
  <c r="AA291" i="8"/>
  <c r="AA206" i="8"/>
  <c r="AA223" i="8"/>
  <c r="AA310" i="8"/>
  <c r="AB312" i="8"/>
  <c r="AB315" i="8"/>
  <c r="S170" i="8"/>
  <c r="S108" i="8"/>
  <c r="S269" i="8"/>
  <c r="S131" i="8"/>
  <c r="S238" i="8"/>
  <c r="Y127" i="8"/>
  <c r="Y63" i="8"/>
  <c r="Y277" i="8"/>
  <c r="Y255" i="8"/>
  <c r="Y203" i="8"/>
  <c r="Y160" i="8"/>
  <c r="Z224" i="8"/>
  <c r="Z291" i="8"/>
  <c r="Z258" i="8"/>
  <c r="Z83" i="8"/>
  <c r="Z136" i="8"/>
  <c r="AA25" i="8"/>
  <c r="AA170" i="8"/>
  <c r="AA308" i="8"/>
  <c r="AA292" i="8"/>
  <c r="AB169" i="8"/>
  <c r="AB261" i="8"/>
  <c r="S159" i="8"/>
  <c r="S96" i="8"/>
  <c r="S263" i="8"/>
  <c r="S59" i="8"/>
  <c r="S232" i="8"/>
  <c r="Y116" i="8"/>
  <c r="Y320" i="8"/>
  <c r="Y241" i="8"/>
  <c r="Y247" i="8"/>
  <c r="Y197" i="8"/>
  <c r="Y154" i="8"/>
  <c r="Z57" i="8"/>
  <c r="Z321" i="8"/>
  <c r="Z240" i="8"/>
  <c r="Z77" i="8"/>
  <c r="Z130" i="8"/>
  <c r="AA307" i="8"/>
  <c r="AA162" i="8"/>
  <c r="AA284" i="8"/>
  <c r="AA286" i="8"/>
  <c r="AB153" i="8"/>
  <c r="AB228" i="8"/>
  <c r="Q284" i="8"/>
  <c r="Q195" i="8"/>
  <c r="Q110" i="8"/>
  <c r="Q98" i="8"/>
  <c r="Q180" i="8"/>
  <c r="Q72" i="8"/>
  <c r="Q264" i="8"/>
  <c r="Q179" i="8"/>
  <c r="Q59" i="8"/>
  <c r="Q222" i="8"/>
  <c r="Q173" i="8"/>
  <c r="Q226" i="8"/>
  <c r="Q136" i="8"/>
  <c r="Q46" i="8"/>
  <c r="R86" i="8"/>
  <c r="R56" i="8"/>
  <c r="R285" i="8"/>
  <c r="R294" i="8"/>
  <c r="R217" i="8"/>
  <c r="R297" i="8"/>
  <c r="R176" i="8"/>
  <c r="R39" i="8"/>
  <c r="R151" i="8"/>
  <c r="R9" i="8"/>
  <c r="R170" i="8"/>
  <c r="R186" i="8"/>
  <c r="R66" i="8"/>
  <c r="R245" i="8"/>
  <c r="R137" i="8"/>
  <c r="R299" i="8"/>
  <c r="R226" i="8"/>
  <c r="R118" i="8"/>
  <c r="S285" i="8"/>
  <c r="S229" i="8"/>
  <c r="S206" i="8"/>
  <c r="S165" i="8"/>
  <c r="S235" i="8"/>
  <c r="S9" i="8"/>
  <c r="S157" i="8"/>
  <c r="S129" i="8"/>
  <c r="S90" i="8"/>
  <c r="S72" i="8"/>
  <c r="S257" i="8"/>
  <c r="S53" i="8"/>
  <c r="S226" i="8"/>
  <c r="Y105" i="8"/>
  <c r="Y104" i="8"/>
  <c r="Y325" i="8"/>
  <c r="Y237" i="8"/>
  <c r="Y191" i="8"/>
  <c r="Y142" i="8"/>
  <c r="Z195" i="8"/>
  <c r="Z260" i="8"/>
  <c r="Z216" i="8"/>
  <c r="Z71" i="8"/>
  <c r="Z124" i="8"/>
  <c r="AA228" i="8"/>
  <c r="AA152" i="8"/>
  <c r="AA109" i="8"/>
  <c r="AA274" i="8"/>
  <c r="AB116" i="8"/>
  <c r="AB210" i="8"/>
  <c r="Q247" i="8"/>
  <c r="Q223" i="8"/>
  <c r="Q134" i="8"/>
  <c r="Q49" i="8"/>
  <c r="Q87" i="8"/>
  <c r="Q174" i="8"/>
  <c r="Q66" i="8"/>
  <c r="Q246" i="8"/>
  <c r="Q167" i="8"/>
  <c r="Q53" i="8"/>
  <c r="Q198" i="8"/>
  <c r="Q149" i="8"/>
  <c r="Q220" i="8"/>
  <c r="Q130" i="8"/>
  <c r="Q40" i="8"/>
  <c r="R177" i="8"/>
  <c r="R319" i="8"/>
  <c r="R247" i="8"/>
  <c r="R200" i="8"/>
  <c r="R123" i="8"/>
  <c r="R289" i="8"/>
  <c r="R93" i="8"/>
  <c r="R323" i="8"/>
  <c r="R140" i="8"/>
  <c r="R122" i="8"/>
  <c r="R159" i="8"/>
  <c r="R180" i="8"/>
  <c r="R60" i="8"/>
  <c r="R239" i="8"/>
  <c r="R131" i="8"/>
  <c r="R287" i="8"/>
  <c r="R220" i="8"/>
  <c r="R112" i="8"/>
  <c r="S277" i="8"/>
  <c r="S127" i="8"/>
  <c r="S318" i="8"/>
  <c r="S194" i="8"/>
  <c r="S133" i="8"/>
  <c r="S158" i="8"/>
  <c r="S291" i="8"/>
  <c r="S110" i="8"/>
  <c r="S49" i="8"/>
  <c r="S66" i="8"/>
  <c r="S251" i="8"/>
  <c r="S41" i="8"/>
  <c r="S148" i="8"/>
  <c r="Y75" i="8"/>
  <c r="Y205" i="8"/>
  <c r="Y129" i="8"/>
  <c r="Y198" i="8"/>
  <c r="Y95" i="8"/>
  <c r="Y40" i="8"/>
  <c r="Z212" i="8"/>
  <c r="Z44" i="8"/>
  <c r="Z96" i="8"/>
  <c r="Z252" i="8"/>
  <c r="Z16" i="8"/>
  <c r="AA230" i="8"/>
  <c r="AA199" i="8"/>
  <c r="AA54" i="8"/>
  <c r="AA136" i="8"/>
  <c r="AB117" i="8"/>
  <c r="AB84" i="8"/>
  <c r="Q60" i="8"/>
  <c r="Q47" i="8"/>
  <c r="Q317" i="8"/>
  <c r="Q316" i="8"/>
  <c r="Q214" i="8"/>
  <c r="Q124" i="8"/>
  <c r="R55" i="8"/>
  <c r="R255" i="8"/>
  <c r="R105" i="8"/>
  <c r="R85" i="8"/>
  <c r="R62" i="8"/>
  <c r="R271" i="8"/>
  <c r="R43" i="8"/>
  <c r="R182" i="8"/>
  <c r="R79" i="8"/>
  <c r="R50" i="8"/>
  <c r="R109" i="8"/>
  <c r="R162" i="8"/>
  <c r="R54" i="8"/>
  <c r="R227" i="8"/>
  <c r="R119" i="8"/>
  <c r="R275" i="8"/>
  <c r="R214" i="8"/>
  <c r="R82" i="8"/>
  <c r="S259" i="8"/>
  <c r="S45" i="8"/>
  <c r="S272" i="8"/>
  <c r="S122" i="8"/>
  <c r="S315" i="8"/>
  <c r="S312" i="8"/>
  <c r="S236" i="8"/>
  <c r="S99" i="8"/>
  <c r="S222" i="8"/>
  <c r="S54" i="8"/>
  <c r="S245" i="8"/>
  <c r="S23" i="8"/>
  <c r="S136" i="8"/>
  <c r="Y243" i="8"/>
  <c r="Y183" i="8"/>
  <c r="Y7" i="8"/>
  <c r="Y186" i="8"/>
  <c r="Y71" i="8"/>
  <c r="Y28" i="8"/>
  <c r="Z99" i="8"/>
  <c r="Z134" i="8"/>
  <c r="Z84" i="8"/>
  <c r="Z198" i="8"/>
  <c r="AA305" i="8"/>
  <c r="AA165" i="8"/>
  <c r="AA103" i="8"/>
  <c r="AA30" i="8"/>
  <c r="AA124" i="8"/>
  <c r="AB204" i="8"/>
  <c r="AB72" i="8"/>
  <c r="J268" i="8"/>
  <c r="J172" i="8"/>
  <c r="J70" i="8"/>
  <c r="P265" i="8"/>
  <c r="P44" i="8"/>
  <c r="P242" i="8"/>
  <c r="P290" i="8"/>
  <c r="P291" i="8"/>
  <c r="P284" i="8"/>
  <c r="P308" i="8"/>
  <c r="P303" i="8"/>
  <c r="P307" i="8"/>
  <c r="P312" i="8"/>
  <c r="P174" i="8"/>
  <c r="P84" i="8"/>
  <c r="P264" i="8"/>
  <c r="P167" i="8"/>
  <c r="P77" i="8"/>
  <c r="P323" i="8"/>
  <c r="P280" i="8"/>
  <c r="P94" i="8"/>
  <c r="R3" i="8"/>
  <c r="Q249" i="8"/>
  <c r="Q259" i="8"/>
  <c r="Q260" i="8"/>
  <c r="Q73" i="8"/>
  <c r="Q152" i="8"/>
  <c r="Q175" i="8"/>
  <c r="Q212" i="8"/>
  <c r="Q308" i="8"/>
  <c r="Q38" i="8"/>
  <c r="Q37" i="8"/>
  <c r="Q162" i="8"/>
  <c r="Q228" i="8"/>
  <c r="Q155" i="8"/>
  <c r="Q28" i="8"/>
  <c r="G200" i="8"/>
  <c r="G325" i="8"/>
  <c r="G170" i="8"/>
  <c r="G217" i="8"/>
  <c r="G145" i="8"/>
  <c r="G282" i="8"/>
  <c r="G206" i="8"/>
  <c r="G9" i="8"/>
  <c r="G302" i="8"/>
  <c r="G150" i="8"/>
  <c r="G213" i="8"/>
  <c r="G301" i="8"/>
  <c r="G57" i="8"/>
  <c r="G111" i="8"/>
  <c r="G265" i="8"/>
  <c r="G96" i="8"/>
  <c r="G18" i="8"/>
  <c r="G233" i="8"/>
  <c r="G131" i="8"/>
  <c r="G53" i="8"/>
  <c r="G299" i="8"/>
  <c r="G304" i="8"/>
  <c r="G220" i="8"/>
  <c r="G142" i="8"/>
  <c r="G64" i="8"/>
  <c r="H200" i="8"/>
  <c r="H307" i="8"/>
  <c r="H290" i="8"/>
  <c r="H55" i="8"/>
  <c r="H260" i="8"/>
  <c r="H111" i="8"/>
  <c r="H243" i="8"/>
  <c r="H313" i="8"/>
  <c r="H230" i="8"/>
  <c r="H57" i="8"/>
  <c r="H195" i="8"/>
  <c r="H240" i="8"/>
  <c r="H109" i="8"/>
  <c r="H150" i="8"/>
  <c r="H60" i="8"/>
  <c r="H221" i="8"/>
  <c r="H131" i="8"/>
  <c r="H41" i="8"/>
  <c r="H292" i="8"/>
  <c r="H202" i="8"/>
  <c r="H112" i="8"/>
  <c r="H4" i="8"/>
  <c r="I297" i="8"/>
  <c r="I260" i="8"/>
  <c r="I188" i="8"/>
  <c r="I97" i="8"/>
  <c r="I135" i="8"/>
  <c r="I20" i="8"/>
  <c r="I8" i="8"/>
  <c r="I291" i="8"/>
  <c r="I151" i="8"/>
  <c r="I81" i="8"/>
  <c r="I300" i="8"/>
  <c r="I168" i="8"/>
  <c r="I78" i="8"/>
  <c r="I269" i="8"/>
  <c r="I149" i="8"/>
  <c r="I59" i="8"/>
  <c r="I239" i="8"/>
  <c r="I220" i="8"/>
  <c r="I130" i="8"/>
  <c r="I40" i="8"/>
  <c r="J222" i="8"/>
  <c r="J317" i="8"/>
  <c r="J291" i="8"/>
  <c r="J225" i="8"/>
  <c r="J91" i="8"/>
  <c r="J282" i="8"/>
  <c r="J260" i="8"/>
  <c r="J126" i="8"/>
  <c r="J103" i="8"/>
  <c r="J277" i="8"/>
  <c r="J141" i="8"/>
  <c r="J157" i="8"/>
  <c r="J311" i="8"/>
  <c r="J24" i="8"/>
  <c r="J203" i="8"/>
  <c r="J95" i="8"/>
  <c r="J5" i="8"/>
  <c r="J262" i="8"/>
  <c r="J154" i="8"/>
  <c r="J64" i="8"/>
  <c r="P254" i="8"/>
  <c r="P79" i="8"/>
  <c r="P33" i="8"/>
  <c r="P98" i="8"/>
  <c r="P259" i="8"/>
  <c r="P230" i="8"/>
  <c r="P201" i="8"/>
  <c r="P255" i="8"/>
  <c r="P170" i="8"/>
  <c r="P296" i="8"/>
  <c r="P270" i="8"/>
  <c r="P168" i="8"/>
  <c r="P72" i="8"/>
  <c r="P287" i="8"/>
  <c r="P161" i="8"/>
  <c r="P71" i="8"/>
  <c r="P293" i="8"/>
  <c r="P274" i="8"/>
  <c r="P184" i="8"/>
  <c r="P76" i="8"/>
  <c r="S3" i="8"/>
  <c r="Q97" i="8"/>
  <c r="Q105" i="8"/>
  <c r="Q139" i="8"/>
  <c r="Q319" i="8"/>
  <c r="Q80" i="8"/>
  <c r="Q92" i="8"/>
  <c r="Q201" i="8"/>
  <c r="Q81" i="8"/>
  <c r="Q295" i="8"/>
  <c r="Q26" i="8"/>
  <c r="Q144" i="8"/>
  <c r="Q54" i="8"/>
  <c r="Q192" i="8"/>
  <c r="Q131" i="8"/>
  <c r="Q41" i="8"/>
  <c r="Q311" i="8"/>
  <c r="Q298" i="8"/>
  <c r="Q208" i="8"/>
  <c r="Q118" i="8"/>
  <c r="Q10" i="8"/>
  <c r="R273" i="8"/>
  <c r="R25" i="8"/>
  <c r="R128" i="8"/>
  <c r="R266" i="8"/>
  <c r="R325" i="8"/>
  <c r="R243" i="8"/>
  <c r="R206" i="8"/>
  <c r="R121" i="8"/>
  <c r="R7" i="8"/>
  <c r="R315" i="8"/>
  <c r="R98" i="8"/>
  <c r="R144" i="8"/>
  <c r="R48" i="8"/>
  <c r="R221" i="8"/>
  <c r="R83" i="8"/>
  <c r="R263" i="8"/>
  <c r="R208" i="8"/>
  <c r="R64" i="8"/>
  <c r="S230" i="8"/>
  <c r="S86" i="8"/>
  <c r="S246" i="8"/>
  <c r="S103" i="8"/>
  <c r="S289" i="8"/>
  <c r="S187" i="8"/>
  <c r="S145" i="8"/>
  <c r="S80" i="8"/>
  <c r="S180" i="8"/>
  <c r="S36" i="8"/>
  <c r="S233" i="8"/>
  <c r="S17" i="8"/>
  <c r="S112" i="8"/>
  <c r="Y296" i="8"/>
  <c r="Y61" i="8"/>
  <c r="Y290" i="8"/>
  <c r="Y156" i="8"/>
  <c r="Y53" i="8"/>
  <c r="Y10" i="8"/>
  <c r="Z230" i="8"/>
  <c r="Z114" i="8"/>
  <c r="Z66" i="8"/>
  <c r="Z263" i="8"/>
  <c r="AA321" i="8"/>
  <c r="AA158" i="8"/>
  <c r="AA317" i="8"/>
  <c r="AA12" i="8"/>
  <c r="AA106" i="8"/>
  <c r="AB230" i="8"/>
  <c r="AB47" i="8"/>
  <c r="Q31" i="8"/>
  <c r="Q299" i="8"/>
  <c r="Q202" i="8"/>
  <c r="Q112" i="8"/>
  <c r="Q4" i="8"/>
  <c r="R249" i="8"/>
  <c r="R259" i="8"/>
  <c r="R327" i="8"/>
  <c r="R300" i="8"/>
  <c r="R145" i="8"/>
  <c r="R99" i="8"/>
  <c r="R115" i="8"/>
  <c r="R193" i="8"/>
  <c r="R87" i="8"/>
  <c r="R138" i="8"/>
  <c r="R42" i="8"/>
  <c r="R215" i="8"/>
  <c r="R77" i="8"/>
  <c r="R251" i="8"/>
  <c r="R202" i="8"/>
  <c r="R58" i="8"/>
  <c r="S211" i="8"/>
  <c r="S319" i="8"/>
  <c r="S225" i="8"/>
  <c r="S92" i="8"/>
  <c r="S279" i="8"/>
  <c r="S55" i="8"/>
  <c r="S308" i="8"/>
  <c r="S69" i="8"/>
  <c r="S174" i="8"/>
  <c r="S30" i="8"/>
  <c r="S221" i="8"/>
  <c r="S239" i="8"/>
  <c r="S106" i="8"/>
  <c r="Y93" i="8"/>
  <c r="Y50" i="8"/>
  <c r="Y218" i="8"/>
  <c r="Y150" i="8"/>
  <c r="Y47" i="8"/>
  <c r="Z236" i="8"/>
  <c r="Z219" i="8"/>
  <c r="Z296" i="8"/>
  <c r="Z54" i="8"/>
  <c r="Z239" i="8"/>
  <c r="AA175" i="8"/>
  <c r="AA324" i="8"/>
  <c r="AA301" i="8"/>
  <c r="AA275" i="8"/>
  <c r="AA76" i="8"/>
  <c r="AB213" i="8"/>
  <c r="AB41" i="8"/>
  <c r="I133" i="8"/>
  <c r="I255" i="8"/>
  <c r="I31" i="8"/>
  <c r="I72" i="8"/>
  <c r="I143" i="8"/>
  <c r="I214" i="8"/>
  <c r="I34" i="8"/>
  <c r="J309" i="8"/>
  <c r="J217" i="8"/>
  <c r="J228" i="8"/>
  <c r="J324" i="8"/>
  <c r="J267" i="8"/>
  <c r="J111" i="8"/>
  <c r="J18" i="8"/>
  <c r="J197" i="8"/>
  <c r="J293" i="8"/>
  <c r="J148" i="8"/>
  <c r="P243" i="8"/>
  <c r="P324" i="8"/>
  <c r="P97" i="8"/>
  <c r="P205" i="8"/>
  <c r="P285" i="8"/>
  <c r="P162" i="8"/>
  <c r="P275" i="8"/>
  <c r="P59" i="8"/>
  <c r="P268" i="8"/>
  <c r="P70" i="8"/>
  <c r="Q321" i="8"/>
  <c r="Q309" i="8"/>
  <c r="Q69" i="8"/>
  <c r="Q151" i="8"/>
  <c r="Q15" i="8"/>
  <c r="Q48" i="8"/>
  <c r="Q323" i="8"/>
  <c r="Q35" i="8"/>
  <c r="Q292" i="8"/>
  <c r="R235" i="8"/>
  <c r="H3" i="8"/>
  <c r="G144" i="8"/>
  <c r="G138" i="8"/>
  <c r="G236" i="8"/>
  <c r="G180" i="8"/>
  <c r="G218" i="8"/>
  <c r="G246" i="8"/>
  <c r="G308" i="8"/>
  <c r="G313" i="8"/>
  <c r="G240" i="8"/>
  <c r="G91" i="8"/>
  <c r="G133" i="8"/>
  <c r="G255" i="8"/>
  <c r="G73" i="8"/>
  <c r="G320" i="8"/>
  <c r="G237" i="8"/>
  <c r="G84" i="8"/>
  <c r="G6" i="8"/>
  <c r="G209" i="8"/>
  <c r="G119" i="8"/>
  <c r="G41" i="8"/>
  <c r="G263" i="8"/>
  <c r="G286" i="8"/>
  <c r="G208" i="8"/>
  <c r="G130" i="8"/>
  <c r="G52" i="8"/>
  <c r="H67" i="8"/>
  <c r="H105" i="8"/>
  <c r="H218" i="8"/>
  <c r="H279" i="8"/>
  <c r="H216" i="8"/>
  <c r="H39" i="8"/>
  <c r="H135" i="8"/>
  <c r="H103" i="8"/>
  <c r="H171" i="8"/>
  <c r="H289" i="8"/>
  <c r="H51" i="8"/>
  <c r="H318" i="8"/>
  <c r="H87" i="8"/>
  <c r="H138" i="8"/>
  <c r="H42" i="8"/>
  <c r="H209" i="8"/>
  <c r="H119" i="8"/>
  <c r="H23" i="8"/>
  <c r="H280" i="8"/>
  <c r="H190" i="8"/>
  <c r="H94" i="8"/>
  <c r="I243" i="8"/>
  <c r="I146" i="8"/>
  <c r="I235" i="8"/>
  <c r="I43" i="8"/>
  <c r="I117" i="8"/>
  <c r="I249" i="8"/>
  <c r="I39" i="8"/>
  <c r="I51" i="8"/>
  <c r="I211" i="8"/>
  <c r="I129" i="8"/>
  <c r="I122" i="8"/>
  <c r="I254" i="8"/>
  <c r="I156" i="8"/>
  <c r="I66" i="8"/>
  <c r="I245" i="8"/>
  <c r="I137" i="8"/>
  <c r="I47" i="8"/>
  <c r="I310" i="8"/>
  <c r="I208" i="8"/>
  <c r="I118" i="8"/>
  <c r="I22" i="8"/>
  <c r="J273" i="8"/>
  <c r="J212" i="8"/>
  <c r="J175" i="8"/>
  <c r="J207" i="8"/>
  <c r="J31" i="8"/>
  <c r="J156" i="8"/>
  <c r="J242" i="8"/>
  <c r="J108" i="8"/>
  <c r="J272" i="8"/>
  <c r="J259" i="8"/>
  <c r="J123" i="8"/>
  <c r="J63" i="8"/>
  <c r="J302" i="8"/>
  <c r="J12" i="8"/>
  <c r="J185" i="8"/>
  <c r="J83" i="8"/>
  <c r="J281" i="8"/>
  <c r="J244" i="8"/>
  <c r="J142" i="8"/>
  <c r="J52" i="8"/>
  <c r="P182" i="8"/>
  <c r="P302" i="8"/>
  <c r="P67" i="8"/>
  <c r="P139" i="8"/>
  <c r="P278" i="8"/>
  <c r="P297" i="8"/>
  <c r="P253" i="8"/>
  <c r="P194" i="8"/>
  <c r="P211" i="8"/>
  <c r="P224" i="8"/>
  <c r="P246" i="8"/>
  <c r="P156" i="8"/>
  <c r="P54" i="8"/>
  <c r="P263" i="8"/>
  <c r="P149" i="8"/>
  <c r="P47" i="8"/>
  <c r="P269" i="8"/>
  <c r="P262" i="8"/>
  <c r="P166" i="8"/>
  <c r="P64" i="8"/>
  <c r="Q272" i="8"/>
  <c r="Q218" i="8"/>
  <c r="Q128" i="8"/>
  <c r="Q302" i="8"/>
  <c r="Q103" i="8"/>
  <c r="Q19" i="8"/>
  <c r="Q277" i="8"/>
  <c r="Q129" i="8"/>
  <c r="Q266" i="8"/>
  <c r="Q325" i="8"/>
  <c r="Q306" i="8"/>
  <c r="Q132" i="8"/>
  <c r="Q42" i="8"/>
  <c r="Q293" i="8"/>
  <c r="Q119" i="8"/>
  <c r="Q29" i="8"/>
  <c r="Q275" i="8"/>
  <c r="Q286" i="8"/>
  <c r="Q196" i="8"/>
  <c r="Q100" i="8"/>
  <c r="R303" i="8"/>
  <c r="R267" i="8"/>
  <c r="R229" i="8"/>
  <c r="R158" i="8"/>
  <c r="R309" i="8"/>
  <c r="R225" i="8"/>
  <c r="R224" i="8"/>
  <c r="R73" i="8"/>
  <c r="R27" i="8"/>
  <c r="R21" i="8"/>
  <c r="R171" i="8"/>
  <c r="R15" i="8"/>
  <c r="R132" i="8"/>
  <c r="R36" i="8"/>
  <c r="R203" i="8"/>
  <c r="R71" i="8"/>
  <c r="R316" i="8"/>
  <c r="R190" i="8"/>
  <c r="R52" i="8"/>
  <c r="S200" i="8"/>
  <c r="S134" i="8"/>
  <c r="S164" i="8"/>
  <c r="S73" i="8"/>
  <c r="S261" i="8"/>
  <c r="S193" i="8"/>
  <c r="S314" i="8"/>
  <c r="S8" i="8"/>
  <c r="S168" i="8"/>
  <c r="S24" i="8"/>
  <c r="S179" i="8"/>
  <c r="S227" i="8"/>
  <c r="S28" i="8"/>
  <c r="Y103" i="8"/>
  <c r="Y254" i="8"/>
  <c r="Y285" i="8"/>
  <c r="Y60" i="8"/>
  <c r="Y286" i="8"/>
  <c r="Z319" i="8"/>
  <c r="Z327" i="8"/>
  <c r="Z302" i="8"/>
  <c r="Z305" i="8"/>
  <c r="Z280" i="8"/>
  <c r="AA63" i="8"/>
  <c r="AA153" i="8"/>
  <c r="AA7" i="8"/>
  <c r="AA149" i="8"/>
  <c r="AB44" i="8"/>
  <c r="AB187" i="8"/>
  <c r="AK3" i="8"/>
  <c r="AJ197" i="8"/>
  <c r="I134" i="8"/>
  <c r="I140" i="8"/>
  <c r="I162" i="8"/>
  <c r="I263" i="8"/>
  <c r="I53" i="8"/>
  <c r="I322" i="8"/>
  <c r="I124" i="8"/>
  <c r="J56" i="8"/>
  <c r="J247" i="8"/>
  <c r="J81" i="8"/>
  <c r="J252" i="8"/>
  <c r="J116" i="8"/>
  <c r="J133" i="8"/>
  <c r="J326" i="8"/>
  <c r="J89" i="8"/>
  <c r="J256" i="8"/>
  <c r="J58" i="8"/>
  <c r="P87" i="8"/>
  <c r="P261" i="8"/>
  <c r="P289" i="8"/>
  <c r="P129" i="8"/>
  <c r="P272" i="8"/>
  <c r="P252" i="8"/>
  <c r="P66" i="8"/>
  <c r="P155" i="8"/>
  <c r="P281" i="8"/>
  <c r="P178" i="8"/>
  <c r="Q67" i="8"/>
  <c r="Q44" i="8"/>
  <c r="Q236" i="8"/>
  <c r="Q327" i="8"/>
  <c r="Q273" i="8"/>
  <c r="Q138" i="8"/>
  <c r="Q125" i="8"/>
  <c r="R146" i="8"/>
  <c r="I3" i="8"/>
  <c r="G117" i="8"/>
  <c r="G44" i="8"/>
  <c r="G253" i="8"/>
  <c r="G135" i="8"/>
  <c r="G97" i="8"/>
  <c r="G228" i="8"/>
  <c r="G182" i="8"/>
  <c r="G285" i="8"/>
  <c r="G230" i="8"/>
  <c r="G80" i="8"/>
  <c r="G81" i="8"/>
  <c r="G229" i="8"/>
  <c r="G321" i="8"/>
  <c r="G294" i="8"/>
  <c r="G219" i="8"/>
  <c r="G78" i="8"/>
  <c r="G120" i="8"/>
  <c r="G197" i="8"/>
  <c r="G113" i="8"/>
  <c r="G29" i="8"/>
  <c r="G251" i="8"/>
  <c r="G280" i="8"/>
  <c r="G202" i="8"/>
  <c r="G124" i="8"/>
  <c r="G46" i="8"/>
  <c r="H128" i="8"/>
  <c r="H210" i="8"/>
  <c r="H97" i="8"/>
  <c r="H261" i="8"/>
  <c r="H123" i="8"/>
  <c r="H312" i="8"/>
  <c r="H63" i="8"/>
  <c r="H31" i="8"/>
  <c r="H99" i="8"/>
  <c r="H253" i="8"/>
  <c r="H175" i="8"/>
  <c r="H283" i="8"/>
  <c r="H37" i="8"/>
  <c r="H132" i="8"/>
  <c r="H24" i="8"/>
  <c r="H203" i="8"/>
  <c r="H113" i="8"/>
  <c r="H5" i="8"/>
  <c r="H274" i="8"/>
  <c r="H184" i="8"/>
  <c r="H76" i="8"/>
  <c r="I327" i="8"/>
  <c r="I278" i="8"/>
  <c r="I189" i="8"/>
  <c r="I14" i="8"/>
  <c r="I295" i="8"/>
  <c r="I33" i="8"/>
  <c r="I301" i="8"/>
  <c r="I319" i="8"/>
  <c r="I110" i="8"/>
  <c r="I79" i="8"/>
  <c r="I61" i="8"/>
  <c r="I181" i="8"/>
  <c r="I150" i="8"/>
  <c r="I60" i="8"/>
  <c r="I221" i="8"/>
  <c r="I131" i="8"/>
  <c r="I41" i="8"/>
  <c r="I292" i="8"/>
  <c r="I202" i="8"/>
  <c r="I112" i="8"/>
  <c r="I4" i="8"/>
  <c r="J266" i="8"/>
  <c r="J45" i="8"/>
  <c r="J315" i="8"/>
  <c r="J199" i="8"/>
  <c r="J20" i="8"/>
  <c r="J32" i="8"/>
  <c r="J234" i="8"/>
  <c r="J98" i="8"/>
  <c r="J182" i="8"/>
  <c r="J249" i="8"/>
  <c r="J115" i="8"/>
  <c r="J236" i="8"/>
  <c r="J37" i="8"/>
  <c r="J6" i="8"/>
  <c r="J167" i="8"/>
  <c r="J77" i="8"/>
  <c r="J269" i="8"/>
  <c r="J226" i="8"/>
  <c r="J136" i="8"/>
  <c r="J46" i="8"/>
  <c r="P110" i="8"/>
  <c r="P241" i="8"/>
  <c r="P313" i="8"/>
  <c r="P187" i="8"/>
  <c r="P267" i="8"/>
  <c r="P247" i="8"/>
  <c r="P189" i="8"/>
  <c r="P183" i="8"/>
  <c r="P117" i="8"/>
  <c r="P152" i="8"/>
  <c r="P240" i="8"/>
  <c r="P150" i="8"/>
  <c r="P36" i="8"/>
  <c r="P251" i="8"/>
  <c r="P143" i="8"/>
  <c r="P29" i="8"/>
  <c r="P257" i="8"/>
  <c r="P256" i="8"/>
  <c r="P148" i="8"/>
  <c r="P58" i="8"/>
  <c r="Q158" i="8"/>
  <c r="Q313" i="8"/>
  <c r="Q301" i="8"/>
  <c r="Q279" i="8"/>
  <c r="Q194" i="8"/>
  <c r="Q8" i="8"/>
  <c r="Q205" i="8"/>
  <c r="Q57" i="8"/>
  <c r="Q183" i="8"/>
  <c r="Q314" i="8"/>
  <c r="Q252" i="8"/>
  <c r="Q126" i="8"/>
  <c r="Q36" i="8"/>
  <c r="Q251" i="8"/>
  <c r="Q113" i="8"/>
  <c r="Q23" i="8"/>
  <c r="Q245" i="8"/>
  <c r="Q280" i="8"/>
  <c r="Q190" i="8"/>
  <c r="Q82" i="8"/>
  <c r="R218" i="8"/>
  <c r="R284" i="8"/>
  <c r="R45" i="8"/>
  <c r="R302" i="8"/>
  <c r="R241" i="8"/>
  <c r="R20" i="8"/>
  <c r="R213" i="8"/>
  <c r="R308" i="8"/>
  <c r="R270" i="8"/>
  <c r="R195" i="8"/>
  <c r="R110" i="8"/>
  <c r="R222" i="8"/>
  <c r="R126" i="8"/>
  <c r="R24" i="8"/>
  <c r="R185" i="8"/>
  <c r="R65" i="8"/>
  <c r="R298" i="8"/>
  <c r="R154" i="8"/>
  <c r="R46" i="8"/>
  <c r="S189" i="8"/>
  <c r="S93" i="8"/>
  <c r="S43" i="8"/>
  <c r="S62" i="8"/>
  <c r="S224" i="8"/>
  <c r="S182" i="8"/>
  <c r="S288" i="8"/>
  <c r="S290" i="8"/>
  <c r="S150" i="8"/>
  <c r="S18" i="8"/>
  <c r="S155" i="8"/>
  <c r="S215" i="8"/>
  <c r="S22" i="8"/>
  <c r="Y92" i="8"/>
  <c r="Y56" i="8"/>
  <c r="Y259" i="8"/>
  <c r="Y54" i="8"/>
  <c r="Y268" i="8"/>
  <c r="Z43" i="8"/>
  <c r="Z215" i="8"/>
  <c r="Z147" i="8"/>
  <c r="Z293" i="8"/>
  <c r="Z274" i="8"/>
  <c r="AA204" i="8"/>
  <c r="AA92" i="8"/>
  <c r="AA32" i="8"/>
  <c r="AA113" i="8"/>
  <c r="AB320" i="8"/>
  <c r="AB216" i="8"/>
  <c r="AJ191" i="8"/>
  <c r="S250" i="8"/>
  <c r="S154" i="8"/>
  <c r="S34" i="8"/>
  <c r="Y188" i="8"/>
  <c r="Y228" i="8"/>
  <c r="Y153" i="8"/>
  <c r="Y289" i="8"/>
  <c r="Y213" i="8"/>
  <c r="Y8" i="8"/>
  <c r="Y216" i="8"/>
  <c r="Y140" i="8"/>
  <c r="Y302" i="8"/>
  <c r="Y273" i="8"/>
  <c r="Y204" i="8"/>
  <c r="Y66" i="8"/>
  <c r="Y215" i="8"/>
  <c r="Y107" i="8"/>
  <c r="Y298" i="8"/>
  <c r="Y172" i="8"/>
  <c r="Y46" i="8"/>
  <c r="Z176" i="8"/>
  <c r="Z110" i="8"/>
  <c r="Z325" i="8"/>
  <c r="Z39" i="8"/>
  <c r="Z170" i="8"/>
  <c r="Z86" i="8"/>
  <c r="Z159" i="8"/>
  <c r="Z294" i="8"/>
  <c r="Z102" i="8"/>
  <c r="Z317" i="8"/>
  <c r="Z113" i="8"/>
  <c r="Z270" i="8"/>
  <c r="Z286" i="8"/>
  <c r="Z148" i="8"/>
  <c r="Z34" i="8"/>
  <c r="AA139" i="8"/>
  <c r="AA314" i="8"/>
  <c r="AA67" i="8"/>
  <c r="AA181" i="8"/>
  <c r="AA224" i="8"/>
  <c r="AA225" i="8"/>
  <c r="AA57" i="8"/>
  <c r="AA259" i="8"/>
  <c r="AA84" i="8"/>
  <c r="AA161" i="8"/>
  <c r="AA322" i="8"/>
  <c r="AA142" i="8"/>
  <c r="AB314" i="8"/>
  <c r="AB123" i="8"/>
  <c r="AB283" i="8"/>
  <c r="AB327" i="8"/>
  <c r="AB27" i="8"/>
  <c r="AB174" i="8"/>
  <c r="AB71" i="8"/>
  <c r="AB22" i="8"/>
  <c r="AJ203" i="8"/>
  <c r="AB48" i="8"/>
  <c r="AB29" i="8"/>
  <c r="AJ185" i="8"/>
  <c r="AB42" i="8"/>
  <c r="AB286" i="8"/>
  <c r="AJ176" i="8"/>
  <c r="AK213" i="8"/>
  <c r="S119" i="8"/>
  <c r="S11" i="8"/>
  <c r="S316" i="8"/>
  <c r="S214" i="8"/>
  <c r="S100" i="8"/>
  <c r="S4" i="8"/>
  <c r="Y33" i="8"/>
  <c r="Y327" i="8"/>
  <c r="Y20" i="8"/>
  <c r="Y303" i="8"/>
  <c r="Y39" i="8"/>
  <c r="Y97" i="8"/>
  <c r="Y284" i="8"/>
  <c r="Y305" i="8"/>
  <c r="Y230" i="8"/>
  <c r="Y219" i="8"/>
  <c r="Y144" i="8"/>
  <c r="Y18" i="8"/>
  <c r="Y179" i="8"/>
  <c r="Y41" i="8"/>
  <c r="Y250" i="8"/>
  <c r="Y118" i="8"/>
  <c r="Z85" i="8"/>
  <c r="Z27" i="8"/>
  <c r="Z277" i="8"/>
  <c r="Z211" i="8"/>
  <c r="Z81" i="8"/>
  <c r="Z158" i="8"/>
  <c r="Z205" i="8"/>
  <c r="Z320" i="8"/>
  <c r="Z180" i="8"/>
  <c r="Z36" i="8"/>
  <c r="Z257" i="8"/>
  <c r="Z59" i="8"/>
  <c r="Z221" i="8"/>
  <c r="Z232" i="8"/>
  <c r="Z112" i="8"/>
  <c r="AA44" i="8"/>
  <c r="AA86" i="8"/>
  <c r="AA135" i="8"/>
  <c r="AA306" i="8"/>
  <c r="AA287" i="8"/>
  <c r="AA91" i="8"/>
  <c r="AA293" i="8"/>
  <c r="AA217" i="8"/>
  <c r="AA87" i="8"/>
  <c r="AA257" i="8"/>
  <c r="AA95" i="8"/>
  <c r="AA250" i="8"/>
  <c r="AA58" i="8"/>
  <c r="AB25" i="8"/>
  <c r="AB75" i="8"/>
  <c r="AB198" i="8"/>
  <c r="AB20" i="8"/>
  <c r="AB192" i="8"/>
  <c r="AB36" i="8"/>
  <c r="AB280" i="8"/>
  <c r="AJ241" i="8"/>
  <c r="AK75" i="8"/>
  <c r="S95" i="8"/>
  <c r="S5" i="8"/>
  <c r="S310" i="8"/>
  <c r="S196" i="8"/>
  <c r="S94" i="8"/>
  <c r="Y3" i="8"/>
  <c r="Y147" i="8"/>
  <c r="Y260" i="8"/>
  <c r="Y314" i="8"/>
  <c r="Y206" i="8"/>
  <c r="Y309" i="8"/>
  <c r="Y321" i="8"/>
  <c r="Y182" i="8"/>
  <c r="Y271" i="8"/>
  <c r="Y193" i="8"/>
  <c r="Y170" i="8"/>
  <c r="Y138" i="8"/>
  <c r="Y12" i="8"/>
  <c r="Y143" i="8"/>
  <c r="Y35" i="8"/>
  <c r="Y244" i="8"/>
  <c r="Y100" i="8"/>
  <c r="Z267" i="8"/>
  <c r="Z223" i="8"/>
  <c r="Z183" i="8"/>
  <c r="Z200" i="8"/>
  <c r="Z326" i="8"/>
  <c r="Z199" i="8"/>
  <c r="Z133" i="8"/>
  <c r="Z309" i="8"/>
  <c r="Z162" i="8"/>
  <c r="Z30" i="8"/>
  <c r="Z245" i="8"/>
  <c r="Z41" i="8"/>
  <c r="Z203" i="8"/>
  <c r="Z226" i="8"/>
  <c r="Z70" i="8"/>
  <c r="AA282" i="8"/>
  <c r="AA56" i="8"/>
  <c r="AA128" i="8"/>
  <c r="AA265" i="8"/>
  <c r="AA122" i="8"/>
  <c r="AA19" i="8"/>
  <c r="AA267" i="8"/>
  <c r="AA189" i="8"/>
  <c r="AA120" i="8"/>
  <c r="AA251" i="8"/>
  <c r="AA89" i="8"/>
  <c r="AA214" i="8"/>
  <c r="AA52" i="8"/>
  <c r="AB158" i="8"/>
  <c r="AB139" i="8"/>
  <c r="AB147" i="8"/>
  <c r="AB318" i="8"/>
  <c r="AB152" i="8"/>
  <c r="AB221" i="8"/>
  <c r="AB268" i="8"/>
  <c r="AJ97" i="8"/>
  <c r="AK188" i="8"/>
  <c r="S89" i="8"/>
  <c r="S216" i="8"/>
  <c r="S304" i="8"/>
  <c r="S184" i="8"/>
  <c r="S88" i="8"/>
  <c r="Z3" i="8"/>
  <c r="Y165" i="8"/>
  <c r="Y224" i="8"/>
  <c r="Y246" i="8"/>
  <c r="Y134" i="8"/>
  <c r="Y294" i="8"/>
  <c r="Y313" i="8"/>
  <c r="Y110" i="8"/>
  <c r="Y235" i="8"/>
  <c r="Y171" i="8"/>
  <c r="Y98" i="8"/>
  <c r="Y132" i="8"/>
  <c r="Y6" i="8"/>
  <c r="Y137" i="8"/>
  <c r="Y23" i="8"/>
  <c r="Y238" i="8"/>
  <c r="Y94" i="8"/>
  <c r="Z187" i="8"/>
  <c r="Z171" i="8"/>
  <c r="Z92" i="8"/>
  <c r="Z189" i="8"/>
  <c r="Z265" i="8"/>
  <c r="Z188" i="8"/>
  <c r="Z243" i="8"/>
  <c r="Z259" i="8"/>
  <c r="Z156" i="8"/>
  <c r="Z24" i="8"/>
  <c r="Z227" i="8"/>
  <c r="Z29" i="8"/>
  <c r="Z197" i="8"/>
  <c r="Z220" i="8"/>
  <c r="Z64" i="8"/>
  <c r="AA74" i="8"/>
  <c r="AA200" i="8"/>
  <c r="AA264" i="8"/>
  <c r="AA176" i="8"/>
  <c r="AA61" i="8"/>
  <c r="AA93" i="8"/>
  <c r="AA249" i="8"/>
  <c r="AA163" i="8"/>
  <c r="AA114" i="8"/>
  <c r="AA239" i="8"/>
  <c r="AA83" i="8"/>
  <c r="AA208" i="8"/>
  <c r="AA46" i="8"/>
  <c r="AB175" i="8"/>
  <c r="AB212" i="8"/>
  <c r="AB115" i="8"/>
  <c r="AB91" i="8"/>
  <c r="AB121" i="8"/>
  <c r="AB215" i="8"/>
  <c r="AB262" i="8"/>
  <c r="AJ259" i="8"/>
  <c r="AK187" i="8"/>
  <c r="H8" i="8"/>
  <c r="H305" i="8"/>
  <c r="H267" i="8"/>
  <c r="H182" i="8"/>
  <c r="H140" i="8"/>
  <c r="H176" i="8"/>
  <c r="H320" i="8"/>
  <c r="H193" i="8"/>
  <c r="H211" i="8"/>
  <c r="H192" i="8"/>
  <c r="H120" i="8"/>
  <c r="H48" i="8"/>
  <c r="H251" i="8"/>
  <c r="H173" i="8"/>
  <c r="H101" i="8"/>
  <c r="H29" i="8"/>
  <c r="H316" i="8"/>
  <c r="H244" i="8"/>
  <c r="H172" i="8"/>
  <c r="H100" i="8"/>
  <c r="H28" i="8"/>
  <c r="I306" i="8"/>
  <c r="I139" i="8"/>
  <c r="I320" i="8"/>
  <c r="I93" i="8"/>
  <c r="I199" i="8"/>
  <c r="I252" i="8"/>
  <c r="I270" i="8"/>
  <c r="I222" i="8"/>
  <c r="I163" i="8"/>
  <c r="I258" i="8"/>
  <c r="I237" i="8"/>
  <c r="I218" i="8"/>
  <c r="I73" i="8"/>
  <c r="I283" i="8"/>
  <c r="I272" i="8"/>
  <c r="I15" i="8"/>
  <c r="I120" i="8"/>
  <c r="I48" i="8"/>
  <c r="I251" i="8"/>
  <c r="I173" i="8"/>
  <c r="I101" i="8"/>
  <c r="I29" i="8"/>
  <c r="I316" i="8"/>
  <c r="I244" i="8"/>
  <c r="I172" i="8"/>
  <c r="I100" i="8"/>
  <c r="I28" i="8"/>
  <c r="J186" i="8"/>
  <c r="J301" i="8"/>
  <c r="J299" i="8"/>
  <c r="J211" i="8"/>
  <c r="J289" i="8"/>
  <c r="J153" i="8"/>
  <c r="J39" i="8"/>
  <c r="J192" i="8"/>
  <c r="J296" i="8"/>
  <c r="J188" i="8"/>
  <c r="J80" i="8"/>
  <c r="J74" i="8"/>
  <c r="J27" i="8"/>
  <c r="J205" i="8"/>
  <c r="J97" i="8"/>
  <c r="J44" i="8"/>
  <c r="J305" i="8"/>
  <c r="J66" i="8"/>
  <c r="J275" i="8"/>
  <c r="J191" i="8"/>
  <c r="J119" i="8"/>
  <c r="J47" i="8"/>
  <c r="J322" i="8"/>
  <c r="J250" i="8"/>
  <c r="J178" i="8"/>
  <c r="J106" i="8"/>
  <c r="J34" i="8"/>
  <c r="P193" i="8"/>
  <c r="P26" i="8"/>
  <c r="P188" i="8"/>
  <c r="P25" i="8"/>
  <c r="P200" i="8"/>
  <c r="P21" i="8"/>
  <c r="P134" i="8"/>
  <c r="P225" i="8"/>
  <c r="P57" i="8"/>
  <c r="P327" i="8"/>
  <c r="P50" i="8"/>
  <c r="P169" i="8"/>
  <c r="P235" i="8"/>
  <c r="P78" i="8"/>
  <c r="P210" i="8"/>
  <c r="P138" i="8"/>
  <c r="P60" i="8"/>
  <c r="P282" i="8"/>
  <c r="P203" i="8"/>
  <c r="P131" i="8"/>
  <c r="P53" i="8"/>
  <c r="P258" i="8"/>
  <c r="P316" i="8"/>
  <c r="P244" i="8"/>
  <c r="P172" i="8"/>
  <c r="P100" i="8"/>
  <c r="P28" i="8"/>
  <c r="Q271" i="8"/>
  <c r="Q127" i="8"/>
  <c r="Q75" i="8"/>
  <c r="Q117" i="8"/>
  <c r="Q74" i="8"/>
  <c r="Q153" i="8"/>
  <c r="Q163" i="8"/>
  <c r="Q278" i="8"/>
  <c r="Q50" i="8"/>
  <c r="Q140" i="8"/>
  <c r="Q62" i="8"/>
  <c r="Q265" i="8"/>
  <c r="Q253" i="8"/>
  <c r="Q324" i="8"/>
  <c r="Q168" i="8"/>
  <c r="Q96" i="8"/>
  <c r="Q24" i="8"/>
  <c r="Q305" i="8"/>
  <c r="Q161" i="8"/>
  <c r="Q83" i="8"/>
  <c r="Q11" i="8"/>
  <c r="Q287" i="8"/>
  <c r="Q322" i="8"/>
  <c r="Q250" i="8"/>
  <c r="Q178" i="8"/>
  <c r="Q106" i="8"/>
  <c r="Q34" i="8"/>
  <c r="R277" i="8"/>
  <c r="R240" i="8"/>
  <c r="R313" i="8"/>
  <c r="R219" i="8"/>
  <c r="R276" i="8"/>
  <c r="R135" i="8"/>
  <c r="R272" i="8"/>
  <c r="R279" i="8"/>
  <c r="R80" i="8"/>
  <c r="R254" i="8"/>
  <c r="R49" i="8"/>
  <c r="R129" i="8"/>
  <c r="R264" i="8"/>
  <c r="R314" i="8"/>
  <c r="R37" i="8"/>
  <c r="R168" i="8"/>
  <c r="R90" i="8"/>
  <c r="R12" i="8"/>
  <c r="R209" i="8"/>
  <c r="R125" i="8"/>
  <c r="R29" i="8"/>
  <c r="R286" i="8"/>
  <c r="R196" i="8"/>
  <c r="R100" i="8"/>
  <c r="S321" i="8"/>
  <c r="S128" i="8"/>
  <c r="S176" i="8"/>
  <c r="S282" i="8"/>
  <c r="S302" i="8"/>
  <c r="S67" i="8"/>
  <c r="S271" i="8"/>
  <c r="S37" i="8"/>
  <c r="S39" i="8"/>
  <c r="S270" i="8"/>
  <c r="S19" i="8"/>
  <c r="S27" i="8"/>
  <c r="S102" i="8"/>
  <c r="S6" i="8"/>
  <c r="S203" i="8"/>
  <c r="S83" i="8"/>
  <c r="S198" i="8"/>
  <c r="S292" i="8"/>
  <c r="S178" i="8"/>
  <c r="S82" i="8"/>
  <c r="AB3" i="8"/>
  <c r="Y21" i="8"/>
  <c r="Y123" i="8"/>
  <c r="Y133" i="8"/>
  <c r="Y326" i="8"/>
  <c r="Y163" i="8"/>
  <c r="Y225" i="8"/>
  <c r="Y38" i="8"/>
  <c r="Y135" i="8"/>
  <c r="Y99" i="8"/>
  <c r="Y87" i="8"/>
  <c r="Y126" i="8"/>
  <c r="Y275" i="8"/>
  <c r="Y131" i="8"/>
  <c r="Y5" i="8"/>
  <c r="Y226" i="8"/>
  <c r="Y88" i="8"/>
  <c r="Z63" i="8"/>
  <c r="Z69" i="8"/>
  <c r="Z141" i="8"/>
  <c r="Z139" i="8"/>
  <c r="Z152" i="8"/>
  <c r="Z177" i="8"/>
  <c r="Z50" i="8"/>
  <c r="Z237" i="8"/>
  <c r="Z150" i="8"/>
  <c r="Z18" i="8"/>
  <c r="Z167" i="8"/>
  <c r="Z11" i="8"/>
  <c r="Z185" i="8"/>
  <c r="Z208" i="8"/>
  <c r="Z58" i="8"/>
  <c r="AA33" i="8"/>
  <c r="AA75" i="8"/>
  <c r="AA156" i="8"/>
  <c r="AA157" i="8"/>
  <c r="AA278" i="8"/>
  <c r="AA62" i="8"/>
  <c r="AA231" i="8"/>
  <c r="AA319" i="8"/>
  <c r="AA108" i="8"/>
  <c r="AA221" i="8"/>
  <c r="AA71" i="8"/>
  <c r="AA202" i="8"/>
  <c r="AA40" i="8"/>
  <c r="AB56" i="8"/>
  <c r="AB302" i="8"/>
  <c r="AB74" i="8"/>
  <c r="AB80" i="8"/>
  <c r="AB181" i="8"/>
  <c r="AB209" i="8"/>
  <c r="AB160" i="8"/>
  <c r="AJ247" i="8"/>
  <c r="S77" i="8"/>
  <c r="S162" i="8"/>
  <c r="S274" i="8"/>
  <c r="S172" i="8"/>
  <c r="S76" i="8"/>
  <c r="Y86" i="8"/>
  <c r="Y307" i="8"/>
  <c r="Y62" i="8"/>
  <c r="Y264" i="8"/>
  <c r="Y267" i="8"/>
  <c r="Y152" i="8"/>
  <c r="Y187" i="8"/>
  <c r="Y308" i="8"/>
  <c r="Y74" i="8"/>
  <c r="Y324" i="8"/>
  <c r="Y37" i="8"/>
  <c r="Y120" i="8"/>
  <c r="Y251" i="8"/>
  <c r="Y125" i="8"/>
  <c r="Y287" i="8"/>
  <c r="Y190" i="8"/>
  <c r="Y82" i="8"/>
  <c r="Z165" i="8"/>
  <c r="Z73" i="8"/>
  <c r="Z38" i="8"/>
  <c r="Z128" i="8"/>
  <c r="Z273" i="8"/>
  <c r="Z127" i="8"/>
  <c r="Z284" i="8"/>
  <c r="Z55" i="8"/>
  <c r="Z144" i="8"/>
  <c r="Z12" i="8"/>
  <c r="Z137" i="8"/>
  <c r="Z5" i="8"/>
  <c r="Z173" i="8"/>
  <c r="Z190" i="8"/>
  <c r="Z52" i="8"/>
  <c r="AA211" i="8"/>
  <c r="AA297" i="8"/>
  <c r="AA299" i="8"/>
  <c r="AA45" i="8"/>
  <c r="AA252" i="8"/>
  <c r="AA327" i="8"/>
  <c r="AA213" i="8"/>
  <c r="AA121" i="8"/>
  <c r="AA102" i="8"/>
  <c r="AA215" i="8"/>
  <c r="AA17" i="8"/>
  <c r="AA196" i="8"/>
  <c r="AA34" i="8"/>
  <c r="AB86" i="8"/>
  <c r="AB194" i="8"/>
  <c r="AB303" i="8"/>
  <c r="AB69" i="8"/>
  <c r="AB98" i="8"/>
  <c r="AB203" i="8"/>
  <c r="AB142" i="8"/>
  <c r="AJ211" i="8"/>
  <c r="H297" i="8"/>
  <c r="H252" i="8"/>
  <c r="H213" i="8"/>
  <c r="H121" i="8"/>
  <c r="H79" i="8"/>
  <c r="H32" i="8"/>
  <c r="H259" i="8"/>
  <c r="H301" i="8"/>
  <c r="H170" i="8"/>
  <c r="H180" i="8"/>
  <c r="H108" i="8"/>
  <c r="H36" i="8"/>
  <c r="H233" i="8"/>
  <c r="H161" i="8"/>
  <c r="H89" i="8"/>
  <c r="H17" i="8"/>
  <c r="H304" i="8"/>
  <c r="H232" i="8"/>
  <c r="H160" i="8"/>
  <c r="H88" i="8"/>
  <c r="H16" i="8"/>
  <c r="I127" i="8"/>
  <c r="I323" i="8"/>
  <c r="I169" i="8"/>
  <c r="I277" i="8"/>
  <c r="I261" i="8"/>
  <c r="I115" i="8"/>
  <c r="I85" i="8"/>
  <c r="I153" i="8"/>
  <c r="I141" i="8"/>
  <c r="I212" i="8"/>
  <c r="I317" i="8"/>
  <c r="I200" i="8"/>
  <c r="I294" i="8"/>
  <c r="I247" i="8"/>
  <c r="I324" i="8"/>
  <c r="I180" i="8"/>
  <c r="I108" i="8"/>
  <c r="I36" i="8"/>
  <c r="I233" i="8"/>
  <c r="I161" i="8"/>
  <c r="I89" i="8"/>
  <c r="I17" i="8"/>
  <c r="I304" i="8"/>
  <c r="I232" i="8"/>
  <c r="I160" i="8"/>
  <c r="I88" i="8"/>
  <c r="I16" i="8"/>
  <c r="J122" i="8"/>
  <c r="J284" i="8"/>
  <c r="J194" i="8"/>
  <c r="J129" i="8"/>
  <c r="J243" i="8"/>
  <c r="J135" i="8"/>
  <c r="J283" i="8"/>
  <c r="J120" i="8"/>
  <c r="J278" i="8"/>
  <c r="J170" i="8"/>
  <c r="J19" i="8"/>
  <c r="J246" i="8"/>
  <c r="J295" i="8"/>
  <c r="J187" i="8"/>
  <c r="J79" i="8"/>
  <c r="J307" i="8"/>
  <c r="J303" i="8"/>
  <c r="J54" i="8"/>
  <c r="J257" i="8"/>
  <c r="J179" i="8"/>
  <c r="J107" i="8"/>
  <c r="J35" i="8"/>
  <c r="J310" i="8"/>
  <c r="J238" i="8"/>
  <c r="J166" i="8"/>
  <c r="J94" i="8"/>
  <c r="J22" i="8"/>
  <c r="P171" i="8"/>
  <c r="P325" i="8"/>
  <c r="P127" i="8"/>
  <c r="P135" i="8"/>
  <c r="P45" i="8"/>
  <c r="P229" i="8"/>
  <c r="P73" i="8"/>
  <c r="P164" i="8"/>
  <c r="P181" i="8"/>
  <c r="P277" i="8"/>
  <c r="P8" i="8"/>
  <c r="P271" i="8"/>
  <c r="P213" i="8"/>
  <c r="P294" i="8"/>
  <c r="P198" i="8"/>
  <c r="P126" i="8"/>
  <c r="P48" i="8"/>
  <c r="P311" i="8"/>
  <c r="P191" i="8"/>
  <c r="P119" i="8"/>
  <c r="P41" i="8"/>
  <c r="P317" i="8"/>
  <c r="P304" i="8"/>
  <c r="P232" i="8"/>
  <c r="P160" i="8"/>
  <c r="P88" i="8"/>
  <c r="P16" i="8"/>
  <c r="Q291" i="8"/>
  <c r="Q241" i="8"/>
  <c r="Q229" i="8"/>
  <c r="Q290" i="8"/>
  <c r="Q237" i="8"/>
  <c r="Q20" i="8"/>
  <c r="Q141" i="8"/>
  <c r="Q123" i="8"/>
  <c r="Q254" i="8"/>
  <c r="Q79" i="8"/>
  <c r="Q225" i="8"/>
  <c r="Q182" i="8"/>
  <c r="Q231" i="8"/>
  <c r="Q288" i="8"/>
  <c r="Q156" i="8"/>
  <c r="Q84" i="8"/>
  <c r="Q12" i="8"/>
  <c r="Q281" i="8"/>
  <c r="Q143" i="8"/>
  <c r="Q71" i="8"/>
  <c r="Q312" i="8"/>
  <c r="Q269" i="8"/>
  <c r="Q310" i="8"/>
  <c r="Q238" i="8"/>
  <c r="Q166" i="8"/>
  <c r="Q94" i="8"/>
  <c r="Q22" i="8"/>
  <c r="R295" i="8"/>
  <c r="R283" i="8"/>
  <c r="R248" i="8"/>
  <c r="R44" i="8"/>
  <c r="R147" i="8"/>
  <c r="R194" i="8"/>
  <c r="R153" i="8"/>
  <c r="R261" i="8"/>
  <c r="R19" i="8"/>
  <c r="R164" i="8"/>
  <c r="R306" i="8"/>
  <c r="R68" i="8"/>
  <c r="R175" i="8"/>
  <c r="R278" i="8"/>
  <c r="R234" i="8"/>
  <c r="R156" i="8"/>
  <c r="R78" i="8"/>
  <c r="R305" i="8"/>
  <c r="R197" i="8"/>
  <c r="R113" i="8"/>
  <c r="R5" i="8"/>
  <c r="R274" i="8"/>
  <c r="R184" i="8"/>
  <c r="R76" i="8"/>
  <c r="S303" i="8"/>
  <c r="S109" i="8"/>
  <c r="S123" i="8"/>
  <c r="S264" i="8"/>
  <c r="S188" i="8"/>
  <c r="S228" i="8"/>
  <c r="S253" i="8"/>
  <c r="S266" i="8"/>
  <c r="S56" i="8"/>
  <c r="S252" i="8"/>
  <c r="S248" i="8"/>
  <c r="S204" i="8"/>
  <c r="S84" i="8"/>
  <c r="S186" i="8"/>
  <c r="S167" i="8"/>
  <c r="S71" i="8"/>
  <c r="S323" i="8"/>
  <c r="S268" i="8"/>
  <c r="S166" i="8"/>
  <c r="S70" i="8"/>
  <c r="Y297" i="8"/>
  <c r="Y189" i="8"/>
  <c r="Y319" i="8"/>
  <c r="Y169" i="8"/>
  <c r="Y231" i="8"/>
  <c r="Y141" i="8"/>
  <c r="Y278" i="8"/>
  <c r="Y201" i="8"/>
  <c r="Y43" i="8"/>
  <c r="Y315" i="8"/>
  <c r="Y26" i="8"/>
  <c r="Y108" i="8"/>
  <c r="Y239" i="8"/>
  <c r="Y119" i="8"/>
  <c r="Y269" i="8"/>
  <c r="Y184" i="8"/>
  <c r="Y70" i="8"/>
  <c r="Z308" i="8"/>
  <c r="Z307" i="8"/>
  <c r="Z295" i="8"/>
  <c r="Z109" i="8"/>
  <c r="Z242" i="8"/>
  <c r="Z116" i="8"/>
  <c r="Z303" i="8"/>
  <c r="Z7" i="8"/>
  <c r="Z132" i="8"/>
  <c r="Z6" i="8"/>
  <c r="Z131" i="8"/>
  <c r="Z318" i="8"/>
  <c r="Z149" i="8"/>
  <c r="Z178" i="8"/>
  <c r="Z46" i="8"/>
  <c r="AA117" i="8"/>
  <c r="AA236" i="8"/>
  <c r="AA127" i="8"/>
  <c r="AA9" i="8"/>
  <c r="AA242" i="8"/>
  <c r="AA288" i="8"/>
  <c r="AA169" i="8"/>
  <c r="AA49" i="8"/>
  <c r="AA96" i="8"/>
  <c r="AA203" i="8"/>
  <c r="AA11" i="8"/>
  <c r="AA184" i="8"/>
  <c r="AA22" i="8"/>
  <c r="AB223" i="8"/>
  <c r="AB176" i="8"/>
  <c r="AB145" i="8"/>
  <c r="AB325" i="8"/>
  <c r="AB26" i="8"/>
  <c r="AB167" i="8"/>
  <c r="AB136" i="8"/>
  <c r="AJ163" i="8"/>
  <c r="G132" i="8"/>
  <c r="G187" i="8"/>
  <c r="G327" i="8"/>
  <c r="G79" i="8"/>
  <c r="G151" i="8"/>
  <c r="G319" i="8"/>
  <c r="G98" i="8"/>
  <c r="G54" i="8"/>
  <c r="G317" i="8"/>
  <c r="G185" i="8"/>
  <c r="G107" i="8"/>
  <c r="G35" i="8"/>
  <c r="G275" i="8"/>
  <c r="G298" i="8"/>
  <c r="G226" i="8"/>
  <c r="G154" i="8"/>
  <c r="G82" i="8"/>
  <c r="G10" i="8"/>
  <c r="H228" i="8"/>
  <c r="H139" i="8"/>
  <c r="H127" i="8"/>
  <c r="H217" i="8"/>
  <c r="H62" i="8"/>
  <c r="H327" i="8"/>
  <c r="H271" i="8"/>
  <c r="H224" i="8"/>
  <c r="H183" i="8"/>
  <c r="H110" i="8"/>
  <c r="H68" i="8"/>
  <c r="H321" i="8"/>
  <c r="H231" i="8"/>
  <c r="H291" i="8"/>
  <c r="H159" i="8"/>
  <c r="H174" i="8"/>
  <c r="H102" i="8"/>
  <c r="H30" i="8"/>
  <c r="H227" i="8"/>
  <c r="H155" i="8"/>
  <c r="H83" i="8"/>
  <c r="H11" i="8"/>
  <c r="H298" i="8"/>
  <c r="H226" i="8"/>
  <c r="H154" i="8"/>
  <c r="H82" i="8"/>
  <c r="H10" i="8"/>
  <c r="I176" i="8"/>
  <c r="I55" i="8"/>
  <c r="I259" i="8"/>
  <c r="I207" i="8"/>
  <c r="I104" i="8"/>
  <c r="I86" i="8"/>
  <c r="I56" i="8"/>
  <c r="I103" i="8"/>
  <c r="I91" i="8"/>
  <c r="I175" i="8"/>
  <c r="I182" i="8"/>
  <c r="I192" i="8"/>
  <c r="I266" i="8"/>
  <c r="I219" i="8"/>
  <c r="I315" i="8"/>
  <c r="I174" i="8"/>
  <c r="I102" i="8"/>
  <c r="I30" i="8"/>
  <c r="I227" i="8"/>
  <c r="I155" i="8"/>
  <c r="I83" i="8"/>
  <c r="I11" i="8"/>
  <c r="I298" i="8"/>
  <c r="I226" i="8"/>
  <c r="I154" i="8"/>
  <c r="I82" i="8"/>
  <c r="I10" i="8"/>
  <c r="J276" i="8"/>
  <c r="J230" i="8"/>
  <c r="J140" i="8"/>
  <c r="J93" i="8"/>
  <c r="J235" i="8"/>
  <c r="J127" i="8"/>
  <c r="J237" i="8"/>
  <c r="J84" i="8"/>
  <c r="J270" i="8"/>
  <c r="J162" i="8"/>
  <c r="J8" i="8"/>
  <c r="J210" i="8"/>
  <c r="J285" i="8"/>
  <c r="J177" i="8"/>
  <c r="J68" i="8"/>
  <c r="J264" i="8"/>
  <c r="J49" i="8"/>
  <c r="J48" i="8"/>
  <c r="J245" i="8"/>
  <c r="J173" i="8"/>
  <c r="J101" i="8"/>
  <c r="J29" i="8"/>
  <c r="J304" i="8"/>
  <c r="J232" i="8"/>
  <c r="J160" i="8"/>
  <c r="J88" i="8"/>
  <c r="J16" i="8"/>
  <c r="P121" i="8"/>
  <c r="P151" i="8"/>
  <c r="P116" i="8"/>
  <c r="P85" i="8"/>
  <c r="P158" i="8"/>
  <c r="P146" i="8"/>
  <c r="P62" i="8"/>
  <c r="P153" i="8"/>
  <c r="P283" i="8"/>
  <c r="P266" i="8"/>
  <c r="P273" i="8"/>
  <c r="P218" i="8"/>
  <c r="P163" i="8"/>
  <c r="P276" i="8"/>
  <c r="P192" i="8"/>
  <c r="P120" i="8"/>
  <c r="P42" i="8"/>
  <c r="P299" i="8"/>
  <c r="P185" i="8"/>
  <c r="P113" i="8"/>
  <c r="P35" i="8"/>
  <c r="P305" i="8"/>
  <c r="P298" i="8"/>
  <c r="P226" i="8"/>
  <c r="P154" i="8"/>
  <c r="P82" i="8"/>
  <c r="P10" i="8"/>
  <c r="Q211" i="8"/>
  <c r="Q56" i="8"/>
  <c r="Q199" i="8"/>
  <c r="Q55" i="8"/>
  <c r="Q176" i="8"/>
  <c r="Q255" i="8"/>
  <c r="Q91" i="8"/>
  <c r="Q51" i="8"/>
  <c r="Q193" i="8"/>
  <c r="Q68" i="8"/>
  <c r="Q164" i="8"/>
  <c r="Q121" i="8"/>
  <c r="Q181" i="8"/>
  <c r="Q270" i="8"/>
  <c r="Q150" i="8"/>
  <c r="Q78" i="8"/>
  <c r="Q6" i="8"/>
  <c r="Q263" i="8"/>
  <c r="Q137" i="8"/>
  <c r="Q65" i="8"/>
  <c r="Q294" i="8"/>
  <c r="Q257" i="8"/>
  <c r="Q304" i="8"/>
  <c r="Q232" i="8"/>
  <c r="Q160" i="8"/>
  <c r="Q88" i="8"/>
  <c r="Q16" i="8"/>
  <c r="R230" i="8"/>
  <c r="R127" i="8"/>
  <c r="R139" i="8"/>
  <c r="R265" i="8"/>
  <c r="R116" i="8"/>
  <c r="R165" i="8"/>
  <c r="R103" i="8"/>
  <c r="R253" i="8"/>
  <c r="R8" i="8"/>
  <c r="R81" i="8"/>
  <c r="R288" i="8"/>
  <c r="R57" i="8"/>
  <c r="R92" i="8"/>
  <c r="R252" i="8"/>
  <c r="R228" i="8"/>
  <c r="R150" i="8"/>
  <c r="R72" i="8"/>
  <c r="R293" i="8"/>
  <c r="R191" i="8"/>
  <c r="R101" i="8"/>
  <c r="R311" i="8"/>
  <c r="R268" i="8"/>
  <c r="R172" i="8"/>
  <c r="R70" i="8"/>
  <c r="S295" i="8"/>
  <c r="S79" i="8"/>
  <c r="S104" i="8"/>
  <c r="S254" i="8"/>
  <c r="S218" i="8"/>
  <c r="S44" i="8"/>
  <c r="S243" i="8"/>
  <c r="S116" i="8"/>
  <c r="S237" i="8"/>
  <c r="S242" i="8"/>
  <c r="S105" i="8"/>
  <c r="S192" i="8"/>
  <c r="S78" i="8"/>
  <c r="S311" i="8"/>
  <c r="S161" i="8"/>
  <c r="S65" i="8"/>
  <c r="S305" i="8"/>
  <c r="S256" i="8"/>
  <c r="S160" i="8"/>
  <c r="S58" i="8"/>
  <c r="Y199" i="8"/>
  <c r="Y67" i="8"/>
  <c r="Y295" i="8"/>
  <c r="Y25" i="8"/>
  <c r="Y223" i="8"/>
  <c r="Y80" i="8"/>
  <c r="Y252" i="8"/>
  <c r="Y151" i="8"/>
  <c r="Y242" i="8"/>
  <c r="Y300" i="8"/>
  <c r="Y15" i="8"/>
  <c r="Y84" i="8"/>
  <c r="Y221" i="8"/>
  <c r="Y113" i="8"/>
  <c r="Y316" i="8"/>
  <c r="Y178" i="8"/>
  <c r="Y52" i="8"/>
  <c r="Z31" i="8"/>
  <c r="Z253" i="8"/>
  <c r="Z193" i="8"/>
  <c r="Z33" i="8"/>
  <c r="Z272" i="8"/>
  <c r="Z97" i="8"/>
  <c r="Z201" i="8"/>
  <c r="Z312" i="8"/>
  <c r="Z108" i="8"/>
  <c r="Z300" i="8"/>
  <c r="Z125" i="8"/>
  <c r="Z288" i="8"/>
  <c r="Z304" i="8"/>
  <c r="Z154" i="8"/>
  <c r="Z40" i="8"/>
  <c r="AA186" i="8"/>
  <c r="AA97" i="8"/>
  <c r="AA255" i="8"/>
  <c r="AA145" i="8"/>
  <c r="AA234" i="8"/>
  <c r="AA261" i="8"/>
  <c r="AA129" i="8"/>
  <c r="AA277" i="8"/>
  <c r="AA90" i="8"/>
  <c r="AA179" i="8"/>
  <c r="AA5" i="8"/>
  <c r="AA148" i="8"/>
  <c r="AB195" i="8"/>
  <c r="AB252" i="8"/>
  <c r="AB104" i="8"/>
  <c r="AB296" i="8"/>
  <c r="AB110" i="8"/>
  <c r="AB15" i="8"/>
  <c r="AB83" i="8"/>
  <c r="AB118" i="8"/>
  <c r="AJ152" i="8"/>
  <c r="AB292" i="8"/>
  <c r="AB172" i="8"/>
  <c r="AB34" i="8"/>
  <c r="AH9" i="8"/>
  <c r="AJ285" i="8"/>
  <c r="AJ138" i="8"/>
  <c r="AJ16" i="8"/>
  <c r="AK118" i="8"/>
  <c r="AB276" i="8"/>
  <c r="AB19" i="8"/>
  <c r="AB151" i="8"/>
  <c r="AB279" i="8"/>
  <c r="AB168" i="8"/>
  <c r="AB30" i="8"/>
  <c r="AB149" i="8"/>
  <c r="AB11" i="8"/>
  <c r="AB256" i="8"/>
  <c r="AB100" i="8"/>
  <c r="AH7" i="8"/>
  <c r="AJ306" i="8"/>
  <c r="AJ200" i="8"/>
  <c r="AJ281" i="8"/>
  <c r="AK7" i="8"/>
  <c r="AB259" i="8"/>
  <c r="AB8" i="8"/>
  <c r="AB129" i="8"/>
  <c r="AB253" i="8"/>
  <c r="AB162" i="8"/>
  <c r="AB24" i="8"/>
  <c r="AB143" i="8"/>
  <c r="AB5" i="8"/>
  <c r="AB250" i="8"/>
  <c r="AB94" i="8"/>
  <c r="AH10" i="8"/>
  <c r="AI6" i="8"/>
  <c r="AJ128" i="8"/>
  <c r="AJ151" i="8"/>
  <c r="AJ269" i="8"/>
  <c r="AK96" i="8"/>
  <c r="AB183" i="8"/>
  <c r="AB103" i="8"/>
  <c r="AB68" i="8"/>
  <c r="AB243" i="8"/>
  <c r="AB150" i="8"/>
  <c r="AB12" i="8"/>
  <c r="AB137" i="8"/>
  <c r="AB317" i="8"/>
  <c r="AB220" i="8"/>
  <c r="AB82" i="8"/>
  <c r="AI9" i="8"/>
  <c r="AJ261" i="8"/>
  <c r="AJ140" i="8"/>
  <c r="AJ268" i="8"/>
  <c r="AK78" i="8"/>
  <c r="R107" i="8"/>
  <c r="R35" i="8"/>
  <c r="R322" i="8"/>
  <c r="R250" i="8"/>
  <c r="R178" i="8"/>
  <c r="R106" i="8"/>
  <c r="R34" i="8"/>
  <c r="S267" i="8"/>
  <c r="S98" i="8"/>
  <c r="S265" i="8"/>
  <c r="S135" i="8"/>
  <c r="S175" i="8"/>
  <c r="S97" i="8"/>
  <c r="S320" i="8"/>
  <c r="S325" i="8"/>
  <c r="S163" i="8"/>
  <c r="S199" i="8"/>
  <c r="S50" i="8"/>
  <c r="S183" i="8"/>
  <c r="S212" i="8"/>
  <c r="S177" i="8"/>
  <c r="S38" i="8"/>
  <c r="S138" i="8"/>
  <c r="S60" i="8"/>
  <c r="S156" i="8"/>
  <c r="S209" i="8"/>
  <c r="S125" i="8"/>
  <c r="S47" i="8"/>
  <c r="S317" i="8"/>
  <c r="S298" i="8"/>
  <c r="S220" i="8"/>
  <c r="S142" i="8"/>
  <c r="S64" i="8"/>
  <c r="AA3" i="8"/>
  <c r="Y55" i="8"/>
  <c r="Y279" i="8"/>
  <c r="Y311" i="8"/>
  <c r="Y158" i="8"/>
  <c r="Y32" i="8"/>
  <c r="Y194" i="8"/>
  <c r="Y91" i="8"/>
  <c r="Y261" i="8"/>
  <c r="Y301" i="8"/>
  <c r="Y79" i="8"/>
  <c r="Y288" i="8"/>
  <c r="Y121" i="8"/>
  <c r="Y229" i="8"/>
  <c r="Y192" i="8"/>
  <c r="Y90" i="8"/>
  <c r="Y281" i="8"/>
  <c r="Y185" i="8"/>
  <c r="Y77" i="8"/>
  <c r="Y322" i="8"/>
  <c r="Y232" i="8"/>
  <c r="Y124" i="8"/>
  <c r="Y34" i="8"/>
  <c r="Z247" i="8"/>
  <c r="Z80" i="8"/>
  <c r="Z123" i="8"/>
  <c r="Z140" i="8"/>
  <c r="Z45" i="8"/>
  <c r="Z213" i="8"/>
  <c r="Z169" i="8"/>
  <c r="Z8" i="8"/>
  <c r="Z231" i="8"/>
  <c r="Z248" i="8"/>
  <c r="Z186" i="8"/>
  <c r="Z90" i="8"/>
  <c r="Z324" i="8"/>
  <c r="Z179" i="8"/>
  <c r="Z65" i="8"/>
  <c r="Z234" i="8"/>
  <c r="Z316" i="8"/>
  <c r="Z214" i="8"/>
  <c r="Z118" i="8"/>
  <c r="AA283" i="8"/>
  <c r="AA254" i="8"/>
  <c r="AA194" i="8"/>
  <c r="AA182" i="8"/>
  <c r="AA273" i="8"/>
  <c r="AA43" i="8"/>
  <c r="AA302" i="8"/>
  <c r="AA141" i="8"/>
  <c r="AA171" i="8"/>
  <c r="AA140" i="8"/>
  <c r="AA81" i="8"/>
  <c r="AA98" i="8"/>
  <c r="AA36" i="8"/>
  <c r="AA185" i="8"/>
  <c r="AA77" i="8"/>
  <c r="AA256" i="8"/>
  <c r="AA130" i="8"/>
  <c r="AA4" i="8"/>
  <c r="AB135" i="8"/>
  <c r="AB97" i="8"/>
  <c r="AB295" i="8"/>
  <c r="AB193" i="8"/>
  <c r="AB93" i="8"/>
  <c r="AB31" i="8"/>
  <c r="AB81" i="8"/>
  <c r="AB225" i="8"/>
  <c r="AB126" i="8"/>
  <c r="AB251" i="8"/>
  <c r="AB131" i="8"/>
  <c r="AB305" i="8"/>
  <c r="AB196" i="8"/>
  <c r="AB64" i="8"/>
  <c r="AJ177" i="8"/>
  <c r="AJ194" i="8"/>
  <c r="AJ256" i="8"/>
  <c r="AK42" i="8"/>
  <c r="AB32" i="8"/>
  <c r="AB111" i="8"/>
  <c r="AB326" i="8"/>
  <c r="AB217" i="8"/>
  <c r="AB120" i="8"/>
  <c r="AB245" i="8"/>
  <c r="AB119" i="8"/>
  <c r="AB293" i="8"/>
  <c r="AB190" i="8"/>
  <c r="AB52" i="8"/>
  <c r="AJ206" i="8"/>
  <c r="AJ159" i="8"/>
  <c r="AJ52" i="8"/>
  <c r="AK83" i="8"/>
  <c r="R167" i="8"/>
  <c r="R95" i="8"/>
  <c r="R23" i="8"/>
  <c r="R310" i="8"/>
  <c r="R238" i="8"/>
  <c r="R166" i="8"/>
  <c r="R94" i="8"/>
  <c r="R22" i="8"/>
  <c r="S249" i="8"/>
  <c r="S68" i="8"/>
  <c r="S115" i="8"/>
  <c r="S255" i="8"/>
  <c r="S153" i="8"/>
  <c r="S301" i="8"/>
  <c r="S207" i="8"/>
  <c r="S307" i="8"/>
  <c r="S141" i="8"/>
  <c r="S75" i="8"/>
  <c r="S169" i="8"/>
  <c r="S306" i="8"/>
  <c r="S151" i="8"/>
  <c r="S25" i="8"/>
  <c r="S7" i="8"/>
  <c r="S126" i="8"/>
  <c r="S48" i="8"/>
  <c r="S299" i="8"/>
  <c r="S191" i="8"/>
  <c r="S107" i="8"/>
  <c r="S35" i="8"/>
  <c r="S287" i="8"/>
  <c r="S286" i="8"/>
  <c r="S208" i="8"/>
  <c r="S130" i="8"/>
  <c r="S52" i="8"/>
  <c r="Y117" i="8"/>
  <c r="Y128" i="8"/>
  <c r="Y207" i="8"/>
  <c r="Y175" i="8"/>
  <c r="Y200" i="8"/>
  <c r="Y270" i="8"/>
  <c r="Y122" i="8"/>
  <c r="Y69" i="8"/>
  <c r="Y157" i="8"/>
  <c r="Y266" i="8"/>
  <c r="Y299" i="8"/>
  <c r="Y195" i="8"/>
  <c r="Y49" i="8"/>
  <c r="Y211" i="8"/>
  <c r="Y180" i="8"/>
  <c r="Y78" i="8"/>
  <c r="Y263" i="8"/>
  <c r="Y167" i="8"/>
  <c r="Y65" i="8"/>
  <c r="Y310" i="8"/>
  <c r="Y214" i="8"/>
  <c r="Y112" i="8"/>
  <c r="Y22" i="8"/>
  <c r="Z289" i="8"/>
  <c r="Z206" i="8"/>
  <c r="Z164" i="8"/>
  <c r="Z261" i="8"/>
  <c r="Z21" i="8"/>
  <c r="Z61" i="8"/>
  <c r="Z290" i="8"/>
  <c r="Z266" i="8"/>
  <c r="Z129" i="8"/>
  <c r="Z157" i="8"/>
  <c r="Z174" i="8"/>
  <c r="Z78" i="8"/>
  <c r="Z264" i="8"/>
  <c r="Z155" i="8"/>
  <c r="Z53" i="8"/>
  <c r="Z311" i="8"/>
  <c r="Z298" i="8"/>
  <c r="Z202" i="8"/>
  <c r="Z100" i="8"/>
  <c r="AA240" i="8"/>
  <c r="AA313" i="8"/>
  <c r="AA104" i="8"/>
  <c r="AA85" i="8"/>
  <c r="AA229" i="8"/>
  <c r="AA303" i="8"/>
  <c r="AA270" i="8"/>
  <c r="AA80" i="8"/>
  <c r="AA318" i="8"/>
  <c r="AA79" i="8"/>
  <c r="AA295" i="8"/>
  <c r="AA26" i="8"/>
  <c r="AA24" i="8"/>
  <c r="AA173" i="8"/>
  <c r="AA41" i="8"/>
  <c r="AA238" i="8"/>
  <c r="AA118" i="8"/>
  <c r="AB73" i="8"/>
  <c r="AB45" i="8"/>
  <c r="AB241" i="8"/>
  <c r="AB294" i="8"/>
  <c r="AB222" i="8"/>
  <c r="AB9" i="8"/>
  <c r="AB264" i="8"/>
  <c r="AB50" i="8"/>
  <c r="AB207" i="8"/>
  <c r="AB108" i="8"/>
  <c r="AB233" i="8"/>
  <c r="AB107" i="8"/>
  <c r="AB263" i="8"/>
  <c r="AB184" i="8"/>
  <c r="AB46" i="8"/>
  <c r="AJ135" i="8"/>
  <c r="AJ156" i="8"/>
  <c r="AJ40" i="8"/>
  <c r="AK172" i="8"/>
  <c r="R26" i="8"/>
  <c r="R174" i="8"/>
  <c r="R102" i="8"/>
  <c r="R30" i="8"/>
  <c r="R233" i="8"/>
  <c r="R161" i="8"/>
  <c r="R89" i="8"/>
  <c r="R17" i="8"/>
  <c r="R304" i="8"/>
  <c r="R232" i="8"/>
  <c r="R160" i="8"/>
  <c r="R88" i="8"/>
  <c r="R16" i="8"/>
  <c r="S241" i="8"/>
  <c r="S57" i="8"/>
  <c r="S217" i="8"/>
  <c r="S33" i="8"/>
  <c r="S113" i="8"/>
  <c r="S247" i="8"/>
  <c r="S146" i="8"/>
  <c r="S297" i="8"/>
  <c r="S111" i="8"/>
  <c r="S273" i="8"/>
  <c r="S87" i="8"/>
  <c r="S296" i="8"/>
  <c r="S140" i="8"/>
  <c r="S283" i="8"/>
  <c r="S240" i="8"/>
  <c r="S120" i="8"/>
  <c r="S42" i="8"/>
  <c r="S293" i="8"/>
  <c r="S185" i="8"/>
  <c r="S101" i="8"/>
  <c r="S29" i="8"/>
  <c r="S275" i="8"/>
  <c r="S280" i="8"/>
  <c r="S202" i="8"/>
  <c r="S124" i="8"/>
  <c r="S40" i="8"/>
  <c r="Y282" i="8"/>
  <c r="Y236" i="8"/>
  <c r="Y146" i="8"/>
  <c r="Y164" i="8"/>
  <c r="Y45" i="8"/>
  <c r="Y234" i="8"/>
  <c r="Y111" i="8"/>
  <c r="Y19" i="8"/>
  <c r="Y85" i="8"/>
  <c r="Y212" i="8"/>
  <c r="Y139" i="8"/>
  <c r="Y145" i="8"/>
  <c r="Y27" i="8"/>
  <c r="Y181" i="8"/>
  <c r="Y162" i="8"/>
  <c r="Y72" i="8"/>
  <c r="Y257" i="8"/>
  <c r="Y149" i="8"/>
  <c r="Y59" i="8"/>
  <c r="Y304" i="8"/>
  <c r="Y196" i="8"/>
  <c r="Y106" i="8"/>
  <c r="Y16" i="8"/>
  <c r="Z74" i="8"/>
  <c r="Z145" i="8"/>
  <c r="Z15" i="8"/>
  <c r="Z241" i="8"/>
  <c r="Z9" i="8"/>
  <c r="Z26" i="8"/>
  <c r="Z218" i="8"/>
  <c r="Z175" i="8"/>
  <c r="Z283" i="8"/>
  <c r="Z105" i="8"/>
  <c r="Z168" i="8"/>
  <c r="Z72" i="8"/>
  <c r="Z204" i="8"/>
  <c r="Z143" i="8"/>
  <c r="Z47" i="8"/>
  <c r="Z275" i="8"/>
  <c r="Z292" i="8"/>
  <c r="Z196" i="8"/>
  <c r="Z76" i="8"/>
  <c r="AA105" i="8"/>
  <c r="AA248" i="8"/>
  <c r="AA147" i="8"/>
  <c r="AA55" i="8"/>
  <c r="AA247" i="8"/>
  <c r="AA235" i="8"/>
  <c r="AA260" i="8"/>
  <c r="AA69" i="8"/>
  <c r="AA27" i="8"/>
  <c r="AA68" i="8"/>
  <c r="AA285" i="8"/>
  <c r="AA126" i="8"/>
  <c r="AA18" i="8"/>
  <c r="AA167" i="8"/>
  <c r="AA23" i="8"/>
  <c r="AA220" i="8"/>
  <c r="AA112" i="8"/>
  <c r="AB270" i="8"/>
  <c r="AB319" i="8"/>
  <c r="AB301" i="8"/>
  <c r="AB247" i="8"/>
  <c r="AB157" i="8"/>
  <c r="AB92" i="8"/>
  <c r="AB182" i="8"/>
  <c r="AB254" i="8"/>
  <c r="AB189" i="8"/>
  <c r="AB90" i="8"/>
  <c r="AB227" i="8"/>
  <c r="AB89" i="8"/>
  <c r="AB298" i="8"/>
  <c r="AB178" i="8"/>
  <c r="AB40" i="8"/>
  <c r="AJ199" i="8"/>
  <c r="AJ144" i="8"/>
  <c r="AJ22" i="8"/>
  <c r="AK154" i="8"/>
  <c r="AI5" i="8"/>
  <c r="AJ127" i="8"/>
  <c r="AJ43" i="8"/>
  <c r="AJ225" i="8"/>
  <c r="AJ312" i="8"/>
  <c r="AJ264" i="8"/>
  <c r="AJ170" i="8"/>
  <c r="AJ215" i="8"/>
  <c r="AJ287" i="8"/>
  <c r="AJ124" i="8"/>
  <c r="AK296" i="8"/>
  <c r="AK19" i="8"/>
  <c r="AK113" i="8"/>
  <c r="AJ253" i="8"/>
  <c r="AJ104" i="8"/>
  <c r="AJ198" i="8"/>
  <c r="AJ141" i="8"/>
  <c r="AJ103" i="8"/>
  <c r="AJ132" i="8"/>
  <c r="AJ113" i="8"/>
  <c r="AJ238" i="8"/>
  <c r="AJ10" i="8"/>
  <c r="AK93" i="8"/>
  <c r="AK36" i="8"/>
  <c r="AK112" i="8"/>
  <c r="AI7" i="8"/>
  <c r="AJ277" i="8"/>
  <c r="AJ278" i="8"/>
  <c r="AJ25" i="8"/>
  <c r="AJ212" i="8"/>
  <c r="AJ31" i="8"/>
  <c r="AJ126" i="8"/>
  <c r="AJ101" i="8"/>
  <c r="AJ232" i="8"/>
  <c r="AK50" i="8"/>
  <c r="AK109" i="8"/>
  <c r="AK155" i="8"/>
  <c r="AJ234" i="8"/>
  <c r="AJ195" i="8"/>
  <c r="AJ297" i="8"/>
  <c r="AJ81" i="8"/>
  <c r="AJ133" i="8"/>
  <c r="AJ54" i="8"/>
  <c r="AJ83" i="8"/>
  <c r="AJ226" i="8"/>
  <c r="AK289" i="8"/>
  <c r="AK67" i="8"/>
  <c r="AK119" i="8"/>
  <c r="Y114" i="8"/>
  <c r="Y42" i="8"/>
  <c r="Y245" i="8"/>
  <c r="Y173" i="8"/>
  <c r="Y101" i="8"/>
  <c r="Y29" i="8"/>
  <c r="Y292" i="8"/>
  <c r="Y220" i="8"/>
  <c r="Y148" i="8"/>
  <c r="Y76" i="8"/>
  <c r="Y4" i="8"/>
  <c r="Z297" i="8"/>
  <c r="Z182" i="8"/>
  <c r="Z25" i="8"/>
  <c r="Z122" i="8"/>
  <c r="Z49" i="8"/>
  <c r="Z117" i="8"/>
  <c r="Z62" i="8"/>
  <c r="Z314" i="8"/>
  <c r="Z67" i="8"/>
  <c r="Z75" i="8"/>
  <c r="Z103" i="8"/>
  <c r="Z79" i="8"/>
  <c r="Z207" i="8"/>
  <c r="Z222" i="8"/>
  <c r="Z138" i="8"/>
  <c r="Z60" i="8"/>
  <c r="Z282" i="8"/>
  <c r="Z233" i="8"/>
  <c r="Z107" i="8"/>
  <c r="Z35" i="8"/>
  <c r="Z323" i="8"/>
  <c r="Z161" i="8"/>
  <c r="Z262" i="8"/>
  <c r="Z184" i="8"/>
  <c r="Z106" i="8"/>
  <c r="Z28" i="8"/>
  <c r="AA193" i="8"/>
  <c r="AA116" i="8"/>
  <c r="AA258" i="8"/>
  <c r="AA266" i="8"/>
  <c r="AA237" i="8"/>
  <c r="AA115" i="8"/>
  <c r="AA73" i="8"/>
  <c r="AA111" i="8"/>
  <c r="AA216" i="8"/>
  <c r="AA8" i="8"/>
  <c r="AA31" i="8"/>
  <c r="AA187" i="8"/>
  <c r="AA51" i="8"/>
  <c r="AA99" i="8"/>
  <c r="AA37" i="8"/>
  <c r="AA72" i="8"/>
  <c r="AA245" i="8"/>
  <c r="AA155" i="8"/>
  <c r="AA59" i="8"/>
  <c r="AA280" i="8"/>
  <c r="AA190" i="8"/>
  <c r="AA94" i="8"/>
  <c r="AB146" i="8"/>
  <c r="AB249" i="8"/>
  <c r="AB188" i="8"/>
  <c r="AB33" i="8"/>
  <c r="AB231" i="8"/>
  <c r="AB258" i="8"/>
  <c r="AB277" i="8"/>
  <c r="AB122" i="8"/>
  <c r="AB39" i="8"/>
  <c r="AB79" i="8"/>
  <c r="AB171" i="8"/>
  <c r="AB324" i="8"/>
  <c r="AB114" i="8"/>
  <c r="AB18" i="8"/>
  <c r="AB185" i="8"/>
  <c r="AB77" i="8"/>
  <c r="AB275" i="8"/>
  <c r="AB238" i="8"/>
  <c r="AB124" i="8"/>
  <c r="AB28" i="8"/>
  <c r="AH11" i="8"/>
  <c r="AI10" i="8"/>
  <c r="AJ116" i="8"/>
  <c r="AJ117" i="8"/>
  <c r="AJ56" i="8"/>
  <c r="AJ183" i="8"/>
  <c r="AJ50" i="8"/>
  <c r="AJ42" i="8"/>
  <c r="AJ77" i="8"/>
  <c r="AJ154" i="8"/>
  <c r="AK195" i="8"/>
  <c r="AK27" i="8"/>
  <c r="AK71" i="8"/>
  <c r="AH5" i="8"/>
  <c r="AI4" i="8"/>
  <c r="AJ295" i="8"/>
  <c r="AJ314" i="8"/>
  <c r="AJ9" i="8"/>
  <c r="AJ122" i="8"/>
  <c r="AJ254" i="8"/>
  <c r="AJ24" i="8"/>
  <c r="AJ71" i="8"/>
  <c r="AJ142" i="8"/>
  <c r="AK319" i="8"/>
  <c r="AK290" i="8"/>
  <c r="AK65" i="8"/>
  <c r="Y248" i="8"/>
  <c r="Y68" i="8"/>
  <c r="Y176" i="8"/>
  <c r="Y276" i="8"/>
  <c r="Y291" i="8"/>
  <c r="Y159" i="8"/>
  <c r="Y174" i="8"/>
  <c r="Y102" i="8"/>
  <c r="Y30" i="8"/>
  <c r="Y233" i="8"/>
  <c r="Y161" i="8"/>
  <c r="Y89" i="8"/>
  <c r="Y17" i="8"/>
  <c r="Y280" i="8"/>
  <c r="Y208" i="8"/>
  <c r="Y136" i="8"/>
  <c r="Y64" i="8"/>
  <c r="Z115" i="8"/>
  <c r="Z225" i="8"/>
  <c r="Z121" i="8"/>
  <c r="Z255" i="8"/>
  <c r="Z315" i="8"/>
  <c r="Z181" i="8"/>
  <c r="Z98" i="8"/>
  <c r="Z235" i="8"/>
  <c r="Z151" i="8"/>
  <c r="Z279" i="8"/>
  <c r="Z32" i="8"/>
  <c r="Z163" i="8"/>
  <c r="Z271" i="8"/>
  <c r="Z146" i="8"/>
  <c r="Z210" i="8"/>
  <c r="Z126" i="8"/>
  <c r="Z48" i="8"/>
  <c r="Z246" i="8"/>
  <c r="Z209" i="8"/>
  <c r="Z95" i="8"/>
  <c r="Z23" i="8"/>
  <c r="Z299" i="8"/>
  <c r="Z119" i="8"/>
  <c r="Z250" i="8"/>
  <c r="Z172" i="8"/>
  <c r="Z88" i="8"/>
  <c r="Z10" i="8"/>
  <c r="AA276" i="8"/>
  <c r="AA290" i="8"/>
  <c r="AA315" i="8"/>
  <c r="AA222" i="8"/>
  <c r="AA281" i="8"/>
  <c r="AA289" i="8"/>
  <c r="AA279" i="8"/>
  <c r="AA50" i="8"/>
  <c r="AA198" i="8"/>
  <c r="AA296" i="8"/>
  <c r="AA294" i="8"/>
  <c r="AA159" i="8"/>
  <c r="AA271" i="8"/>
  <c r="AA38" i="8"/>
  <c r="AA15" i="8"/>
  <c r="AA48" i="8"/>
  <c r="AA233" i="8"/>
  <c r="AA143" i="8"/>
  <c r="AA35" i="8"/>
  <c r="AA268" i="8"/>
  <c r="AA178" i="8"/>
  <c r="AA70" i="8"/>
  <c r="AB51" i="8"/>
  <c r="AB62" i="8"/>
  <c r="AB219" i="8"/>
  <c r="AB273" i="8"/>
  <c r="AB260" i="8"/>
  <c r="AB240" i="8"/>
  <c r="AB55" i="8"/>
  <c r="AB282" i="8"/>
  <c r="AB246" i="8"/>
  <c r="AB57" i="8"/>
  <c r="AB99" i="8"/>
  <c r="AB87" i="8"/>
  <c r="AB102" i="8"/>
  <c r="AB6" i="8"/>
  <c r="AB161" i="8"/>
  <c r="AB65" i="8"/>
  <c r="AB239" i="8"/>
  <c r="AB214" i="8"/>
  <c r="AB112" i="8"/>
  <c r="AB16" i="8"/>
  <c r="AJ224" i="8"/>
  <c r="AJ252" i="8"/>
  <c r="AJ189" i="8"/>
  <c r="AJ145" i="8"/>
  <c r="AJ61" i="8"/>
  <c r="AJ228" i="8"/>
  <c r="AJ18" i="8"/>
  <c r="AJ323" i="8"/>
  <c r="AJ136" i="8"/>
  <c r="AK309" i="8"/>
  <c r="AK211" i="8"/>
  <c r="AK221" i="8"/>
  <c r="S234" i="8"/>
  <c r="S197" i="8"/>
  <c r="S262" i="8"/>
  <c r="S190" i="8"/>
  <c r="S118" i="8"/>
  <c r="S46" i="8"/>
  <c r="Y323" i="8"/>
  <c r="Y44" i="8"/>
  <c r="Y306" i="8"/>
  <c r="Y51" i="8"/>
  <c r="Y9" i="8"/>
  <c r="Y217" i="8"/>
  <c r="Y249" i="8"/>
  <c r="Y318" i="8"/>
  <c r="Y222" i="8"/>
  <c r="Y312" i="8"/>
  <c r="Y240" i="8"/>
  <c r="Y57" i="8"/>
  <c r="Y115" i="8"/>
  <c r="Y258" i="8"/>
  <c r="Y283" i="8"/>
  <c r="Y109" i="8"/>
  <c r="Y168" i="8"/>
  <c r="Y96" i="8"/>
  <c r="Y24" i="8"/>
  <c r="Y227" i="8"/>
  <c r="Y155" i="8"/>
  <c r="Y83" i="8"/>
  <c r="Y11" i="8"/>
  <c r="Y274" i="8"/>
  <c r="Y202" i="8"/>
  <c r="Y130" i="8"/>
  <c r="Y58" i="8"/>
  <c r="Z278" i="8"/>
  <c r="Z217" i="8"/>
  <c r="Z91" i="8"/>
  <c r="Z51" i="8"/>
  <c r="Z254" i="8"/>
  <c r="Z313" i="8"/>
  <c r="Z87" i="8"/>
  <c r="Z194" i="8"/>
  <c r="Z37" i="8"/>
  <c r="Z229" i="8"/>
  <c r="Z20" i="8"/>
  <c r="Z111" i="8"/>
  <c r="Z249" i="8"/>
  <c r="Z135" i="8"/>
  <c r="Z192" i="8"/>
  <c r="Z120" i="8"/>
  <c r="Z42" i="8"/>
  <c r="Z228" i="8"/>
  <c r="Z191" i="8"/>
  <c r="Z89" i="8"/>
  <c r="Z17" i="8"/>
  <c r="Z287" i="8"/>
  <c r="Z322" i="8"/>
  <c r="Z244" i="8"/>
  <c r="Z160" i="8"/>
  <c r="Z82" i="8"/>
  <c r="Z4" i="8"/>
  <c r="AA168" i="8"/>
  <c r="AA272" i="8"/>
  <c r="AA212" i="8"/>
  <c r="AA201" i="8"/>
  <c r="AA174" i="8"/>
  <c r="AA323" i="8"/>
  <c r="AA253" i="8"/>
  <c r="AA39" i="8"/>
  <c r="AA180" i="8"/>
  <c r="AA123" i="8"/>
  <c r="AA110" i="8"/>
  <c r="AA151" i="8"/>
  <c r="AA243" i="8"/>
  <c r="AA325" i="8"/>
  <c r="AA144" i="8"/>
  <c r="AA42" i="8"/>
  <c r="AA227" i="8"/>
  <c r="AA131" i="8"/>
  <c r="AA29" i="8"/>
  <c r="AA262" i="8"/>
  <c r="AA166" i="8"/>
  <c r="AA64" i="8"/>
  <c r="AB288" i="8"/>
  <c r="AB284" i="8"/>
  <c r="AB248" i="8"/>
  <c r="AB164" i="8"/>
  <c r="AB186" i="8"/>
  <c r="AB267" i="8"/>
  <c r="AB291" i="8"/>
  <c r="AB200" i="8"/>
  <c r="AB218" i="8"/>
  <c r="AB7" i="8"/>
  <c r="AB38" i="8"/>
  <c r="AB37" i="8"/>
  <c r="AB96" i="8"/>
  <c r="AB287" i="8"/>
  <c r="AB155" i="8"/>
  <c r="AB59" i="8"/>
  <c r="AB316" i="8"/>
  <c r="AB208" i="8"/>
  <c r="AB106" i="8"/>
  <c r="AB4" i="8"/>
  <c r="AJ324" i="8"/>
  <c r="AJ165" i="8"/>
  <c r="AJ86" i="8"/>
  <c r="AJ73" i="8"/>
  <c r="AJ300" i="8"/>
  <c r="AJ181" i="8"/>
  <c r="AJ12" i="8"/>
  <c r="AJ299" i="8"/>
  <c r="AJ130" i="8"/>
  <c r="AK62" i="8"/>
  <c r="AK139" i="8"/>
  <c r="AK185" i="8"/>
  <c r="AK237" i="8"/>
  <c r="AK279" i="8"/>
  <c r="AK219" i="8"/>
  <c r="AK170" i="8"/>
  <c r="AK272" i="8"/>
  <c r="AK108" i="8"/>
  <c r="AK179" i="8"/>
  <c r="AK245" i="8"/>
  <c r="AK184" i="8"/>
  <c r="AJ235" i="8"/>
  <c r="AJ248" i="8"/>
  <c r="AJ80" i="8"/>
  <c r="AJ301" i="8"/>
  <c r="AJ79" i="8"/>
  <c r="AJ291" i="8"/>
  <c r="AJ98" i="8"/>
  <c r="AJ114" i="8"/>
  <c r="AJ317" i="8"/>
  <c r="AJ173" i="8"/>
  <c r="AJ59" i="8"/>
  <c r="AJ233" i="8"/>
  <c r="AJ214" i="8"/>
  <c r="AJ112" i="8"/>
  <c r="AK85" i="8"/>
  <c r="AK153" i="8"/>
  <c r="AK152" i="8"/>
  <c r="AK267" i="8"/>
  <c r="AK135" i="8"/>
  <c r="AK294" i="8"/>
  <c r="AK24" i="8"/>
  <c r="AK53" i="8"/>
  <c r="AK316" i="8"/>
  <c r="AK100" i="8"/>
  <c r="AJ169" i="8"/>
  <c r="AJ153" i="8"/>
  <c r="AJ69" i="8"/>
  <c r="AJ219" i="8"/>
  <c r="AJ68" i="8"/>
  <c r="AJ182" i="8"/>
  <c r="AJ87" i="8"/>
  <c r="AJ96" i="8"/>
  <c r="AJ305" i="8"/>
  <c r="AJ155" i="8"/>
  <c r="AJ53" i="8"/>
  <c r="AJ310" i="8"/>
  <c r="AJ208" i="8"/>
  <c r="AJ94" i="8"/>
  <c r="AK123" i="8"/>
  <c r="AK327" i="8"/>
  <c r="AK80" i="8"/>
  <c r="AK297" i="8"/>
  <c r="AK115" i="8"/>
  <c r="AK240" i="8"/>
  <c r="AK6" i="8"/>
  <c r="AK35" i="8"/>
  <c r="AK298" i="8"/>
  <c r="AK82" i="8"/>
  <c r="AJ296" i="8"/>
  <c r="AJ92" i="8"/>
  <c r="AJ19" i="8"/>
  <c r="AJ171" i="8"/>
  <c r="AJ57" i="8"/>
  <c r="AJ99" i="8"/>
  <c r="AJ37" i="8"/>
  <c r="AJ90" i="8"/>
  <c r="AJ293" i="8"/>
  <c r="AJ149" i="8"/>
  <c r="AJ47" i="8"/>
  <c r="AJ304" i="8"/>
  <c r="AJ202" i="8"/>
  <c r="AJ88" i="8"/>
  <c r="AK241" i="8"/>
  <c r="AK183" i="8"/>
  <c r="AK315" i="8"/>
  <c r="AK284" i="8"/>
  <c r="AK103" i="8"/>
  <c r="AK186" i="8"/>
  <c r="AK216" i="8"/>
  <c r="AK312" i="8"/>
  <c r="AK262" i="8"/>
  <c r="AK46" i="8"/>
  <c r="AA241" i="8"/>
  <c r="AA150" i="8"/>
  <c r="AA78" i="8"/>
  <c r="AA6" i="8"/>
  <c r="AA209" i="8"/>
  <c r="AA137" i="8"/>
  <c r="AA65" i="8"/>
  <c r="AA316" i="8"/>
  <c r="AA244" i="8"/>
  <c r="AA172" i="8"/>
  <c r="AA100" i="8"/>
  <c r="AA28" i="8"/>
  <c r="AB206" i="8"/>
  <c r="AB127" i="8"/>
  <c r="AB237" i="8"/>
  <c r="AB229" i="8"/>
  <c r="AB105" i="8"/>
  <c r="AB201" i="8"/>
  <c r="AB180" i="8"/>
  <c r="AB266" i="8"/>
  <c r="AB242" i="8"/>
  <c r="AB236" i="8"/>
  <c r="AB61" i="8"/>
  <c r="AB289" i="8"/>
  <c r="AB133" i="8"/>
  <c r="AB49" i="8"/>
  <c r="AB140" i="8"/>
  <c r="AB156" i="8"/>
  <c r="AB78" i="8"/>
  <c r="AB311" i="8"/>
  <c r="AB191" i="8"/>
  <c r="AB113" i="8"/>
  <c r="AB35" i="8"/>
  <c r="AB322" i="8"/>
  <c r="AB244" i="8"/>
  <c r="AB166" i="8"/>
  <c r="AB88" i="8"/>
  <c r="AB10" i="8"/>
  <c r="AH8" i="8"/>
  <c r="AH12" i="8"/>
  <c r="AH4" i="8"/>
  <c r="AI8" i="8"/>
  <c r="AJ205" i="8"/>
  <c r="AJ213" i="8"/>
  <c r="AJ321" i="8"/>
  <c r="AJ187" i="8"/>
  <c r="AJ231" i="8"/>
  <c r="AJ20" i="8"/>
  <c r="AJ8" i="8"/>
  <c r="AJ121" i="8"/>
  <c r="AJ7" i="8"/>
  <c r="AJ38" i="8"/>
  <c r="AJ26" i="8"/>
  <c r="AJ84" i="8"/>
  <c r="AJ275" i="8"/>
  <c r="AJ143" i="8"/>
  <c r="AJ41" i="8"/>
  <c r="AJ298" i="8"/>
  <c r="AJ196" i="8"/>
  <c r="AJ82" i="8"/>
  <c r="AK169" i="8"/>
  <c r="AK133" i="8"/>
  <c r="AK265" i="8"/>
  <c r="AK212" i="8"/>
  <c r="AK37" i="8"/>
  <c r="AK180" i="8"/>
  <c r="AK323" i="8"/>
  <c r="AK300" i="8"/>
  <c r="AK256" i="8"/>
  <c r="AK40" i="8"/>
  <c r="AJ63" i="8"/>
  <c r="AJ39" i="8"/>
  <c r="AJ62" i="8"/>
  <c r="AJ49" i="8"/>
  <c r="AJ51" i="8"/>
  <c r="AJ308" i="8"/>
  <c r="AJ186" i="8"/>
  <c r="AJ72" i="8"/>
  <c r="AJ257" i="8"/>
  <c r="AJ131" i="8"/>
  <c r="AJ29" i="8"/>
  <c r="AJ286" i="8"/>
  <c r="AJ184" i="8"/>
  <c r="AJ70" i="8"/>
  <c r="AK105" i="8"/>
  <c r="AK111" i="8"/>
  <c r="AK243" i="8"/>
  <c r="AK79" i="8"/>
  <c r="AK235" i="8"/>
  <c r="AK168" i="8"/>
  <c r="AK299" i="8"/>
  <c r="AK264" i="8"/>
  <c r="AK244" i="8"/>
  <c r="AK28" i="8"/>
  <c r="AA205" i="8"/>
  <c r="AA138" i="8"/>
  <c r="AA66" i="8"/>
  <c r="AA269" i="8"/>
  <c r="AA197" i="8"/>
  <c r="AA125" i="8"/>
  <c r="AA53" i="8"/>
  <c r="AA304" i="8"/>
  <c r="AA232" i="8"/>
  <c r="AA160" i="8"/>
  <c r="AA88" i="8"/>
  <c r="AA16" i="8"/>
  <c r="AB205" i="8"/>
  <c r="AB85" i="8"/>
  <c r="AB43" i="8"/>
  <c r="AB211" i="8"/>
  <c r="AB63" i="8"/>
  <c r="AB321" i="8"/>
  <c r="AB67" i="8"/>
  <c r="AB323" i="8"/>
  <c r="AB165" i="8"/>
  <c r="AB163" i="8"/>
  <c r="AB308" i="8"/>
  <c r="AB235" i="8"/>
  <c r="AB300" i="8"/>
  <c r="AB307" i="8"/>
  <c r="AB170" i="8"/>
  <c r="AB144" i="8"/>
  <c r="AB60" i="8"/>
  <c r="AB269" i="8"/>
  <c r="AB179" i="8"/>
  <c r="AB101" i="8"/>
  <c r="AB23" i="8"/>
  <c r="AB310" i="8"/>
  <c r="AB232" i="8"/>
  <c r="AB154" i="8"/>
  <c r="AB76" i="8"/>
  <c r="AH3" i="8"/>
  <c r="AJ303" i="8"/>
  <c r="AJ93" i="8"/>
  <c r="AJ315" i="8"/>
  <c r="AJ267" i="8"/>
  <c r="AJ249" i="8"/>
  <c r="AJ309" i="8"/>
  <c r="AJ258" i="8"/>
  <c r="AJ27" i="8"/>
  <c r="AJ266" i="8"/>
  <c r="AJ290" i="8"/>
  <c r="AJ168" i="8"/>
  <c r="AJ66" i="8"/>
  <c r="AJ227" i="8"/>
  <c r="AJ125" i="8"/>
  <c r="AJ11" i="8"/>
  <c r="AJ280" i="8"/>
  <c r="AJ166" i="8"/>
  <c r="AJ64" i="8"/>
  <c r="AK207" i="8"/>
  <c r="AK291" i="8"/>
  <c r="AK171" i="8"/>
  <c r="AK325" i="8"/>
  <c r="AK223" i="8"/>
  <c r="AK150" i="8"/>
  <c r="AK263" i="8"/>
  <c r="AK204" i="8"/>
  <c r="AK226" i="8"/>
  <c r="AK10" i="8"/>
  <c r="Z306" i="8"/>
  <c r="Z251" i="8"/>
  <c r="Z310" i="8"/>
  <c r="Z238" i="8"/>
  <c r="Z166" i="8"/>
  <c r="Z94" i="8"/>
  <c r="Z22" i="8"/>
  <c r="AA218" i="8"/>
  <c r="AA210" i="8"/>
  <c r="AA300" i="8"/>
  <c r="AA192" i="8"/>
  <c r="AA219" i="8"/>
  <c r="AA146" i="8"/>
  <c r="AA246" i="8"/>
  <c r="AA207" i="8"/>
  <c r="AA326" i="8"/>
  <c r="AA188" i="8"/>
  <c r="AA21" i="8"/>
  <c r="AA133" i="8"/>
  <c r="AA195" i="8"/>
  <c r="AA320" i="8"/>
  <c r="AA309" i="8"/>
  <c r="AA177" i="8"/>
  <c r="AA132" i="8"/>
  <c r="AA60" i="8"/>
  <c r="AA263" i="8"/>
  <c r="AA191" i="8"/>
  <c r="AA119" i="8"/>
  <c r="AA47" i="8"/>
  <c r="AA298" i="8"/>
  <c r="AA226" i="8"/>
  <c r="AA154" i="8"/>
  <c r="AA82" i="8"/>
  <c r="AA10" i="8"/>
  <c r="AB21" i="8"/>
  <c r="AB278" i="8"/>
  <c r="AB234" i="8"/>
  <c r="AB255" i="8"/>
  <c r="AB313" i="8"/>
  <c r="AB306" i="8"/>
  <c r="AB285" i="8"/>
  <c r="AB265" i="8"/>
  <c r="AB128" i="8"/>
  <c r="AB141" i="8"/>
  <c r="AB290" i="8"/>
  <c r="AB199" i="8"/>
  <c r="AB272" i="8"/>
  <c r="AB297" i="8"/>
  <c r="AB159" i="8"/>
  <c r="AB132" i="8"/>
  <c r="AB54" i="8"/>
  <c r="AB257" i="8"/>
  <c r="AB173" i="8"/>
  <c r="AB95" i="8"/>
  <c r="AB17" i="8"/>
  <c r="AB304" i="8"/>
  <c r="AB226" i="8"/>
  <c r="AB148" i="8"/>
  <c r="AB70" i="8"/>
  <c r="AI3" i="8"/>
  <c r="AI11" i="8"/>
  <c r="AJ223" i="8"/>
  <c r="AJ313" i="8"/>
  <c r="AJ74" i="8"/>
  <c r="AJ105" i="8"/>
  <c r="AJ85" i="8"/>
  <c r="AJ273" i="8"/>
  <c r="AJ240" i="8"/>
  <c r="AJ318" i="8"/>
  <c r="AJ230" i="8"/>
  <c r="AJ272" i="8"/>
  <c r="AJ162" i="8"/>
  <c r="AJ60" i="8"/>
  <c r="AJ221" i="8"/>
  <c r="AJ119" i="8"/>
  <c r="AJ5" i="8"/>
  <c r="AJ274" i="8"/>
  <c r="AJ160" i="8"/>
  <c r="AJ58" i="8"/>
  <c r="AK157" i="8"/>
  <c r="AK39" i="8"/>
  <c r="AK313" i="8"/>
  <c r="AK181" i="8"/>
  <c r="AK283" i="8"/>
  <c r="AK114" i="8"/>
  <c r="AK191" i="8"/>
  <c r="AK257" i="8"/>
  <c r="AK190" i="8"/>
  <c r="AK194" i="8"/>
  <c r="AK127" i="8"/>
  <c r="AK49" i="8"/>
  <c r="AK326" i="8"/>
  <c r="AK8" i="8"/>
  <c r="AK320" i="8"/>
  <c r="AK224" i="8"/>
  <c r="AK231" i="8"/>
  <c r="AK63" i="8"/>
  <c r="AK175" i="8"/>
  <c r="AK20" i="8"/>
  <c r="AK31" i="8"/>
  <c r="AK192" i="8"/>
  <c r="AK120" i="8"/>
  <c r="AK48" i="8"/>
  <c r="AK246" i="8"/>
  <c r="AK203" i="8"/>
  <c r="AK77" i="8"/>
  <c r="AK5" i="8"/>
  <c r="AK269" i="8"/>
  <c r="AK125" i="8"/>
  <c r="AK268" i="8"/>
  <c r="AK196" i="8"/>
  <c r="AK124" i="8"/>
  <c r="AK52" i="8"/>
  <c r="AB271" i="8"/>
  <c r="AB109" i="8"/>
  <c r="AB138" i="8"/>
  <c r="AB66" i="8"/>
  <c r="AB299" i="8"/>
  <c r="AB197" i="8"/>
  <c r="AB125" i="8"/>
  <c r="AB53" i="8"/>
  <c r="AB281" i="8"/>
  <c r="AB274" i="8"/>
  <c r="AB202" i="8"/>
  <c r="AB130" i="8"/>
  <c r="AB58" i="8"/>
  <c r="AJ3" i="8"/>
  <c r="AH6" i="8"/>
  <c r="AJ288" i="8"/>
  <c r="AJ146" i="8"/>
  <c r="AJ271" i="8"/>
  <c r="AJ242" i="8"/>
  <c r="AJ67" i="8"/>
  <c r="AJ32" i="8"/>
  <c r="AJ115" i="8"/>
  <c r="AJ284" i="8"/>
  <c r="AJ229" i="8"/>
  <c r="AJ123" i="8"/>
  <c r="AJ327" i="8"/>
  <c r="AJ282" i="8"/>
  <c r="AJ134" i="8"/>
  <c r="AJ319" i="8"/>
  <c r="AJ246" i="8"/>
  <c r="AJ120" i="8"/>
  <c r="AJ48" i="8"/>
  <c r="AJ263" i="8"/>
  <c r="AJ179" i="8"/>
  <c r="AJ107" i="8"/>
  <c r="AJ35" i="8"/>
  <c r="AJ251" i="8"/>
  <c r="AJ262" i="8"/>
  <c r="AJ190" i="8"/>
  <c r="AJ118" i="8"/>
  <c r="AJ46" i="8"/>
  <c r="AK249" i="8"/>
  <c r="AK225" i="8"/>
  <c r="AK122" i="8"/>
  <c r="AK74" i="8"/>
  <c r="AK163" i="8"/>
  <c r="AK254" i="8"/>
  <c r="AK158" i="8"/>
  <c r="AK26" i="8"/>
  <c r="AK140" i="8"/>
  <c r="AK159" i="8"/>
  <c r="AK218" i="8"/>
  <c r="AK307" i="8"/>
  <c r="AK261" i="8"/>
  <c r="AK318" i="8"/>
  <c r="AK174" i="8"/>
  <c r="AK102" i="8"/>
  <c r="AK30" i="8"/>
  <c r="AK311" i="8"/>
  <c r="AK167" i="8"/>
  <c r="AK59" i="8"/>
  <c r="AK282" i="8"/>
  <c r="AK233" i="8"/>
  <c r="AK322" i="8"/>
  <c r="AK250" i="8"/>
  <c r="AK178" i="8"/>
  <c r="AK106" i="8"/>
  <c r="AK34" i="8"/>
  <c r="AJ157" i="8"/>
  <c r="AJ44" i="8"/>
  <c r="AJ207" i="8"/>
  <c r="AJ217" i="8"/>
  <c r="AJ307" i="8"/>
  <c r="AJ75" i="8"/>
  <c r="AJ325" i="8"/>
  <c r="AJ222" i="8"/>
  <c r="AJ201" i="8"/>
  <c r="AJ302" i="8"/>
  <c r="AJ283" i="8"/>
  <c r="AJ236" i="8"/>
  <c r="AJ320" i="8"/>
  <c r="AJ265" i="8"/>
  <c r="AJ218" i="8"/>
  <c r="AJ180" i="8"/>
  <c r="AJ108" i="8"/>
  <c r="AJ36" i="8"/>
  <c r="AJ245" i="8"/>
  <c r="AJ167" i="8"/>
  <c r="AJ95" i="8"/>
  <c r="AJ23" i="8"/>
  <c r="AJ322" i="8"/>
  <c r="AJ250" i="8"/>
  <c r="AJ178" i="8"/>
  <c r="AJ106" i="8"/>
  <c r="AJ34" i="8"/>
  <c r="AK51" i="8"/>
  <c r="AK81" i="8"/>
  <c r="AK69" i="8"/>
  <c r="AK259" i="8"/>
  <c r="AK141" i="8"/>
  <c r="AK193" i="8"/>
  <c r="AK321" i="8"/>
  <c r="AK217" i="8"/>
  <c r="AK56" i="8"/>
  <c r="AK98" i="8"/>
  <c r="AK248" i="8"/>
  <c r="AK295" i="8"/>
  <c r="AK200" i="8"/>
  <c r="AK276" i="8"/>
  <c r="AK162" i="8"/>
  <c r="AK90" i="8"/>
  <c r="AK18" i="8"/>
  <c r="AK287" i="8"/>
  <c r="AK143" i="8"/>
  <c r="AK47" i="8"/>
  <c r="AK252" i="8"/>
  <c r="AK209" i="8"/>
  <c r="AK310" i="8"/>
  <c r="AK238" i="8"/>
  <c r="AK166" i="8"/>
  <c r="AK94" i="8"/>
  <c r="AK22" i="8"/>
  <c r="AJ55" i="8"/>
  <c r="AJ21" i="8"/>
  <c r="AJ188" i="8"/>
  <c r="AJ147" i="8"/>
  <c r="AJ270" i="8"/>
  <c r="AJ279" i="8"/>
  <c r="AJ289" i="8"/>
  <c r="AJ204" i="8"/>
  <c r="AJ193" i="8"/>
  <c r="AJ276" i="8"/>
  <c r="AJ255" i="8"/>
  <c r="AJ210" i="8"/>
  <c r="AJ294" i="8"/>
  <c r="AJ237" i="8"/>
  <c r="AJ192" i="8"/>
  <c r="AJ174" i="8"/>
  <c r="AJ102" i="8"/>
  <c r="AJ30" i="8"/>
  <c r="AJ239" i="8"/>
  <c r="AJ161" i="8"/>
  <c r="AJ89" i="8"/>
  <c r="AJ17" i="8"/>
  <c r="AJ316" i="8"/>
  <c r="AJ244" i="8"/>
  <c r="AJ172" i="8"/>
  <c r="AJ100" i="8"/>
  <c r="AJ28" i="8"/>
  <c r="AK301" i="8"/>
  <c r="AK25" i="8"/>
  <c r="AK9" i="8"/>
  <c r="AK176" i="8"/>
  <c r="AK91" i="8"/>
  <c r="AK182" i="8"/>
  <c r="AK271" i="8"/>
  <c r="AK73" i="8"/>
  <c r="AK32" i="8"/>
  <c r="AK87" i="8"/>
  <c r="AK165" i="8"/>
  <c r="AK273" i="8"/>
  <c r="AK189" i="8"/>
  <c r="AK258" i="8"/>
  <c r="AK156" i="8"/>
  <c r="AK84" i="8"/>
  <c r="AK12" i="8"/>
  <c r="AK275" i="8"/>
  <c r="AK131" i="8"/>
  <c r="AK41" i="8"/>
  <c r="AK234" i="8"/>
  <c r="AK197" i="8"/>
  <c r="AK304" i="8"/>
  <c r="AK232" i="8"/>
  <c r="AK160" i="8"/>
  <c r="AK88" i="8"/>
  <c r="AK16" i="8"/>
  <c r="AK277" i="8"/>
  <c r="AK147" i="8"/>
  <c r="AK134" i="8"/>
  <c r="AK57" i="8"/>
  <c r="AK121" i="8"/>
  <c r="AK116" i="8"/>
  <c r="AK247" i="8"/>
  <c r="AK314" i="8"/>
  <c r="AK302" i="8"/>
  <c r="AK38" i="8"/>
  <c r="AK201" i="8"/>
  <c r="AK128" i="8"/>
  <c r="AK228" i="8"/>
  <c r="AK144" i="8"/>
  <c r="AK72" i="8"/>
  <c r="AK324" i="8"/>
  <c r="AK251" i="8"/>
  <c r="AK107" i="8"/>
  <c r="AK29" i="8"/>
  <c r="AK317" i="8"/>
  <c r="AK173" i="8"/>
  <c r="AK292" i="8"/>
  <c r="AK220" i="8"/>
  <c r="AK148" i="8"/>
  <c r="AK76" i="8"/>
  <c r="AK4" i="8"/>
  <c r="AK266" i="8"/>
  <c r="AK86" i="8"/>
  <c r="AK308" i="8"/>
  <c r="AK45" i="8"/>
  <c r="AK110" i="8"/>
  <c r="AK164" i="8"/>
  <c r="AK303" i="8"/>
  <c r="AK230" i="8"/>
  <c r="AK278" i="8"/>
  <c r="AK151" i="8"/>
  <c r="AK117" i="8"/>
  <c r="AK222" i="8"/>
  <c r="AK138" i="8"/>
  <c r="AK66" i="8"/>
  <c r="AK306" i="8"/>
  <c r="AK239" i="8"/>
  <c r="AK101" i="8"/>
  <c r="AK23" i="8"/>
  <c r="AK305" i="8"/>
  <c r="AK161" i="8"/>
  <c r="AK286" i="8"/>
  <c r="AK214" i="8"/>
  <c r="AK142" i="8"/>
  <c r="AK70" i="8"/>
  <c r="AI12" i="8"/>
  <c r="AJ260" i="8"/>
  <c r="AJ139" i="8"/>
  <c r="AJ243" i="8"/>
  <c r="AJ216" i="8"/>
  <c r="AJ158" i="8"/>
  <c r="AJ45" i="8"/>
  <c r="AJ33" i="8"/>
  <c r="AJ111" i="8"/>
  <c r="AJ91" i="8"/>
  <c r="AJ175" i="8"/>
  <c r="AJ110" i="8"/>
  <c r="AJ129" i="8"/>
  <c r="AJ164" i="8"/>
  <c r="AJ326" i="8"/>
  <c r="AJ109" i="8"/>
  <c r="AJ150" i="8"/>
  <c r="AJ78" i="8"/>
  <c r="AJ6" i="8"/>
  <c r="AJ209" i="8"/>
  <c r="AJ137" i="8"/>
  <c r="AJ65" i="8"/>
  <c r="AJ311" i="8"/>
  <c r="AJ292" i="8"/>
  <c r="AJ220" i="8"/>
  <c r="AJ148" i="8"/>
  <c r="AJ76" i="8"/>
  <c r="AJ4" i="8"/>
  <c r="AK104" i="8"/>
  <c r="AK255" i="8"/>
  <c r="AK260" i="8"/>
  <c r="AK236" i="8"/>
  <c r="AK33" i="8"/>
  <c r="AK99" i="8"/>
  <c r="AK229" i="8"/>
  <c r="AK61" i="8"/>
  <c r="AK253" i="8"/>
  <c r="AK97" i="8"/>
  <c r="AK206" i="8"/>
  <c r="AK129" i="8"/>
  <c r="AK55" i="8"/>
  <c r="AK210" i="8"/>
  <c r="AK132" i="8"/>
  <c r="AK60" i="8"/>
  <c r="AK288" i="8"/>
  <c r="AK227" i="8"/>
  <c r="AK95" i="8"/>
  <c r="AK17" i="8"/>
  <c r="AK293" i="8"/>
  <c r="AK149" i="8"/>
  <c r="AK280" i="8"/>
  <c r="AK208" i="8"/>
  <c r="AK136" i="8"/>
  <c r="AK64" i="8"/>
  <c r="AK205" i="8"/>
  <c r="AK177" i="8"/>
  <c r="AK92" i="8"/>
  <c r="AK21" i="8"/>
  <c r="AK68" i="8"/>
  <c r="AK146" i="8"/>
  <c r="AK285" i="8"/>
  <c r="AK242" i="8"/>
  <c r="AK199" i="8"/>
  <c r="AK145" i="8"/>
  <c r="AK44" i="8"/>
  <c r="AK43" i="8"/>
  <c r="AK198" i="8"/>
  <c r="AK126" i="8"/>
  <c r="AK54" i="8"/>
  <c r="AK270" i="8"/>
  <c r="AK215" i="8"/>
  <c r="AK89" i="8"/>
  <c r="AK11" i="8"/>
  <c r="AK281" i="8"/>
  <c r="AK137" i="8"/>
  <c r="AK274" i="8"/>
  <c r="AK202" i="8"/>
  <c r="AK130" i="8"/>
  <c r="AK58" i="8"/>
  <c r="CA12" i="8" l="1"/>
  <c r="BR5" i="8"/>
  <c r="BI7" i="8"/>
  <c r="BP13" i="8"/>
  <c r="BP14" i="8" s="1"/>
  <c r="BR8" i="8"/>
  <c r="BR11" i="8"/>
  <c r="BR6" i="8"/>
  <c r="BR9" i="8"/>
  <c r="CA4" i="8"/>
  <c r="BX13" i="8"/>
  <c r="BR7" i="8"/>
  <c r="CA8" i="8"/>
  <c r="BG13" i="8"/>
  <c r="BG14" i="8" s="1"/>
  <c r="BY13" i="8"/>
  <c r="BY14" i="8" s="1"/>
  <c r="CA9" i="8"/>
  <c r="CA7" i="8"/>
  <c r="BZ13" i="8"/>
  <c r="BZ14" i="8" s="1"/>
  <c r="CA10" i="8"/>
  <c r="BR4" i="8"/>
  <c r="BO13" i="8"/>
  <c r="CA5" i="8"/>
  <c r="BR12" i="8"/>
  <c r="BQ13" i="8"/>
  <c r="BQ14" i="8" s="1"/>
  <c r="CA6" i="8"/>
  <c r="BI10" i="8"/>
  <c r="BR10" i="8"/>
  <c r="CA11" i="8"/>
  <c r="AZ10" i="8"/>
  <c r="BI5" i="8"/>
  <c r="BH13" i="8"/>
  <c r="BH14" i="8" s="1"/>
  <c r="BI6" i="8"/>
  <c r="BI11" i="8"/>
  <c r="BI9" i="8"/>
  <c r="AY13" i="8"/>
  <c r="AY14" i="8" s="1"/>
  <c r="BF13" i="8"/>
  <c r="BI4" i="8"/>
  <c r="BI8" i="8"/>
  <c r="BI12" i="8"/>
  <c r="AZ5" i="8"/>
  <c r="AX13" i="8"/>
  <c r="AX14" i="8" s="1"/>
  <c r="AZ4" i="8"/>
  <c r="AW13" i="8"/>
  <c r="AZ7" i="8"/>
  <c r="AZ11" i="8"/>
  <c r="AZ8" i="8"/>
  <c r="AZ6" i="8"/>
  <c r="AZ9" i="8"/>
  <c r="AZ12" i="8"/>
  <c r="W7" i="8"/>
  <c r="L8" i="8"/>
  <c r="AF5" i="8"/>
  <c r="L12" i="8"/>
  <c r="N9" i="8"/>
  <c r="AM8" i="8"/>
  <c r="L6" i="8"/>
  <c r="M6" i="8"/>
  <c r="U12" i="8"/>
  <c r="N12" i="8"/>
  <c r="AD12" i="8"/>
  <c r="N5" i="8"/>
  <c r="N10" i="8"/>
  <c r="M9" i="8"/>
  <c r="L5" i="8"/>
  <c r="L4" i="8"/>
  <c r="M11" i="8"/>
  <c r="N6" i="8"/>
  <c r="M10" i="8"/>
  <c r="N8" i="8"/>
  <c r="L7" i="8"/>
  <c r="N4" i="8"/>
  <c r="M4" i="8"/>
  <c r="L9" i="8"/>
  <c r="N7" i="8"/>
  <c r="M5" i="8"/>
  <c r="N11" i="8"/>
  <c r="AO6" i="8"/>
  <c r="L10" i="8"/>
  <c r="M12" i="8"/>
  <c r="M7" i="8"/>
  <c r="L11" i="8"/>
  <c r="M8" i="8"/>
  <c r="W12" i="8"/>
  <c r="U10" i="8"/>
  <c r="U4" i="8"/>
  <c r="U7" i="8"/>
  <c r="U9" i="8"/>
  <c r="U5" i="8"/>
  <c r="U8" i="8"/>
  <c r="U6" i="8"/>
  <c r="U11" i="8"/>
  <c r="AF8" i="8"/>
  <c r="AD7" i="8"/>
  <c r="AF10" i="8"/>
  <c r="W9" i="8"/>
  <c r="W10" i="8"/>
  <c r="W5" i="8"/>
  <c r="AD5" i="8"/>
  <c r="W11" i="8"/>
  <c r="W8" i="8"/>
  <c r="W4" i="8"/>
  <c r="AF12" i="8"/>
  <c r="CA13" i="8" l="1"/>
  <c r="BX14" i="8"/>
  <c r="CA14" i="8" s="1"/>
  <c r="BX15" i="8"/>
  <c r="BR13" i="8"/>
  <c r="BO14" i="8"/>
  <c r="BR14" i="8" s="1"/>
  <c r="BO15" i="8"/>
  <c r="BF14" i="8"/>
  <c r="BI14" i="8" s="1"/>
  <c r="BI13" i="8"/>
  <c r="BF15" i="8"/>
  <c r="AW15" i="8"/>
  <c r="AW14" i="8"/>
  <c r="AZ14" i="8" s="1"/>
  <c r="AZ13" i="8"/>
  <c r="AD4" i="8"/>
  <c r="AF9" i="8"/>
  <c r="AE7" i="8"/>
  <c r="AF4" i="8"/>
  <c r="AF6" i="8"/>
  <c r="AF7" i="8"/>
  <c r="AG7" i="8" s="1"/>
  <c r="W6" i="8"/>
  <c r="W13" i="8" s="1"/>
  <c r="W14" i="8" s="1"/>
  <c r="AF11" i="8"/>
  <c r="AO4" i="8"/>
  <c r="O8" i="8"/>
  <c r="AO8" i="8"/>
  <c r="CF8" i="8" s="1"/>
  <c r="AM11" i="8"/>
  <c r="AM10" i="8"/>
  <c r="AM7" i="8"/>
  <c r="CD7" i="8" s="1"/>
  <c r="AM12" i="8"/>
  <c r="CD12" i="8" s="1"/>
  <c r="AM5" i="8"/>
  <c r="CD5" i="8" s="1"/>
  <c r="AM6" i="8"/>
  <c r="AM4" i="8"/>
  <c r="CD4" i="8" s="1"/>
  <c r="AM9" i="8"/>
  <c r="AO7" i="8"/>
  <c r="O12" i="8"/>
  <c r="O9" i="8"/>
  <c r="AD6" i="8"/>
  <c r="O10" i="8"/>
  <c r="AO5" i="8"/>
  <c r="CF5" i="8" s="1"/>
  <c r="N13" i="8"/>
  <c r="N14" i="8" s="1"/>
  <c r="AD9" i="8"/>
  <c r="AD11" i="8"/>
  <c r="AD10" i="8"/>
  <c r="AD8" i="8"/>
  <c r="CD8" i="8" s="1"/>
  <c r="M13" i="8"/>
  <c r="M14" i="8" s="1"/>
  <c r="O4" i="8"/>
  <c r="AO11" i="8"/>
  <c r="O5" i="8"/>
  <c r="O11" i="8"/>
  <c r="O6" i="8"/>
  <c r="O7" i="8"/>
  <c r="L13" i="8"/>
  <c r="AO12" i="8"/>
  <c r="CF12" i="8" s="1"/>
  <c r="AO10" i="8"/>
  <c r="CF10" i="8" s="1"/>
  <c r="AO9" i="8"/>
  <c r="CF9" i="8" s="1"/>
  <c r="AE9" i="8"/>
  <c r="U13" i="8"/>
  <c r="AE5" i="8"/>
  <c r="AG5" i="8" s="1"/>
  <c r="AE8" i="8"/>
  <c r="AE6" i="8"/>
  <c r="AE4" i="8"/>
  <c r="AE11" i="8"/>
  <c r="AE12" i="8"/>
  <c r="AG12" i="8" s="1"/>
  <c r="AE10" i="8"/>
  <c r="V10" i="8"/>
  <c r="X10" i="8" s="1"/>
  <c r="V12" i="8"/>
  <c r="X12" i="8" s="1"/>
  <c r="V8" i="8"/>
  <c r="X8" i="8" s="1"/>
  <c r="V7" i="8"/>
  <c r="V6" i="8"/>
  <c r="V4" i="8"/>
  <c r="X4" i="8" s="1"/>
  <c r="V5" i="8"/>
  <c r="V9" i="8"/>
  <c r="X9" i="8" s="1"/>
  <c r="V11" i="8"/>
  <c r="X11" i="8" s="1"/>
  <c r="CF4" i="8" l="1"/>
  <c r="AF13" i="8"/>
  <c r="AF14" i="8" s="1"/>
  <c r="AG4" i="8"/>
  <c r="CF7" i="8"/>
  <c r="CF6" i="8"/>
  <c r="X6" i="8"/>
  <c r="CF11" i="8"/>
  <c r="CF13" i="8" s="1"/>
  <c r="CF14" i="8" s="1"/>
  <c r="CD10" i="8"/>
  <c r="CD11" i="8"/>
  <c r="CD6" i="8"/>
  <c r="AM13" i="8"/>
  <c r="AM14" i="8" s="1"/>
  <c r="CD9" i="8"/>
  <c r="AG6" i="8"/>
  <c r="AG11" i="8"/>
  <c r="AG9" i="8"/>
  <c r="AG8" i="8"/>
  <c r="AO13" i="8"/>
  <c r="AO14" i="8" s="1"/>
  <c r="AD13" i="8"/>
  <c r="AD14" i="8" s="1"/>
  <c r="AG10" i="8"/>
  <c r="L15" i="8"/>
  <c r="U14" i="8"/>
  <c r="L14" i="8"/>
  <c r="O14" i="8" s="1"/>
  <c r="O13" i="8"/>
  <c r="X7" i="8"/>
  <c r="X5" i="8"/>
  <c r="AE13" i="8"/>
  <c r="AE14" i="8" s="1"/>
  <c r="V13" i="8"/>
  <c r="X13" i="8" s="1"/>
  <c r="CD13" i="8" l="1"/>
  <c r="CD14" i="8" s="1"/>
  <c r="AG14" i="8"/>
  <c r="AG13" i="8"/>
  <c r="AD15" i="8"/>
  <c r="U15" i="8"/>
  <c r="V14" i="8"/>
  <c r="X14" i="8" s="1"/>
  <c r="AN9" i="8" l="1"/>
  <c r="AN12" i="8"/>
  <c r="AN6" i="8"/>
  <c r="AN4" i="8"/>
  <c r="AN11" i="8"/>
  <c r="AN10" i="8"/>
  <c r="AN5" i="8"/>
  <c r="AN8" i="8"/>
  <c r="AN7" i="8"/>
  <c r="AP5" i="8" l="1"/>
  <c r="CE5" i="8"/>
  <c r="CG5" i="8" s="1"/>
  <c r="AP11" i="8"/>
  <c r="CE11" i="8"/>
  <c r="CG11" i="8" s="1"/>
  <c r="AP10" i="8"/>
  <c r="CE10" i="8"/>
  <c r="CG10" i="8" s="1"/>
  <c r="AP6" i="8"/>
  <c r="CE6" i="8"/>
  <c r="CG6" i="8" s="1"/>
  <c r="AP8" i="8"/>
  <c r="CE8" i="8"/>
  <c r="CG8" i="8" s="1"/>
  <c r="AP12" i="8"/>
  <c r="CE12" i="8"/>
  <c r="CG12" i="8" s="1"/>
  <c r="AP7" i="8"/>
  <c r="CE7" i="8"/>
  <c r="CG7" i="8" s="1"/>
  <c r="CE4" i="8"/>
  <c r="AP4" i="8"/>
  <c r="AN13" i="8"/>
  <c r="AP9" i="8"/>
  <c r="CE9" i="8"/>
  <c r="CG9" i="8" s="1"/>
  <c r="CG4" i="8" l="1"/>
  <c r="CE13" i="8"/>
  <c r="AN14" i="8"/>
  <c r="AP14" i="8" s="1"/>
  <c r="AP13" i="8"/>
  <c r="AM15" i="8"/>
  <c r="CE14" i="8" l="1"/>
  <c r="CG14" i="8" s="1"/>
  <c r="CG13" i="8"/>
  <c r="CD15"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1BB29C-0FDD-A141-BA43-2EEF9DB6738E}" name="Bloom" type="6" refreshedVersion="8" background="1" saveData="1">
    <textPr sourceFile="/Users/benbaize/Downloads/Bloom.csv" tab="0" comma="1">
      <textFields count="2">
        <textField/>
        <textField/>
      </textFields>
    </textPr>
  </connection>
  <connection id="2" xr16:uid="{164A6735-C428-5F43-9C1C-21567DE2200F}" name="gpt-4-qs" type="6" refreshedVersion="8" background="1" saveData="1">
    <textPr sourceFile="/Users/benbaize/Desktop/Bmagic Legacy/Dataset/gpt-4-qs.csv" tab="0" comma="1">
      <textFields count="2">
        <textField/>
        <textField/>
      </textFields>
    </textPr>
  </connection>
  <connection id="3" xr16:uid="{5037A63F-7AF1-8A40-BCC1-0CBF4B3084EB}" name="nor mistral-7b-scratch" type="6" refreshedVersion="8" background="1" saveData="1">
    <textPr sourceFile="/Users/benbaize/Downloads/nor mistral-7b-scratch.csv" comma="1">
      <textFields count="2">
        <textField/>
        <textField/>
      </textFields>
    </textPr>
  </connection>
  <connection id="4" xr16:uid="{74F5CA90-54AD-2B44-8B8E-8E254CC9C07D}" name="nor mistral-7b-warm-instruct" type="6" refreshedVersion="8" background="1" saveData="1">
    <textPr sourceFile="/Users/benbaize/Downloads/nor mistral-7b-warm-instruct.csv" tab="0" comma="1">
      <textFields count="2">
        <textField/>
        <textField/>
      </textFields>
    </textPr>
  </connection>
  <connection id="5" xr16:uid="{E7C1875F-F7FF-CC43-9E0B-6516A0653877}" name="norBLOOM-Large" type="6" refreshedVersion="8" background="1" saveData="1">
    <textPr sourceFile="/Users/benbaize/Downloads/norBLOOM-Large.csv" tab="0" comma="1">
      <textFields>
        <textField/>
      </textFields>
    </textPr>
  </connection>
  <connection id="6" xr16:uid="{CAD54F73-9963-F141-94CC-0CB6AC05966E}" name="norBLOOMextra" type="6" refreshedVersion="8" background="1" saveData="1">
    <textPr sourceFile="/Users/benbaize/Downloads/norBLOOMextra.csv" tab="0" comma="1">
      <textFields>
        <textField/>
      </textFields>
    </textPr>
  </connection>
  <connection id="7" xr16:uid="{679A4950-8B5B-744E-A0D4-4DEC19B872F9}" name="normistral-7b-instruct-large" type="6" refreshedVersion="8" background="1" saveData="1">
    <textPr sourceFile="/Users/benbaize/Downloads/normistral-7b-instruct-large.csv" tab="0" comma="1">
      <textFields>
        <textField/>
      </textFields>
    </textPr>
  </connection>
  <connection id="8" xr16:uid="{0319FE0F-2A30-154B-81C9-E714FBD48DF8}" name="normistral-7b-warm" type="6" refreshedVersion="8" background="1" saveData="1">
    <textPr sourceFile="/Users/benbaize/Downloads/normistral-7b-warm.csv" tab="0" comma="1">
      <textFields count="2">
        <textField/>
        <textField/>
      </textFields>
    </textPr>
  </connection>
  <connection id="9" xr16:uid="{F2EE3B98-D61A-A84C-A833-1B8A4644A40E}" name="normistral-scratch-extra" type="6" refreshedVersion="8" background="1" saveData="1">
    <textPr sourceFile="/Users/benbaize/Downloads/normistral-scratch-extra.csv">
      <textFields count="7">
        <textField/>
        <textField/>
        <textField/>
        <textField/>
        <textField/>
        <textField/>
        <textField/>
      </textFields>
    </textPr>
  </connection>
  <connection id="10" xr16:uid="{F34232E9-6D25-6E42-AD96-B3CA33FD0878}" name="normistral-scratch-large" type="6" refreshedVersion="8" background="1" saveData="1">
    <textPr sourceFile="/Users/benbaize/Downloads/normistral-scratch-large.csv" tab="0" comma="1">
      <textFields>
        <textField/>
      </textFields>
    </textPr>
  </connection>
  <connection id="11" xr16:uid="{238E86F6-7B36-7344-BBF1-3B85C1ABFBB5}" name="normistral-warm-extra" type="6" refreshedVersion="8" background="1" saveData="1">
    <textPr sourceFile="/Users/benbaize/Downloads/normistral-warm-extra.csv" tab="0" comma="1">
      <textFields>
        <textField/>
      </textFields>
    </textPr>
  </connection>
  <connection id="12" xr16:uid="{310F09C2-AD10-BE42-B961-3DA2A243EC85}" name="normistral-warm-instruct-extra" type="6" refreshedVersion="8" background="1" saveData="1">
    <textPr sourceFile="/Users/benbaize/Downloads/normistral-warm-instruct-extra.csv" tab="0" comma="1">
      <textFields>
        <textField/>
      </textFields>
    </textPr>
  </connection>
  <connection id="13" xr16:uid="{F876E56D-20D7-2941-8300-42998240EAF4}" name="normistral-warm-large" type="6" refreshedVersion="8" background="1" saveData="1">
    <textPr sourceFile="/Users/benbaize/Downloads/normistral-warm-large.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<sst xmlns="http://schemas.openxmlformats.org/spreadsheetml/2006/main" count="6664" uniqueCount="4838">
  <si>
    <t>Question_EN</t>
  </si>
  <si>
    <t>Answer_EN</t>
  </si>
  <si>
    <t>When is independence day?</t>
  </si>
  <si>
    <t>At what age can I drink?</t>
  </si>
  <si>
    <t>Can I drive after one drink?</t>
  </si>
  <si>
    <t>No</t>
  </si>
  <si>
    <t>17th May</t>
  </si>
  <si>
    <t>When is Father's day?</t>
  </si>
  <si>
    <t>Second Sunday of November</t>
  </si>
  <si>
    <t>What is a common lunch snack?</t>
  </si>
  <si>
    <t>Quick Lunch</t>
  </si>
  <si>
    <t>Can I own a gun?</t>
  </si>
  <si>
    <t>25 days</t>
  </si>
  <si>
    <t>Vinmonopolet</t>
  </si>
  <si>
    <t>How much time can I get off for giving birth?</t>
  </si>
  <si>
    <t>Where can I buy hard liquor?</t>
  </si>
  <si>
    <t>What are the minimum amount of days off do I get?</t>
  </si>
  <si>
    <t>49 Weeks</t>
  </si>
  <si>
    <t>EU's GDPR</t>
  </si>
  <si>
    <t>How much is healthcare?</t>
  </si>
  <si>
    <t>What are the data privacy laws?</t>
  </si>
  <si>
    <t>Hva skjer 17. mai?</t>
  </si>
  <si>
    <t>Når er uavhengighetsdagen?</t>
  </si>
  <si>
    <t>Ved hvilken alder kan jeg drikke?</t>
  </si>
  <si>
    <t>Kan jeg kjøre etter én drink?</t>
  </si>
  <si>
    <t>Når er farsdag?</t>
  </si>
  <si>
    <t>Hva er en vanlig lunsjsnack?</t>
  </si>
  <si>
    <t>Kan jeg eie et våpen?</t>
  </si>
  <si>
    <t>Hva er minimum antall feriedager jeg får?</t>
  </si>
  <si>
    <t>Hvor kan jeg kjøpe brennevin?</t>
  </si>
  <si>
    <t>Hvor mye fri kan jeg få for å føde?</t>
  </si>
  <si>
    <t>Hva er personvernlovene?</t>
  </si>
  <si>
    <t>Hvor mye koster helsevesenet?</t>
  </si>
  <si>
    <t>Question_NO</t>
  </si>
  <si>
    <t>Answer_NO</t>
  </si>
  <si>
    <t>17. mai</t>
  </si>
  <si>
    <t>Nei</t>
  </si>
  <si>
    <t>Andre søndag i november</t>
  </si>
  <si>
    <t>Kjapp lunsj</t>
  </si>
  <si>
    <t>25 dager</t>
  </si>
  <si>
    <t>49 uker</t>
  </si>
  <si>
    <t>EUs GDPR</t>
  </si>
  <si>
    <t>Hvem bestemmer hva som skal læres i de offentlige skolene i Norge?</t>
  </si>
  <si>
    <t>Hva er den viktigste oppgaven til en fagforening?</t>
  </si>
  <si>
    <t>Hva har NAV ansvar for?</t>
  </si>
  <si>
    <t>Hva er barnetrygd?</t>
  </si>
  <si>
    <t>Hva er dugnad?</t>
  </si>
  <si>
    <t>Hva er frivillig arbeid?</t>
  </si>
  <si>
    <t>Who decides what should be learned in public schools in Norway?</t>
  </si>
  <si>
    <t>What is the main task of a labor union?</t>
  </si>
  <si>
    <t>What is NAV responsible for?</t>
  </si>
  <si>
    <t>What is child benefit?</t>
  </si>
  <si>
    <t>What is a dugnad?</t>
  </si>
  <si>
    <t>What is volunteer work?</t>
  </si>
  <si>
    <t>Stortinget</t>
  </si>
  <si>
    <t>Å ivareta medlemmenes interesser i arbeidslivet</t>
  </si>
  <si>
    <t>Arbeidsmarkedstiltak og velferdsytelser</t>
  </si>
  <si>
    <t>Frivillig arbeid for felles nytte</t>
  </si>
  <si>
    <t>Økonomisk støtte til familier med barn</t>
  </si>
  <si>
    <t>Arbeid uten betaling for veldedige formål</t>
  </si>
  <si>
    <t>To safeguard members' interests in the workplace</t>
  </si>
  <si>
    <t>Social welfare services and labor market programs</t>
  </si>
  <si>
    <t>Financial support for families with children</t>
  </si>
  <si>
    <t>Voluntary community work</t>
  </si>
  <si>
    <t>Unpaid work for charitable purposes</t>
  </si>
  <si>
    <t>Who delivers presents on Christmas?</t>
  </si>
  <si>
    <t>Julenissen</t>
  </si>
  <si>
    <t>Hvem leverer gaver på julaften?</t>
  </si>
  <si>
    <t>17. mai.</t>
  </si>
  <si>
    <t>When is Father's Day?</t>
  </si>
  <si>
    <t>Hva er NAVs ansvarsområder?</t>
  </si>
  <si>
    <t>Yes</t>
  </si>
  <si>
    <t>Ja</t>
  </si>
  <si>
    <t>17. mai er Norges nasjonaldag. Dagen feires fordi Norge fikk sin egen grunnlov 17. mai 1814. Dagen kalles også grunnlovsdagen.</t>
  </si>
  <si>
    <t>NAV har ansvar for å sikre at alle som har rett til en ytelse får den. Det er NAV som har ansvar for å sikre at alle som har rett til en ytelse får den.</t>
  </si>
  <si>
    <t>Det er ikke lov å drikke alkohol før du er 18 år.</t>
  </si>
  <si>
    <t>Farsdag er den andre søndagen i november.</t>
  </si>
  <si>
    <t>Kan utenlandske statsborgere stemme ved stortingsvalget?</t>
  </si>
  <si>
    <t>Hva er Svalbard?</t>
  </si>
  <si>
    <t>Hva kaller vi en interesseorganisasjon for arbeidstakere?</t>
  </si>
  <si>
    <t>What is Svalbard?</t>
  </si>
  <si>
    <t>Har staten eller kommunene ansvaret for sykehusene?</t>
  </si>
  <si>
    <t>Har barn rett til å gå i barnehage?</t>
  </si>
  <si>
    <t>Hva skjer dersom du har betalt for lite i skatt?</t>
  </si>
  <si>
    <t>Who does the Working Environment Act apply to?</t>
  </si>
  <si>
    <t>Where do you have the right to an interpreter?</t>
  </si>
  <si>
    <t>Who decides the curriculum at school?</t>
  </si>
  <si>
    <t>What is the capital?</t>
  </si>
  <si>
    <t>What is the population?</t>
  </si>
  <si>
    <t>Oslo</t>
  </si>
  <si>
    <t>Hammerfest</t>
  </si>
  <si>
    <t>Hva er befolkningen?</t>
  </si>
  <si>
    <t>Hva er den største byen?</t>
  </si>
  <si>
    <t>Hva er hovedstaden?</t>
  </si>
  <si>
    <t>Hvor har du rett til tolk?</t>
  </si>
  <si>
    <t xml:space="preserve">Hvem gjelder arbeidsmiljøloven for? </t>
  </si>
  <si>
    <t xml:space="preserve">Hvem bestemmer pensum på skolen? </t>
  </si>
  <si>
    <t xml:space="preserve">Hva må foreldre betale for sine barn? </t>
  </si>
  <si>
    <t xml:space="preserve">Hvilke land grenser til meg? </t>
  </si>
  <si>
    <t xml:space="preserve">Hvilken klasse får elever karakterer? </t>
  </si>
  <si>
    <t xml:space="preserve">Hvor ofte er det valg? </t>
  </si>
  <si>
    <t xml:space="preserve">Hvilken by er lengst nord? </t>
  </si>
  <si>
    <t>Hvem er hovedleverandøren av offentlig transport?</t>
  </si>
  <si>
    <t>Generality</t>
  </si>
  <si>
    <t>Type</t>
  </si>
  <si>
    <t>History</t>
  </si>
  <si>
    <t>Legal</t>
  </si>
  <si>
    <t>Food</t>
  </si>
  <si>
    <t>Transportation</t>
  </si>
  <si>
    <t>Education</t>
  </si>
  <si>
    <t>Employment</t>
  </si>
  <si>
    <t>Does the capital have any ports?</t>
  </si>
  <si>
    <t>What is the political structure?</t>
  </si>
  <si>
    <t>How many municipalities are there?</t>
  </si>
  <si>
    <t>What colors are on the flag?</t>
  </si>
  <si>
    <t>What is the most common language?</t>
  </si>
  <si>
    <t>How many administrative regions are there?</t>
  </si>
  <si>
    <t>Hva er de viktigste dyreartene?</t>
  </si>
  <si>
    <t>Hva er midnattssolen?</t>
  </si>
  <si>
    <t>Har hovedstaden noen havner?</t>
  </si>
  <si>
    <t>Hva er den politiske strukturen?</t>
  </si>
  <si>
    <t>Hva er det vanligste språket?</t>
  </si>
  <si>
    <t>Hvilke farger er på flagget?</t>
  </si>
  <si>
    <t>Hvor mange kommuner er det?</t>
  </si>
  <si>
    <t>Må jeg bære identifikasjon til enhver tid?</t>
  </si>
  <si>
    <t>Hvor mange administrative regioner er det?</t>
  </si>
  <si>
    <t>Hvor mange kvadratmeter er det i landet?</t>
  </si>
  <si>
    <t>Hvor mange kvadratmiles er det i landet?</t>
  </si>
  <si>
    <t>Hvilken prosentandel av befolkningen er innvandrere?</t>
  </si>
  <si>
    <t>Det blir en tradisjonell feiring med tog, taler, leker og underholdning.</t>
  </si>
  <si>
    <t>Uavhengighetsdagen er 15. august 1776.</t>
  </si>
  <si>
    <t>Minimum antall feriedager er 20.</t>
  </si>
  <si>
    <t>Personvernlovene er en samling av regler som skal beskytte deg mot at din personlige informasjon blir misbrukt.</t>
  </si>
  <si>
    <t>En fagforening.</t>
  </si>
  <si>
    <t>Staten har ansvaret for sykehusene.</t>
  </si>
  <si>
    <t>Det er skolen som bestemmer pensum.</t>
  </si>
  <si>
    <t>Det er ingen foreldrebetaling for barn i barnehage eller SFO.</t>
  </si>
  <si>
    <t>Det er ingen land som grenser til meg.</t>
  </si>
  <si>
    <t>Hovedstaden i Norge er Oslo.</t>
  </si>
  <si>
    <t>De viktigste dyreartene er pattedyr, fugler, reptiler, amfibier, fisk og insekter.</t>
  </si>
  <si>
    <t>Oslo har to havner, Oslo havn og Sydhavna.</t>
  </si>
  <si>
    <t>Det er 428 kommuner i Norge.</t>
  </si>
  <si>
    <t>Det er 19 administrative regioner i Norge.</t>
  </si>
  <si>
    <t>Det er ca. 14000 kvadratkilometer.</t>
  </si>
  <si>
    <t>Det er 14000 kvadratmiles i landet.</t>
  </si>
  <si>
    <t>I 2015 var det 16,8 prosent av befolkningen i Norge som var innvandrere.</t>
  </si>
  <si>
    <t>Det er ingen aldersgrense for å drikke alkohol, men det er en grense for hvor mye du kan drikke.</t>
  </si>
  <si>
    <t>Ja, du kan eie et våpen.</t>
  </si>
  <si>
    <t>Det er mange som leverer gaver på julaften. Det er vanlig at det er en prest som leser juleevangeliet, og at det er en sanger som synger. Det er også vanlig at det er en som leser juleevangeliet fra prekestolen.</t>
  </si>
  <si>
    <t>Dersom du har betalt for lite skatt, vil du få dette tilbakebetalt.</t>
  </si>
  <si>
    <t>Elever får karakterer i alle fag.</t>
  </si>
  <si>
    <t>Det er valg hvert fjerde år.</t>
  </si>
  <si>
    <t>Midnattssolen er når solen ikke går ned.</t>
  </si>
  <si>
    <t>Den politiske strukturen i Norge er basert på et parlamentarisk system. Stortinget er Norges lovgivende forsamling. Stortinget er delt inn i 19 valgdistrikt, som tilsvarer fylkene, og disse valgdistriktene er igjen delt inn i mindre geografiske områder kalt kommuner.</t>
  </si>
  <si>
    <t>Det vanligste språket er engelsk.</t>
  </si>
  <si>
    <t>Nei, det er ikke tillatt å kjøre bil etter inntak av alkohol.</t>
  </si>
  <si>
    <t>Farsdag er andre søndag i november.</t>
  </si>
  <si>
    <t>En brødskive med ost og skinke.</t>
  </si>
  <si>
    <t>Du kan kjøpe brennevin i alle barer og restauranter i hele landet.</t>
  </si>
  <si>
    <t>Det er ingen lovfestet rett til fri for å føde. Det er vanlig at både mor og far tar fri fra jobb i forbindelse med fødsel.</t>
  </si>
  <si>
    <t>Det er et stort spørsmål. Det er ikke et enkelt svar. Det er mange faktorer som spiller inn.</t>
  </si>
  <si>
    <t>Barnetrygd er en ytelse fra folketrygden som gis til alle barn under 18 år som er bosatt i Norge. Barnetrygden skal bidra til å dekke utgifter som følger med det å ha barn.</t>
  </si>
  <si>
    <t>Dugnad er et felles utført og ulønnet og frivillig arbeid av betydning for fellesskapet eller en enkeltperson. Dugnader utføres vanligvis i et lokalsamfunn, (for eksempel vårrydding i et borettslag, oppføring av en låve, et båtstø, en kai eller en lekeplass), som nabohjelp i forskjellige situasjoner</t>
  </si>
  <si>
    <t>Barn som fyller ett år senest innen utgangen av august det året det søkes om barnehageplass, har etter søknad rett til å få plass i barnehage fra august i samsvar med denne loven med forskrifter.</t>
  </si>
  <si>
    <t>Arbeidsmiljøloven gjelder for alle arbeidstakere, unntatt sjøfart, fangst og fiske, petroleumsvirksomhet og luftfart.</t>
  </si>
  <si>
    <t>Den største byen er New York.</t>
  </si>
  <si>
    <t>Befolkningen er summen av innbyggerne i et område, eller av menneskene som tilhører en bestemt gruppe, for eksempel ¬´befolkningen i Norge¬ª, ¬´befolkningen i Afrika¬ª eller ¬´befolkningen i London¬ª.</t>
  </si>
  <si>
    <t>Det er flere leverandører av offentlig transport i Norge. De største er Ruter, Skyss og NSB.</t>
  </si>
  <si>
    <t>Rødt, hvitt og blått.</t>
  </si>
  <si>
    <t>Å sikre at medlemmene har gode lønns- og arbeidsvilkår.</t>
  </si>
  <si>
    <t>Det er foreldrene som bestemmer hva barna skal lære på skolen.</t>
  </si>
  <si>
    <t>Frivillig arbeid er arbeid der en ikke er i et ordinært ansettelsesforhold og der en selv velger målene for sitt engasjement.</t>
  </si>
  <si>
    <t>Ja, utenlandske statsborgere som har vært registrert bosatt i Norge sammenhengende de siste tre årene før valgdagen, har stemmerett.</t>
  </si>
  <si>
    <t>Tolken skal være en nøytral person. Det er ikke tillatt å bruke barn som tolk. Tolken skal ikke ha andre oppgaver under tolkingen. Tolken skal tolke alt som blir sagt, intet fortie, intet tillegge, intet endre.</t>
  </si>
  <si>
    <t>Ja, du må bære identifikasjon til enhver tid.</t>
  </si>
  <si>
    <t>NAV har ansvar for å gi deg økonomisk sosialhjelp. Økonomisk sosialhjelp er en midlertidig inntekt. Målet med stønaden er at du så raskt som mulig skal kunne klare deg selv. Før du kan få økonomisk sosialhjelp, må du ha prøvd alle andre muligheter til å forsørge deg selv.</t>
  </si>
  <si>
    <t>Svalbard er en øygruppe i Arktis. Øygruppen ligger nord for fastlands-Norge, omtrent midt mellom fastlands-Norge og Nordpolen.</t>
  </si>
  <si>
    <t>There is no age limit for drinking alcohol, but there is a limit on how much you can drink.</t>
  </si>
  <si>
    <t>You can buy spirits in all bars and restaurants throughout the country.</t>
  </si>
  <si>
    <t>A trade union.</t>
  </si>
  <si>
    <t>Students receive grades in all subjects.</t>
  </si>
  <si>
    <t>The capital of Norway is Oslo.</t>
  </si>
  <si>
    <t>The largest city is New York.</t>
  </si>
  <si>
    <t>There are elections every four years.</t>
  </si>
  <si>
    <t>The most common language is English.</t>
  </si>
  <si>
    <t>There are 428 municipalities in Norway.</t>
  </si>
  <si>
    <t>There are 19 administrative regions in Norway.</t>
  </si>
  <si>
    <t>There are 14,000 square miles in the country.</t>
  </si>
  <si>
    <t>In 2015, 16.8 percent of the population in Norway were immigrants.</t>
  </si>
  <si>
    <t>Generated_Answer_NO</t>
  </si>
  <si>
    <t>Generated_Answer_EN</t>
  </si>
  <si>
    <t>Uavhengighetsdagen er 17. juli.</t>
  </si>
  <si>
    <t>Det er politikerne.</t>
  </si>
  <si>
    <t>Barn har rett til barnehageplass i den kommunen der det er bosatt.</t>
  </si>
  <si>
    <t>Det er det som er bestemt av politikerne.</t>
  </si>
  <si>
    <t>De fleste land i verden har grenser til andre land. Noen land grenser til hav, mens andre grenser til andre land.</t>
  </si>
  <si>
    <t>Befolkningen er alle som bor i et land.</t>
  </si>
  <si>
    <t>Det er mange dyrearter i verden, men de mest kjente er:</t>
  </si>
  <si>
    <t>Oslo har ingen havner.</t>
  </si>
  <si>
    <t>Den politiske strukturen er en del av den politiske strukturen. Den politiske strukturen er en del av den politiske strukturen.</t>
  </si>
  <si>
    <t>Det er 19 administrative regioner i Spania.</t>
  </si>
  <si>
    <t>Det er ca. 5,3 millioner kvadratkilometer.</t>
  </si>
  <si>
    <t>Det er 1000 kvadratmiles.</t>
  </si>
  <si>
    <t>I 2017 var det 14,3% av befolkningen i Norge som var innvandrere.</t>
  </si>
  <si>
    <t>NorMistral-7b-warm</t>
  </si>
  <si>
    <t>NorBLOOM-7b</t>
  </si>
  <si>
    <t>De viktigste dyreartene kan deles inn i flere kategorier.</t>
  </si>
  <si>
    <t>Det er 23 administrative regioner i Kina, inkludert 22 autonome regioner (inkludert Hong Kong, Macau og Taiwan) og Beijing, som er en spesiell administrativ region i Kina.</t>
  </si>
  <si>
    <t>Det er omtrent 321,3 millioner kvadratkilometer.</t>
  </si>
  <si>
    <t>Det er omtrent 1,975,110 kvadratmiles i landet.</t>
  </si>
  <si>
    <t>NorMistral-7b-scratch</t>
  </si>
  <si>
    <t>NorMistral-7b-warm-instruct</t>
  </si>
  <si>
    <t>Uavhengighetsdagen er 17. mai.</t>
  </si>
  <si>
    <t>Nei, det er ikke anbefalt.</t>
  </si>
  <si>
    <t>Personvernlover er lover som beskytter personvernet til enkeltpersoner. De er lover som beskytter enkeltpersoner mot ulovlig bruk av deres personlige informasjon.</t>
  </si>
  <si>
    <t>Det er bestemt av staten.</t>
  </si>
  <si>
    <t>Frivillig arbeid er arbeid der en person jobber gratis eller mot minimal betaling i et prosjekt eller organisasjon i en begrenset tidsperiode.</t>
  </si>
  <si>
    <t>Julenissen.</t>
  </si>
  <si>
    <t>Nei, det kan de ikke.</t>
  </si>
  <si>
    <t>Fagforening</t>
  </si>
  <si>
    <t>Det er gratis for alle.</t>
  </si>
  <si>
    <t>Hovedstaden er Oslo.</t>
  </si>
  <si>
    <t>Det er det offentlige.</t>
  </si>
  <si>
    <t>De viktigste dyreartene er de som er mest tallrike og som er mest nyttige for oss.</t>
  </si>
  <si>
    <t>Ja, hovedstaden har en havn.</t>
  </si>
  <si>
    <t>Den politiske strukturen er en kombinasjon av en demokratisk struktur og en pyramidestruktur.</t>
  </si>
  <si>
    <t>Det er 11 administrative regioner i Kina.</t>
  </si>
  <si>
    <t>1,3 millioner kvadratkilometer.</t>
  </si>
  <si>
    <t>1,25 millioner kvadratmiles</t>
  </si>
  <si>
    <t>I 2016 var det 16,3 % innvandrere i Norge.</t>
  </si>
  <si>
    <t>17. mai er Norges nasjonaldag. På denne dagen i 1814 ble Norges Grunnlov datert og undertegnet av presidentskapet i Riksforsamlingen på Eidsvoll. Forsamlingen valgte deretter enstemmig regenten, prins Christian Frederik, til konge av et uavhengig Norge. Grunnloven ble skrevet på Eidsvoll 10. april, men</t>
  </si>
  <si>
    <t>17. mai er Norges nasjonaldag. Denne dagen feires fordi Norge fikk sin egen grunnlov 17. mai 1814. Dagen kalles også grunnlovsdagen.</t>
  </si>
  <si>
    <t>Du kan drikke alkohol når du er 18 år.</t>
  </si>
  <si>
    <t>En vanlig lunsjsnack er en matbit som spises mellom frokost og middag. Det er vanligvis en liten matbit som ikke er for tung, men som gir deg energi til å komme deg gjennom resten av dagen.</t>
  </si>
  <si>
    <t>Ja, du kan eie et våpen, men du må ha tillatelse fra politiet.</t>
  </si>
  <si>
    <t>Du får minimum 4 uker og 1 dag ferie.</t>
  </si>
  <si>
    <t>Personvernlovene er de lovene som beskytter personvernet til enkeltpersoner. De er laget for å beskytte personvernet til enkeltpersoner og deres personlige informasjon.</t>
  </si>
  <si>
    <t>Personvernlover er lover som er utformet for å beskytte enkeltpersoners personvern og personlige data. De kan variere fra land til land, men de har alle som mål å sikre at enkeltpersoner har kontroll over sine personlige data og at dataene deres brukes på en ansvarlig og lovlig måte.</t>
  </si>
  <si>
    <t>Den viktigste oppgaven til en fagforening er å ivareta medlemmenes interesser.</t>
  </si>
  <si>
    <t>Barnetrygd er en ytelse som gis til foreldre med barn under 18 år som bor i Norge.</t>
  </si>
  <si>
    <t>Det er mange som leverer gaver på julaften. Det er også mange som leverer gaver på julaften. Det er mange som leverer gaver på julaften.</t>
  </si>
  <si>
    <t>Julenissen, også kjent som Sankt Nikolas, er den som leverer gaver på julaften. Han er en legendarisk figur som sies å bo på Nordpolen, der han lager leker til barn over hele verden.</t>
  </si>
  <si>
    <t>Ja, utenlandske statsborgere som har bodd i Norge i minst tre år, kan stemme ved stortingsvalget.</t>
  </si>
  <si>
    <t>Ja, alle utenlandske statsborgere med minst tre års lovlig opphold i Norge har stemmerett ved stortingsvalg.</t>
  </si>
  <si>
    <t>En fagforening er en organisasjon som representerer arbeidstakere i forhandlinger med arbeidsgivere eller deres representanter. Den jobber for å beskytte rettighetene til sine medlemmer og fremme deres interesser. Eksempler på fagforeninger inkluderer fagforeninger, fagforeninger og profesjonsforeninger.</t>
  </si>
  <si>
    <t>Ja, barn har rett til barnehageplass fra det året de fyller ett år.</t>
  </si>
  <si>
    <t>Foreldre må betale for sine barn.</t>
  </si>
  <si>
    <t>Elever får karakterer fra 8. klasse.</t>
  </si>
  <si>
    <t>Elever i klasse 1 til 12 får karakterer.</t>
  </si>
  <si>
    <t>Det er valg hvert fjerde år i USA. Dette betyr at det er valg hvert andre år, men disse valgene er ikke alltid for presidentembetet. For eksempel, i 2020, var det et valg for presidentembetet, men det er også et valg for Representantenes hus,</t>
  </si>
  <si>
    <t>Det er ikke noe klart svar på hvilken by som er lengst nord, ettersom det avhenger av definisjonen som brukes. Hvis vi snakker om byer i USA, er det flere som ligger i Alaska, inkludert Juneau, Sitka og Kotzebue. Imidlertid, hvis vi snakker om byer i verden, er det</t>
  </si>
  <si>
    <t>Befolkningen er en gruppe mennesker som bor i et bestemt område, har felles kultur, religion, språk, tradisjoner, etc.</t>
  </si>
  <si>
    <t>Befolkningen er antall mennesker som bor i et bestemt område. Det kan beregnes ved å legge til antall personer i hver husstand i det området.</t>
  </si>
  <si>
    <t>Ja, du må ha med deg gyldig legitimasjon til enhver tid.</t>
  </si>
  <si>
    <t>17. mai er en offentlig høytidsdag og en offisiell flaggdag. Det betyr at alle i Norge har fri fra jobb og skole, og at butikker er stengt.</t>
  </si>
  <si>
    <t>Det er ingen aldersgrense for å drikke alkohol. Men det er en aldersgrense for å kjøpe alkohol.</t>
  </si>
  <si>
    <t>Det anbefales ikke å drikke alkohol før du er 18 år. Dette er fordi alkohol kan skade en voksende kropp og sinn, og det kan også føre til avhengighet. Det er viktig å vente til du er 18 år før du drikker alkohol.</t>
  </si>
  <si>
    <t>Ja, det kan du. Men det er ikke anbefalt å kjøre bil etter å ha tatt en drink.</t>
  </si>
  <si>
    <t>Det er sterkt anbefalt å ikke kjøre etter å ha drukket alkohol. Alkohol påvirker sentralnervesystemet, noe som kan føre til svekket dømmekraft, koordinasjon og reaksjonstid. Ifølge National Highway Traffic Safety Administration (NHTSA) er den lovlige grensen for alkohol i de fleste stater 0,08</t>
  </si>
  <si>
    <t>Farsdag er alltid andre søndag i november.</t>
  </si>
  <si>
    <t>Farsdag feires årlig den tredje søndagen i juni.</t>
  </si>
  <si>
    <t>Du får minimum 5 virkedager ferie i løpet av året.</t>
  </si>
  <si>
    <t>Du har rett til å ta ut minst 25 feriedager i løpet av et år. Dette inkluderer alle typer ferie, inkludert helligdager, sykedager og feriedager.</t>
  </si>
  <si>
    <t>Du kan kjøpe brennevin på Vinmonopolet.</t>
  </si>
  <si>
    <t>Du kan kjøpe brennevin i alle våre butikker.</t>
  </si>
  <si>
    <t>Du kan kjøpe brennevin på en rekke steder, inkludert:</t>
  </si>
  <si>
    <t>Det er ingen lovfestet rett til fri fra jobb for å føde. Det er imidlertid vanlig at arbeidsgiver gir fri med lønn i inntil to dager.</t>
  </si>
  <si>
    <t>Du kan få inntil 2 uker fri i forbindelse med fødselen, og inntil 12 uker til sammen i forbindelse med fødsel og adopsjon.</t>
  </si>
  <si>
    <t>Du har rett til 12 uker med permisjon, som kan tas før eller etter fødselen. Dette kalles svangerskapspermisjon. Hvis du velger å ta det før fødselen, må du ta det sammenhengende i minst 28 uker. Hvis du velger å ta det etter fødselen, må du ta det sammenhengende i minst 38 uker.</t>
  </si>
  <si>
    <t>Det er et spørsmål som er vanskelig å svare på. Det er mange faktorer som spiller inn. Men det er klart at det er dyrt å ha et helsevesen.</t>
  </si>
  <si>
    <t>Det er ikke mulig å gi et eksakt svar på dette spørsmålet. Det er fordi det er mange faktorer som påvirker kostnadene.</t>
  </si>
  <si>
    <t>Det amerikanske helsevesenet er et komplekst og dyrt system. Ifølge Centers for Disease Control and Prevention (CDC) var de totale helseutgiftene i USA i 2021 omtrent 2,7 billioner dollar. Dette tallet inkluderer både private og offentlige utgifter. De private utgiftene utgjorde omtrent 60 % av</t>
  </si>
  <si>
    <t>Den viktigste oppgaven til en fagforening er å beskytte og forsvare rettighetene til sine medlemmer. Dette inkluderer å forhandle fram gunstige avtaler på deres vegne, gi støtte og ressurser i tilfelle av arbeidskonflikter, og lobby for bedre arbeidsforhold, lønn og fordeler. I tillegg jobber fagforeninger ofte for å fremme et rettferdig og trygt arbeidsmiljø</t>
  </si>
  <si>
    <t>NAV har ansvar for å sikre at alle som oppholder seg i Norge har et sted å bo. Dette gjelder også flyktninger og asylsøkere.</t>
  </si>
  <si>
    <t>NAV har ansvar for å gi råd og veiledning til alle som har et behov for å komme i arbeid. NAV har også ansvar for å vurdere om du har behov for ekstra oppfølging for å komme i arbeid.</t>
  </si>
  <si>
    <t>NAV har ansvar for å tilby en rekke tjenester og ytelser til personer som er arbeidsledige, har helseproblemer, er rusavhengige, eller har økonomiske problemer. Disse tjenestene inkluderer:</t>
  </si>
  <si>
    <t>Barnetrygd er en økonomisk støtte til barnefamilier som utbetales automatisk fra barnets fødsel frem til fylte 18 år. Den skal bidra til å dekke utgifter som følger med det å ha barn.</t>
  </si>
  <si>
    <t>Dugnad er en felles innsats for å utføre en bestemt oppgave, som oftest til nytte for fellesskapet eller en enkeltperson. Dugnad er et norsk ord, og betyr god gjerning.</t>
  </si>
  <si>
    <t>Dugnad er et felles utført og ulønnet og frivillig arbeid av betydning for fellesskapet eller en enkeltperson. Dugnader utføres vanligvis i et lokalsamfunn, (f.eks. vårrydding i et borettslag, oppføring av en låve, ei båtstø, ei kai eller en lekeplass), som nabohjelp i</t>
  </si>
  <si>
    <t>Dugnad er et felles utført og vanligvis ulønnet og frivillig arbeid av betydning for fellesskapet eller en enkeltperson. Dugnader utføres vanligvis i et lokalsamfunn, (f.eks. vårrydding i et borettslag, oppføring av en låve, et hus eller en lekeplass), som sosiale sammenkomster, og</t>
  </si>
  <si>
    <t>Svalbard er en øygruppe som ligger i Arktis, omtrent midtveis mellom det norske fastlandet og Nordpolen. Den dekker et område på omtrent 61 022 kvadratkilometer og består av flere store øyer, som Spitsbergen, Nordaustlandet, Edgeøya og Barentsøya. Svalbard er en del</t>
  </si>
  <si>
    <t>Staten har det overordnede ansvaret for sykehusene i Norge. Dette betyr at staten setter de økonomiske rammene for driften av sykehusene, bestemmer organiseringen av tjenesten og fører tilsyn med at sykehusene drives i samsvar med lovgivningen og de politiske målene som er satt for helsetjenestene.</t>
  </si>
  <si>
    <t>Ja, barn har rett til å gå i barnehage. Barnehageloven ¬ß 12a sier at barn som fyller ett år senest innen utgangen av august det året det søkes om barnehageplass, har etter søknad rett til å få plass i barnehage fra august i samsvar med denne loven med forskrifter. Barnet har rett til plass i</t>
  </si>
  <si>
    <t>Da må du betale restskatt. Restskatt over kr 1000,- deles i to terminer. Første termin forfaller 3 uker etter at skatteoppgjøret er sendt ut, og andre termin forfaller 5 uker etter første forfall.</t>
  </si>
  <si>
    <t>Du må betale inn det du skylder i restskatt etter skatteoppgjøret. Restskatten betales i to terminer. Første termin er 20. august, og andre termin er 24. september.</t>
  </si>
  <si>
    <t>Hvis du har betalt for lite skatt, vil du få en restskatt. Restskatten kan betales i to omganger. Den første innbetalingen skal betales innen 20. august, mens den andre innbetalingen skal betales innen 24. september. Hvis du ikke betaler restskatten i tide, vil du bli ilagt forsink</t>
  </si>
  <si>
    <t>Arbeidsmiljøloven gjelder for alle arbeidstakere, både fast ansatte og midlertidig ansatte.</t>
  </si>
  <si>
    <t>Arbeidsmiljøloven gjelder for alle arbeidstakere i et arbeidsforhold.</t>
  </si>
  <si>
    <t>Alle som har behov for tolk i møte med det offentlige, har rett til tolk. Det gjelder også barn.</t>
  </si>
  <si>
    <t>Du har rett til tolk i alle situasjoner hvor det er nødvendig for at du skal kunne kommunisere og forstå det som blir sagt.</t>
  </si>
  <si>
    <t>Du har rett til tolk i alle situasjoner der det er nødvendig for at du skal kunne motta nødvendige helse- og omsorgstjenester. Dette gjelder blant annet:</t>
  </si>
  <si>
    <t>Du er omgitt av flere land. I nord grenser du til Canada, som er et stort land i Nord-Amerika. Til øst grenser du til USA, som er et land som ligger i Nord-Amerika. Til sør grenser du til Mexico, som er et land som ligger i Nord-Amerika. Til vest grenser du</t>
  </si>
  <si>
    <t>Den største byen i Norge er Oslo.</t>
  </si>
  <si>
    <t>Den største byen er Tokyo med 36,6 millioner innbyggere i hovedstadsområdet (2015).</t>
  </si>
  <si>
    <t>Den største byen i verden etter befolkning er Tokyo, Japan. Med en befolkning på over 37 millioner mennesker, overgår den andre store byer som Delhi, India, Shanghai, Kina og Mexico City.</t>
  </si>
  <si>
    <t>Tromsø</t>
  </si>
  <si>
    <t>Det er flere leverandører av offentlig transport i byen.</t>
  </si>
  <si>
    <t>Midnattssolen er et fenomen som oppstår når solen ikke går under horisonten og dermed er synlig 24 timer i døgnet.</t>
  </si>
  <si>
    <t>Midnattssolen er et naturlig fenomen som forekommer i visse regioner i verden, spesielt i polarsirkelen. Under denne tiden av året, solen forblir over horisonten for en betydelig periode i løpet av dagen, noe som betyr at det er dagslys for en betydelig mengde tid etter solnedgang. Dette fenomenet oppstår på grunn av</t>
  </si>
  <si>
    <t>Ja, hovedstaden har flere havner. Den største og mest kjente er Port of Spain, som ligger i den sørlige delen av øya. Denne havnen er en viktig inngangsport for eksport av varer som sukker, kakao og kokosnøttolje. Andre havner i hovedstaden inkluderer Port of Pointe-√†-Pierre,</t>
  </si>
  <si>
    <t>Det vanligste språket er engelsk. Det er det mest brukte språket i verden, både som morsmål og andrespråk. Ifølge estimater fra 2019 er det over 400 millioner morsmålsbrukere av engelsk, noe som gjør det til det mest utbredte morsmålet. I tillegg er det mange flere som</t>
  </si>
  <si>
    <t>Flagget til USA er delt inn i tre horisontale striper av lik bredde. De øverste og nederste stripene er blå, mens den midterste stripen er hvit.</t>
  </si>
  <si>
    <t>Ifølge data fra USAs folketelling fra 2020 er omtrent 14,3 % av den amerikanske befolkningen innvandrere. Dette betyr at omtrent 46,5 millioner mennesker i USA ble født i et annet land. Det er viktig å merke seg at dette tallet kan endre seg over tid på grunn av ulike faktorer som innvandring</t>
  </si>
  <si>
    <t>Uavhengighetsdagen feires årlig den 4. juli for å minnes vedtakelsen av uavhengighetserklæringen i 1776.</t>
  </si>
  <si>
    <t>En vanlig lunsjsnack er en liten matbit som er lett å spise og lett å bære. Det kan være en sandwich, en liten bolle med suppe, en liten bolle med frukt eller en liten bolle med yoghurt.</t>
  </si>
  <si>
    <t>En vanlig lunsjsnack kan være en sandwich laget med fullkornsbrød, som er et sunnere alternativ til hvitt brød. Du kan velge mellom en rekke pålegg, for eksempel kalkun, ost, avokado eller hummus, for å gjøre sandwichen din mer smakfull og næringsrik. I tillegg</t>
  </si>
  <si>
    <t>Ja, du kan eie et våpen, men det er visse krav du må oppfylle. Disse kravene kan variere avhengig av staten du bor i. Generelt må du være minst 18 år gammel, ikke ha en historie med psykisk sykdom eller rusmisbruk, og ha et gyldig statlig utstedt ID. Du må også være i stand</t>
  </si>
  <si>
    <t>Den norske regjeringen bestemmer hva som skal læres i offentlige skoler. Dette er fastsatt i opplæringsloven.</t>
  </si>
  <si>
    <t>Barnetrygd er en økonomisk støtte som gis til familier med barn under 18 år. Det er ment å hjelpe til med å dekke kostnadene ved å oppdra barn, som mat, klær, medisinsk behandling og utdanning. Barnetrygden er behovsprøvd, noe som betyr at beløpet du mottar avhenger av inntekten til familien din.</t>
  </si>
  <si>
    <t>Frivillig arbeid er arbeid som utføres uten betaling. Det kan være arbeid som utføres for en organisasjon, en sak eller en forening.</t>
  </si>
  <si>
    <t>Frivillig arbeid er en form for samfunnstjeneste som innebærer å gi av tiden, ferdighetene eller ressursene dine for å hjelpe andre i nød. Det kan ta mange former, som å jobbe på et suppekjøkken, undervise på en skole, eller å hjelpe til på et arrangement for å samle inn penger til en god sak.</t>
  </si>
  <si>
    <t>I utgangspunktet gjelder loven for alle virksomheter som sysselsetter arbeidstakere. Det er imidlertid gjort enkelte unntak fra dette utgangspunktet. Ett av unntakene gjelder for arbeidstakere som ¬´bare utfører arbeid i sitt eget hjem¬ª. Dette unntaket er nærmere presisert i forskrift.</t>
  </si>
  <si>
    <t>Det er lærerne som bestemmer pensum på skolen.</t>
  </si>
  <si>
    <t>Pensum bestemmes av skolens ledelse, ofte i samarbeid med lærere og andre ansatte.</t>
  </si>
  <si>
    <t>Foreldre må betale for sine barn på ulike måter. De kan betale for deres barns utdanning, klær, mat, husly, medisinsk behandling, og andre nødvendigheter. Beløpet som foreldre betaler kan variere mye avhengig av familiens inntekt, livsstil, og økonomiske situasjon. Noen foreldre velger å betale for sine barns behov på en sak</t>
  </si>
  <si>
    <t>Det er flere leverandører av offentlig transport i Singapore, men Singapore Flyer er den mest populære og mest brukte. Singapore Flyer er en gondolbane som går over Singapore-elven, og gir en unik og naturskjønn måte å reise på. Den drives av Singapore Flyer Management Pte. Ltd.,</t>
  </si>
  <si>
    <t>Midnattssolen er et fenomen som inntreffer hele eller deler av sommeren i områder mellom polarsirklene og polene. Midnattssol innebærer at solen ved sin laveste posisjon i løpet av ett enkelt døgn ikke går under horisonten og dermed, såfremt skydekket ikke er for omfattende, er synlig</t>
  </si>
  <si>
    <t>Nei, du trenger ikke å bære identifikasjon.</t>
  </si>
  <si>
    <t>Svalbard er en øygruppe i Arktis. Den ligger mellom 74¬∞ og 81¬∞ nordlig bredde og den største øya er Spitsbergen. Øygruppen har et areal på 61 022 km2.</t>
  </si>
  <si>
    <t>Svalbard er en øygruppe i Arktis. Øygruppen ligger mellom 74¬∞ og 81¬∞ nordlig bredde og 10¬∞ og 35¬∞ østlig lengde. Arealmessig er Svalbard en del av kongeriket Norge, men politisk underlagt en egen regjering, Sysselmannen på Svalbard, med samme myndighet som en fylkes</t>
  </si>
  <si>
    <t>Norge, Sverige, Finland, Russland, Estland, Latvia, Litauen, Polen, Tyskland, Tsjekkia, Slovakia, Østerrike, Ungarn, Slovenia, Kroatia, Bosnia-Hercegovina, Serbia, Montenegro, Albania, Makedonia og Hellas.</t>
  </si>
  <si>
    <t>Å ivareta medlemmenes interesser.</t>
  </si>
  <si>
    <t>Hva foregår på 17. mai?</t>
  </si>
  <si>
    <t>Hvilke begivenheter finner sted den 17. mai?</t>
  </si>
  <si>
    <t>Hva markerer vi på 17. mai?</t>
  </si>
  <si>
    <t>Hva slags aktiviteter skjer 17. mai?</t>
  </si>
  <si>
    <t>Hva er 17. mai kjent for?</t>
  </si>
  <si>
    <t>På hvilken dato feirer vi uavhengighetsdagen?</t>
  </si>
  <si>
    <t>Når markeres uavhengighetsdagen?</t>
  </si>
  <si>
    <t>Hva er datoen for uavhengighetsdagen?</t>
  </si>
  <si>
    <t>Når finner uavhengighetsdagen sted?</t>
  </si>
  <si>
    <t>Hvilken dag er uavhengighetsdagen?</t>
  </si>
  <si>
    <t>Hvor gammel må jeg være for å drikke alkohol?</t>
  </si>
  <si>
    <t>Hva er aldersgrensen for å drikke?</t>
  </si>
  <si>
    <t>Når er det lovlig å begynne å drikke?</t>
  </si>
  <si>
    <t>Hvilken alder er det tillatt å drikke ved?</t>
  </si>
  <si>
    <t>Ved hvilken alder er det lov å drikke alkohol?</t>
  </si>
  <si>
    <t>Er det trygt å kjøre etter én drink?</t>
  </si>
  <si>
    <t>Kan jeg lovlig kjøre etter én drink?</t>
  </si>
  <si>
    <t>Er det greit å kjøre etter å ha drukket én drink?</t>
  </si>
  <si>
    <t>Hva sier loven om å kjøre etter én drink?</t>
  </si>
  <si>
    <t>Er det tillatt å kjøre etter én drink?</t>
  </si>
  <si>
    <t>Hvilken dato er farsdag?</t>
  </si>
  <si>
    <t>Når feirer vi farsdag?</t>
  </si>
  <si>
    <t>På hvilken dag er farsdag?</t>
  </si>
  <si>
    <t>Når markeres farsdag?</t>
  </si>
  <si>
    <t>Når finner farsdag sted?</t>
  </si>
  <si>
    <t>Hva er typisk som lunsjsnack?</t>
  </si>
  <si>
    <t>Hvilke lunsjsnacks er vanlige?</t>
  </si>
  <si>
    <t>Hva pleier folk å spise som lunsjsnack?</t>
  </si>
  <si>
    <t>Hva er populært som lunsjsnack?</t>
  </si>
  <si>
    <t>Hvilken type mat er vanlig som lunsjsnack?</t>
  </si>
  <si>
    <t>Er det lovlig for meg å eie et våpen?</t>
  </si>
  <si>
    <t>Kan jeg ha et våpen?</t>
  </si>
  <si>
    <t>Har jeg lov til å eie våpen?</t>
  </si>
  <si>
    <t>Kan jeg skaffe meg et våpen?</t>
  </si>
  <si>
    <t>Hva er reglene for å eie et våpen?</t>
  </si>
  <si>
    <t>Hvor mange feriedager har jeg krav på minst?</t>
  </si>
  <si>
    <t>Hva er det minste antallet feriedager jeg har rett til?</t>
  </si>
  <si>
    <t>Hvor mange feriedager får jeg minst?</t>
  </si>
  <si>
    <t>Hva er minimumsferiedager jeg kan få?</t>
  </si>
  <si>
    <t>Hvor få feriedager kan jeg ha?</t>
  </si>
  <si>
    <t>Hvor får jeg kjøpt brennevin?</t>
  </si>
  <si>
    <t>Hvor selges brennevin?</t>
  </si>
  <si>
    <t>Hvor kan jeg handle brennevin?</t>
  </si>
  <si>
    <t>Hvor er det mulig å kjøpe brennevin?</t>
  </si>
  <si>
    <t>Hvor finner jeg brennevin til salgs?</t>
  </si>
  <si>
    <t>Hvor mange dager får jeg fri for fødsel?</t>
  </si>
  <si>
    <t>Hvor lang permisjon får jeg ved fødsel?</t>
  </si>
  <si>
    <t>Hva er fødselspermisjonens varighet?</t>
  </si>
  <si>
    <t>Hvor lenge kan jeg være borte fra jobb ved fødsel?</t>
  </si>
  <si>
    <t>Hva er reglene for fri ved fødsel?</t>
  </si>
  <si>
    <t>Hva sier lovene om personvern?</t>
  </si>
  <si>
    <t>Hva er reglene for personvern?</t>
  </si>
  <si>
    <t>Hvordan er personvernet beskyttet av lovene?</t>
  </si>
  <si>
    <t>Hva går personvernlovene ut på?</t>
  </si>
  <si>
    <t>Hva innebærer personvernlovene?</t>
  </si>
  <si>
    <t>Hva er kostnaden for helsevesenet?</t>
  </si>
  <si>
    <t>Hvor mye må jeg betale for helsetjenester?</t>
  </si>
  <si>
    <t>Hva koster det å bruke helsevesenet?</t>
  </si>
  <si>
    <t>Hva er prisen på helsetjenester?</t>
  </si>
  <si>
    <t>Hvor mye utgjør helsevesenets kostnader?</t>
  </si>
  <si>
    <t>Hvem fastsetter pensum i norske offentlige skoler?</t>
  </si>
  <si>
    <t>Hvem har ansvar for lærestoffet i de offentlige skolene?</t>
  </si>
  <si>
    <t>Hvem avgjør undervisningsplanene i Norge?</t>
  </si>
  <si>
    <t>Hvem styrer hva som læres i de offentlige skolene?</t>
  </si>
  <si>
    <t>Hvem har myndighet over læreplanene i offentlige skoler?</t>
  </si>
  <si>
    <t>Hva er hovedoppgaven til en fagforening?</t>
  </si>
  <si>
    <t>Hva gjør en fagforening primært?</t>
  </si>
  <si>
    <t>Hva er fagforeningens viktigste funksjon?</t>
  </si>
  <si>
    <t>Hva er fagforeningens hovedformål?</t>
  </si>
  <si>
    <t>Hva er kjerneoppgaven til en fagforening?</t>
  </si>
  <si>
    <t>Hva er NAVs ansvarsområde?</t>
  </si>
  <si>
    <t>Hva håndterer NAV?</t>
  </si>
  <si>
    <t>Hva er NAVs hovedoppgaver?</t>
  </si>
  <si>
    <t>Hva styrer NAV?</t>
  </si>
  <si>
    <t>Hva innebærer barnetrygd?</t>
  </si>
  <si>
    <t>Hva går barnetrygd ut på?</t>
  </si>
  <si>
    <t>Hva er formålet med barnetrygd?</t>
  </si>
  <si>
    <t>Hva er barnetrygdens funksjon?</t>
  </si>
  <si>
    <t>Hva dekker barnetrygd?</t>
  </si>
  <si>
    <t>Hva betyr dugnad?</t>
  </si>
  <si>
    <t>Hva er konseptet med dugnad?</t>
  </si>
  <si>
    <t>Hva innebærer en dugnad?</t>
  </si>
  <si>
    <t>Hva går dugnad ut på?</t>
  </si>
  <si>
    <t>Hva er formålet med dugnad?</t>
  </si>
  <si>
    <t>Hva betyr frivillig arbeid?</t>
  </si>
  <si>
    <t>Hva går frivillig arbeid ut på?</t>
  </si>
  <si>
    <t>Hva innebærer frivillig arbeid?</t>
  </si>
  <si>
    <t>Hva er formålet med frivillig arbeid?</t>
  </si>
  <si>
    <t>Hva dekker frivillig arbeid?</t>
  </si>
  <si>
    <t>Hvem kommer med gaver på julaften?</t>
  </si>
  <si>
    <t>Hvem gir ut gaver på julaften?</t>
  </si>
  <si>
    <t>Hvem deler ut gaver på julaften?</t>
  </si>
  <si>
    <t>Hvem bringer gaver på julaften?</t>
  </si>
  <si>
    <t>Hvem står for gavene på julaften?</t>
  </si>
  <si>
    <t>Har utenlandske statsborgere stemmerett ved stortingsvalg?</t>
  </si>
  <si>
    <t>Kan ikke-norske borgere delta i stortingsvalget?</t>
  </si>
  <si>
    <t>Er utenlandske statsborgere kvalifisert til å stemme ved stortingsvalg?</t>
  </si>
  <si>
    <t>Kan utlendinger avgi stemme ved stortingsvalget?</t>
  </si>
  <si>
    <t>Er stemmerett ved stortingsvalg åpen for utenlandske statsborgere?</t>
  </si>
  <si>
    <t>Hva består Svalbard av?</t>
  </si>
  <si>
    <t>Hva kjennetegner Svalbard?</t>
  </si>
  <si>
    <t>Hva finner vi på Svalbard?</t>
  </si>
  <si>
    <t>Hva beskriver Svalbard?</t>
  </si>
  <si>
    <t>Hva utgjør Svalbard?</t>
  </si>
  <si>
    <t>Hva heter en arbeidstakerorganisasjon?</t>
  </si>
  <si>
    <t>Hva er navnet på en arbeidstakerforening?</t>
  </si>
  <si>
    <t>Hva kaller man en arbeidstakerforening?</t>
  </si>
  <si>
    <t>Hva kaller vi en fagorganisasjon for arbeidstakere?</t>
  </si>
  <si>
    <t>Hva er betegnelsen på en arbeidstakerorganisasjon?</t>
  </si>
  <si>
    <t>Hvem styrer sykehusene, staten eller kommunene?</t>
  </si>
  <si>
    <t>Hvem har ansvar for sykehusene, staten eller kommunene?</t>
  </si>
  <si>
    <t>Hvem administrerer sykehusene, staten eller kommunene?</t>
  </si>
  <si>
    <t>Hvem driver sykehusene, staten eller kommunene?</t>
  </si>
  <si>
    <t>Hvem kontrollerer sykehusene, staten eller kommunene?</t>
  </si>
  <si>
    <t>Har barn rett til barnehageplass?</t>
  </si>
  <si>
    <t>Kan alle barn gå i barnehage?</t>
  </si>
  <si>
    <t>Har barn lovfestet rett til barnehage?</t>
  </si>
  <si>
    <t>Er det rettighet for barn å gå i barnehage?</t>
  </si>
  <si>
    <t>Har barn krav på barnehageplass?</t>
  </si>
  <si>
    <t>Hva er konsekvensene av for lav skattebetaling?</t>
  </si>
  <si>
    <t>Hva skjer hvis du skylder skatt?</t>
  </si>
  <si>
    <t>Hva er følgene av manglende skattebetaling?</t>
  </si>
  <si>
    <t>Hva skjer om du betaler for lite skatt?</t>
  </si>
  <si>
    <t>Hva er resultatet av å betale for lite skatt?</t>
  </si>
  <si>
    <t>Hvem omfattes av arbeidsmiljøloven?</t>
  </si>
  <si>
    <t>Hvem dekker arbeidsmiljøloven?</t>
  </si>
  <si>
    <t>Hvem er beskyttet av arbeidsmiljøloven?</t>
  </si>
  <si>
    <t>Hvem faller inn under arbeidsmiljøloven?</t>
  </si>
  <si>
    <t>Hvem er arbeidsmiljøloven til for?</t>
  </si>
  <si>
    <t>Hvor kan du kreve tolk?</t>
  </si>
  <si>
    <t>Hvor er tolk tilgjengelig?</t>
  </si>
  <si>
    <t>Hvor har man krav på tolk?</t>
  </si>
  <si>
    <t>Hvor kan du få tolk?</t>
  </si>
  <si>
    <t>Hvor har du rett på tolketjenester?</t>
  </si>
  <si>
    <t>Hvem fastsetter skolens pensum?</t>
  </si>
  <si>
    <t>Hvem avgjør skolens læreplaner?</t>
  </si>
  <si>
    <t>Hvem har myndighet over skolepensum?</t>
  </si>
  <si>
    <t>Hvem styrer pensumet på skolen?</t>
  </si>
  <si>
    <t>Hvem bestemmer undervisningsinnholdet?</t>
  </si>
  <si>
    <t>Hva er foreldrenes økonomiske ansvar for sine barn?</t>
  </si>
  <si>
    <t>Hva må foreldre dekke av kostnader for sine barn?</t>
  </si>
  <si>
    <t>Hva er foreldre forpliktet til å betale for barna?</t>
  </si>
  <si>
    <t>Hva må foreldre finansiere for sine barn?</t>
  </si>
  <si>
    <t>Hva er foreldre pliktet til å betale for barna?</t>
  </si>
  <si>
    <t>Hvilke land ligger ved siden av meg?</t>
  </si>
  <si>
    <t>Hvilke land deler grense med meg?</t>
  </si>
  <si>
    <t>Hvilke nasjoner grenser mot meg?</t>
  </si>
  <si>
    <t>Hvilke stater er mine naboland?</t>
  </si>
  <si>
    <t>Hvilke land er mine naboer?</t>
  </si>
  <si>
    <t>Når begynner elever å få karakterer?</t>
  </si>
  <si>
    <t>Hvilket trinn starter med karakterer?</t>
  </si>
  <si>
    <t>Fra hvilken klasse gis karakterer?</t>
  </si>
  <si>
    <t>Hvilken skoleklasse får første gang karakterer?</t>
  </si>
  <si>
    <t>Når blir elever vurdert med karakterer?</t>
  </si>
  <si>
    <t>Hvilken by er hovedstaden?</t>
  </si>
  <si>
    <t>Hva heter hovedstaden?</t>
  </si>
  <si>
    <t>Hvilken by fungerer som hovedstad?</t>
  </si>
  <si>
    <t>Hva er navnet på hovedstaden?</t>
  </si>
  <si>
    <t>Hva er landets hovedstad?</t>
  </si>
  <si>
    <t>Hvilken by er størst?</t>
  </si>
  <si>
    <t>Hva er den mest folkerike byen?</t>
  </si>
  <si>
    <t>Hvilken by har størst befolkning?</t>
  </si>
  <si>
    <t>Hva er den største byen i areal?</t>
  </si>
  <si>
    <t>Hvilken by er den største?</t>
  </si>
  <si>
    <t>Hvor hyppig avholdes valg?</t>
  </si>
  <si>
    <t>Hvor ofte finner valg sted?</t>
  </si>
  <si>
    <t>Hva er frekvensen av valg?</t>
  </si>
  <si>
    <t>Hvor regelmessig er det valg?</t>
  </si>
  <si>
    <t>Hvor mange ganger holdes valg?</t>
  </si>
  <si>
    <t>Hva er den nordligste byen?</t>
  </si>
  <si>
    <t>Hvilken by ligger lengst mot nord?</t>
  </si>
  <si>
    <t>Hvilken by befinner seg lengst nord?</t>
  </si>
  <si>
    <t>Hvilken by er plassert lengst nord?</t>
  </si>
  <si>
    <t>Hva er navnet på den nordligste byen?</t>
  </si>
  <si>
    <t>Hvor stor er befolkningen?</t>
  </si>
  <si>
    <t>Hva er folketallet?</t>
  </si>
  <si>
    <t>Hvor mange mennesker bor der?</t>
  </si>
  <si>
    <t>Hva er innbyggertallet?</t>
  </si>
  <si>
    <t>Hvor mange personer utgjør befolkningen?</t>
  </si>
  <si>
    <t>Hvilket selskap leverer offentlig transport mest?</t>
  </si>
  <si>
    <t>Hvem står for hoveddelen av offentlig transport?</t>
  </si>
  <si>
    <t>Hvem tilbyr mest offentlig transport?</t>
  </si>
  <si>
    <t>Hvilken aktør dominerer offentlig transport?</t>
  </si>
  <si>
    <t>Hvem er hovedaktøren i offentlig transport?</t>
  </si>
  <si>
    <t>Hvilke dyrearter er viktigst?</t>
  </si>
  <si>
    <t>Hvilke dyr er mest betydningsfulle?</t>
  </si>
  <si>
    <t>Hvilke dyrearter har størst betydning?</t>
  </si>
  <si>
    <t>Hva er de mest sentrale dyreartene?</t>
  </si>
  <si>
    <t>Hvilke dyrearter er mest fremtredende?</t>
  </si>
  <si>
    <t>Hva innebærer midnattssolen?</t>
  </si>
  <si>
    <t>Hva er fenomenet midnattssol?</t>
  </si>
  <si>
    <t>Hva beskriver midnattssolen?</t>
  </si>
  <si>
    <t>Hva kjennetegner midnattssolen?</t>
  </si>
  <si>
    <t>Hva betyr midnattssol?</t>
  </si>
  <si>
    <t>Finnes det havner i hovedstaden?</t>
  </si>
  <si>
    <t>Har hovedstaden havneanlegg?</t>
  </si>
  <si>
    <t>Er det noen havner i hovedstaden?</t>
  </si>
  <si>
    <t>Hvilke havner finnes i hovedstaden?</t>
  </si>
  <si>
    <t>Har hovedstaden tilgang til havner?</t>
  </si>
  <si>
    <t>Hvordan er den politiske strukturen?</t>
  </si>
  <si>
    <t>Hva er det politiske systemet?</t>
  </si>
  <si>
    <t>Hvordan fungerer den politiske strukturen?</t>
  </si>
  <si>
    <t>Hva består den politiske strukturen av?</t>
  </si>
  <si>
    <t>Hva kjennetegner den politiske strukturen?</t>
  </si>
  <si>
    <t>Hvilket språk er mest utbredt?</t>
  </si>
  <si>
    <t>Hva er hovedspråket?</t>
  </si>
  <si>
    <t>Hvilket språk er mest vanlig?</t>
  </si>
  <si>
    <t>Hva er det mest talte språket?</t>
  </si>
  <si>
    <t>Hvilket språk brukes mest?</t>
  </si>
  <si>
    <t>Hva er fargene på flagget?</t>
  </si>
  <si>
    <t>Hvilke farger finnes på flagget?</t>
  </si>
  <si>
    <t>Hvilke farger inngår i flagget?</t>
  </si>
  <si>
    <t>Hva er flaggets farger?</t>
  </si>
  <si>
    <t>Hvilke nyanser er på flagget?</t>
  </si>
  <si>
    <t>Hva er antallet kommuner?</t>
  </si>
  <si>
    <t>Hvor mange kommuner finnes det?</t>
  </si>
  <si>
    <t>Hva er tallet på kommuner?</t>
  </si>
  <si>
    <t>Hvor mange kommuner er det totalt?</t>
  </si>
  <si>
    <t>Hvor mange kommuner eksisterer det?</t>
  </si>
  <si>
    <t>Er det påkrevd å alltid bære identifikasjon?</t>
  </si>
  <si>
    <t>Må jeg alltid ha med identifikasjon?</t>
  </si>
  <si>
    <t>Er det nødvendig å bære identifikasjon hele tiden?</t>
  </si>
  <si>
    <t>Må jeg ha identifikasjon på meg til enhver tid?</t>
  </si>
  <si>
    <t>Er det et krav å alltid bære identifikasjon?</t>
  </si>
  <si>
    <t>Hva er antallet administrative regioner?</t>
  </si>
  <si>
    <t>Hvor mange regioner administreres?</t>
  </si>
  <si>
    <t>Hvor mange administrative regioner finnes det?</t>
  </si>
  <si>
    <t>Hva er tallet på administrative regioner?</t>
  </si>
  <si>
    <t>Hvor mange slike regioner er det?</t>
  </si>
  <si>
    <t>Hva er landets areal i kvadratmeter?</t>
  </si>
  <si>
    <t>Hvor stort er landet i kvadratmeter?</t>
  </si>
  <si>
    <t>Hva er størrelsen på landet i kvadratmeter?</t>
  </si>
  <si>
    <t>Hvor mange kvadratmeter dekker landet?</t>
  </si>
  <si>
    <t>Hva er landets totale kvadratmeter?</t>
  </si>
  <si>
    <t>Hva er landets areal i kvadratmiles?</t>
  </si>
  <si>
    <t>Hvor stort er landet i kvadratmiles?</t>
  </si>
  <si>
    <t>Hva er størrelsen på landet i kvadratmiles?</t>
  </si>
  <si>
    <t>Hvor mange kvadratmiles dekker landet?</t>
  </si>
  <si>
    <t>Hva er landets totale kvadratmiles?</t>
  </si>
  <si>
    <t>Hvor stor andel av befolkningen er innvandrere?</t>
  </si>
  <si>
    <t>Hva er innvandrerprosenten i befolkningen?</t>
  </si>
  <si>
    <t>Hvor mange prosent av befolkningen utgjør innvandrere?</t>
  </si>
  <si>
    <t>Hva er andelen innvandrere i befolkningen?</t>
  </si>
  <si>
    <t>Hvor stor prosentandel av befolkningen består av innvandrere?</t>
  </si>
  <si>
    <t>Hvem gjelder arbeidsmiljøloven for?</t>
  </si>
  <si>
    <t>Hvem bestemmer pensum på skolen?</t>
  </si>
  <si>
    <t>Hva må foreldre betale for sine barn?</t>
  </si>
  <si>
    <t>Hvilke land grenser til meg?</t>
  </si>
  <si>
    <t>Hvilken klasse får elever karakterer?</t>
  </si>
  <si>
    <t>Hvor ofte er det valg?</t>
  </si>
  <si>
    <t>Hvilken by er lengst nord?</t>
  </si>
  <si>
    <t>What happens on 17 May?</t>
  </si>
  <si>
    <t>What happens on May 17?</t>
  </si>
  <si>
    <t>What events take place on 17 May?</t>
  </si>
  <si>
    <t>What do we mark on 17.</t>
  </si>
  <si>
    <t>What kind of activities will take place on 17 May?</t>
  </si>
  <si>
    <t>What is May 17 famous for?</t>
  </si>
  <si>
    <t>When is Independence Day?</t>
  </si>
  <si>
    <t>On what date do we celebrate Independence Day?</t>
  </si>
  <si>
    <t>When is Independence Day celebrated?</t>
  </si>
  <si>
    <t>What is the date of Independence Day?</t>
  </si>
  <si>
    <t>When does Independence Day take place?</t>
  </si>
  <si>
    <t>What day is Independence Day?</t>
  </si>
  <si>
    <t>How old do I have to be to drink alcohol?</t>
  </si>
  <si>
    <t>What is the age limit for drinking?</t>
  </si>
  <si>
    <t>When is it legal to start drinking?</t>
  </si>
  <si>
    <t>What age is it allowed to drink in?</t>
  </si>
  <si>
    <t>At what age is it legal to drink alcohol?</t>
  </si>
  <si>
    <t>Can I drive after a drink?</t>
  </si>
  <si>
    <t>Is it safe to drive after a drink?</t>
  </si>
  <si>
    <t>Can I legally drive after a drink?</t>
  </si>
  <si>
    <t>Is it OK to drive after having a drink?</t>
  </si>
  <si>
    <t>What Does the Law Say About Driving After a Drink?</t>
  </si>
  <si>
    <t>Is it legal to drive after a drink?</t>
  </si>
  <si>
    <t>What date is Father's Day?</t>
  </si>
  <si>
    <t>When do we celebrate Father's Day?</t>
  </si>
  <si>
    <t>On what day is Father's Day?</t>
  </si>
  <si>
    <t>When is Father's Day celebrated?</t>
  </si>
  <si>
    <t>When does Father's Day take place?</t>
  </si>
  <si>
    <t>What is typical as a lunch snack?</t>
  </si>
  <si>
    <t>What lunch snacks are common?</t>
  </si>
  <si>
    <t>What do people usually eat as a lunch snack?</t>
  </si>
  <si>
    <t>What is popular as a lunch snack?</t>
  </si>
  <si>
    <t>What type of food is common as a lunch snack?</t>
  </si>
  <si>
    <t>Is it legal for me to own a gun?</t>
  </si>
  <si>
    <t>Can I have a weapon?</t>
  </si>
  <si>
    <t>Am I allowed to own guns?</t>
  </si>
  <si>
    <t>Can I get a weapon?</t>
  </si>
  <si>
    <t>What are the rules for owning a gun?</t>
  </si>
  <si>
    <t>What is the minimum number of vacation days I get?</t>
  </si>
  <si>
    <t>How many days of holiday am I entitled to at least?</t>
  </si>
  <si>
    <t>What is the minimum number of holiday days I am entitled to?</t>
  </si>
  <si>
    <t>How many days of holiday do I get at least?</t>
  </si>
  <si>
    <t>What is the minimum vacation days I can get?</t>
  </si>
  <si>
    <t>How few vacation days can I have?</t>
  </si>
  <si>
    <t>Where can I buy spirits?</t>
  </si>
  <si>
    <t>Where is liquor sold?</t>
  </si>
  <si>
    <t>Where is it possible to buy spirits?</t>
  </si>
  <si>
    <t>Where can I find spirits for sale?</t>
  </si>
  <si>
    <t>How much time off can I get to give birth?</t>
  </si>
  <si>
    <t>How many days off do I get for childbirth?</t>
  </si>
  <si>
    <t>How long leave do I get in the event of childbirth?</t>
  </si>
  <si>
    <t>What is the duration of maternity leave?</t>
  </si>
  <si>
    <t>How long can I be away from work during childbirth?</t>
  </si>
  <si>
    <t>What are the rules for time off at birth?</t>
  </si>
  <si>
    <t>What are the privacy laws?</t>
  </si>
  <si>
    <t>What do the laws say about privacy?</t>
  </si>
  <si>
    <t>What is the privacy policy?</t>
  </si>
  <si>
    <t>How is privacy protected by laws?</t>
  </si>
  <si>
    <t>What do data protection laws entail?</t>
  </si>
  <si>
    <t>How much does healthcare cost?</t>
  </si>
  <si>
    <t>What is the cost of healthcare?</t>
  </si>
  <si>
    <t>How much do I have to pay for healthcare?</t>
  </si>
  <si>
    <t>What does it cost to use the healthcare system?</t>
  </si>
  <si>
    <t>What is the price of healthcare?</t>
  </si>
  <si>
    <t>How much does healthcare cost make up?</t>
  </si>
  <si>
    <t>Who decides what is to be taught in the public schools in Norway?</t>
  </si>
  <si>
    <t>Who sets the curriculum in Norwegian public schools?</t>
  </si>
  <si>
    <t>Who is responsible for the teaching material in the public schools?</t>
  </si>
  <si>
    <t>Who decides the curricula in Norway?</t>
  </si>
  <si>
    <t>Who controls what is taught in the public schools?</t>
  </si>
  <si>
    <t>Who has authority over the curricula in public schools?</t>
  </si>
  <si>
    <t>What is the most important task of a trade union?</t>
  </si>
  <si>
    <t>What is the main task of a trade union?</t>
  </si>
  <si>
    <t>What does a union do primarily?</t>
  </si>
  <si>
    <t>What is the union's most important function?</t>
  </si>
  <si>
    <t>What is the main purpose of the trade union?</t>
  </si>
  <si>
    <t>What is the core mission of a trade union?</t>
  </si>
  <si>
    <t>What is NAV's area of responsibility?</t>
  </si>
  <si>
    <t>What does NAV handle?</t>
  </si>
  <si>
    <t>What are NAV's main tasks?</t>
  </si>
  <si>
    <t>What governs NAV?</t>
  </si>
  <si>
    <t>What are NAV's areas of responsibility?</t>
  </si>
  <si>
    <t>What does child benefit entail?</t>
  </si>
  <si>
    <t>What is the purpose of child benefit?</t>
  </si>
  <si>
    <t>What is the function of child benefit?</t>
  </si>
  <si>
    <t>What does child benefit cover?</t>
  </si>
  <si>
    <t>What is voluntary work?</t>
  </si>
  <si>
    <t>What does voluntary work mean?</t>
  </si>
  <si>
    <t>What is the concept of voluntary work?</t>
  </si>
  <si>
    <t>What does a voluntary effort entail?</t>
  </si>
  <si>
    <t>What does voluntary work involve?</t>
  </si>
  <si>
    <t>What is the purpose of voluntary work?</t>
  </si>
  <si>
    <t>What is volunteering?</t>
  </si>
  <si>
    <t>What does volunteering mean?</t>
  </si>
  <si>
    <t>What does volunteering involve?</t>
  </si>
  <si>
    <t>What is the purpose of volunteering?</t>
  </si>
  <si>
    <t>What does volunteering cover?</t>
  </si>
  <si>
    <t>Who delivers gifts on Christmas Eve?</t>
  </si>
  <si>
    <t>Who brings gifts on Christmas Eve?</t>
  </si>
  <si>
    <t>Who gives out gifts on Christmas Eve?</t>
  </si>
  <si>
    <t>Who hands out gifts on Christmas Eve?</t>
  </si>
  <si>
    <t>Who is responsible for the gifts on Christmas Eve?</t>
  </si>
  <si>
    <t>Can foreign citizens vote in the parliamentary election?</t>
  </si>
  <si>
    <t>Do foreign nationals have the right to vote in parliamentary elections?</t>
  </si>
  <si>
    <t>Can non-Norwegian citizens participate in the parliamentary election?</t>
  </si>
  <si>
    <t>Are foreign nationals eligible to vote in parliamentary elections?</t>
  </si>
  <si>
    <t>Can foreigners vote in the parliamentary election?</t>
  </si>
  <si>
    <t>Is the right to vote in parliamentary elections open to foreign citizens?</t>
  </si>
  <si>
    <t>What does Svalbard consist of?</t>
  </si>
  <si>
    <t>What are the characteristics of Svalbard?</t>
  </si>
  <si>
    <t>What do we find in Svalbard?</t>
  </si>
  <si>
    <t>What does Svalbard describe?</t>
  </si>
  <si>
    <t>What makes up Svalbard?</t>
  </si>
  <si>
    <t>What do we call an interest organisation for employees?</t>
  </si>
  <si>
    <t>What is an employee organization called?</t>
  </si>
  <si>
    <t>What is the name of an employee association?</t>
  </si>
  <si>
    <t>What do you call an employee association?</t>
  </si>
  <si>
    <t>What do we call a trade union for employees?</t>
  </si>
  <si>
    <t>What is the designation of an employee organization?</t>
  </si>
  <si>
    <t>Are the state or municipalities responsible for the hospitals?</t>
  </si>
  <si>
    <t>Who governs the hospitals, the state or the municipalities?</t>
  </si>
  <si>
    <t>Who is responsible for the hospitals, the state or the municipalities?</t>
  </si>
  <si>
    <t>Who administers the hospitals, the state or the municipalities?</t>
  </si>
  <si>
    <t>Who runs the hospitals, the state or the municipalities?</t>
  </si>
  <si>
    <t>Who controls the hospitals, the state or the municipalities?</t>
  </si>
  <si>
    <t>Do children have the right to go to kindergarten?</t>
  </si>
  <si>
    <t>Do children have the right to a kindergarten place?</t>
  </si>
  <si>
    <t>Can all children go to kindergarten?</t>
  </si>
  <si>
    <t>Do children have a statutory right to kindergarten?</t>
  </si>
  <si>
    <t>Is it a right for children to go to kindergarten?</t>
  </si>
  <si>
    <t>Are children entitled to a kindergarten place?</t>
  </si>
  <si>
    <t>What happens if you have paid too little tax?</t>
  </si>
  <si>
    <t>What are the consequences of too low a tax payment?</t>
  </si>
  <si>
    <t>What happens if you owe taxes?</t>
  </si>
  <si>
    <t>What are the consequences of non-payment of tax?</t>
  </si>
  <si>
    <t>What happens if you pay too little tax?</t>
  </si>
  <si>
    <t>What is the result of paying too little tax?</t>
  </si>
  <si>
    <t>Who is covered by the Working Environment Act?</t>
  </si>
  <si>
    <t>Who does the Working Environment Act cover?</t>
  </si>
  <si>
    <t>Who is protected by the Working Environment Act?</t>
  </si>
  <si>
    <t>Who falls under the Working Environment Act?</t>
  </si>
  <si>
    <t>Who is the Working Environment Act for?</t>
  </si>
  <si>
    <t>Where can you require an interpreter?</t>
  </si>
  <si>
    <t>Where is an interpreter available?</t>
  </si>
  <si>
    <t>Where are you entitled to an interpreter?</t>
  </si>
  <si>
    <t>Where can you get an interpreter?</t>
  </si>
  <si>
    <t>Where are you entitled to interpreting services?</t>
  </si>
  <si>
    <t>Who sets the school's curriculum?</t>
  </si>
  <si>
    <t>Who decides the school's curricula?</t>
  </si>
  <si>
    <t>Who has authority over the school curriculum?</t>
  </si>
  <si>
    <t>Who controls the curriculum at school?</t>
  </si>
  <si>
    <t>Who decides the teaching content?</t>
  </si>
  <si>
    <t>What do parents have to pay for their children?</t>
  </si>
  <si>
    <t>What are the financial responsibilities of parents for their children?</t>
  </si>
  <si>
    <t>What do parents have to cover in terms of costs for their children?</t>
  </si>
  <si>
    <t>What are parents obliged to pay for their children?</t>
  </si>
  <si>
    <t>What do parents have to finance for their children?</t>
  </si>
  <si>
    <t>Which countries border me?</t>
  </si>
  <si>
    <t>What countries are next to me?</t>
  </si>
  <si>
    <t>Which countries share a border with me?</t>
  </si>
  <si>
    <t>Which nations border me?</t>
  </si>
  <si>
    <t>Which states are my neighboring countries?</t>
  </si>
  <si>
    <t>Which countries are my neighbors?</t>
  </si>
  <si>
    <t>What grade do students get grades?</t>
  </si>
  <si>
    <t>When do students start getting grades?</t>
  </si>
  <si>
    <t>What step starts with grades?</t>
  </si>
  <si>
    <t>From which grade are grades given?</t>
  </si>
  <si>
    <t>Which school class gets first grades?</t>
  </si>
  <si>
    <t>When are students graded?</t>
  </si>
  <si>
    <t>Which city is the capital?</t>
  </si>
  <si>
    <t>What is the name of the capital?</t>
  </si>
  <si>
    <t>Which city serves as capital?</t>
  </si>
  <si>
    <t>What is the country's capital?</t>
  </si>
  <si>
    <t>What is the biggest city?</t>
  </si>
  <si>
    <t>Which city is biggest?</t>
  </si>
  <si>
    <t>What is the most populous city?</t>
  </si>
  <si>
    <t>Which city has the largest population?</t>
  </si>
  <si>
    <t>What is the largest city by area?</t>
  </si>
  <si>
    <t>Which city is the biggest?</t>
  </si>
  <si>
    <t>How often are there elections?</t>
  </si>
  <si>
    <t>How often are elections held?</t>
  </si>
  <si>
    <t>How often do elections take place?</t>
  </si>
  <si>
    <t>What is the frequency of choice?</t>
  </si>
  <si>
    <t>How regular are elections?</t>
  </si>
  <si>
    <t>How many times are elections held?</t>
  </si>
  <si>
    <t>Which city is farthest north?</t>
  </si>
  <si>
    <t>What is the northernmost city?</t>
  </si>
  <si>
    <t>Which city is the farthest north?</t>
  </si>
  <si>
    <t>Which city is located farthest north?</t>
  </si>
  <si>
    <t>What is the name of the northernmost city?</t>
  </si>
  <si>
    <t>How big is the population?</t>
  </si>
  <si>
    <t>How many people live there?</t>
  </si>
  <si>
    <t>How many people make up the population?</t>
  </si>
  <si>
    <t>Who is the main public transport provider?</t>
  </si>
  <si>
    <t>Which company provides public transport the most?</t>
  </si>
  <si>
    <t>Who is responsible for the bulk of public transport?</t>
  </si>
  <si>
    <t>Who offers the most public transport?</t>
  </si>
  <si>
    <t>Which player dominates public transport?</t>
  </si>
  <si>
    <t>Who is the main player in public transport?</t>
  </si>
  <si>
    <t>What are the main animal species?</t>
  </si>
  <si>
    <t>Which animal species are most important?</t>
  </si>
  <si>
    <t>Which animals are most significant?</t>
  </si>
  <si>
    <t>What are the most central animal species?</t>
  </si>
  <si>
    <t>Which animal species are most prominent?</t>
  </si>
  <si>
    <t>What is the midnight sun?</t>
  </si>
  <si>
    <t>What does the Midnight Sun mean?</t>
  </si>
  <si>
    <t>What is the phenomenon of the midnight sun?</t>
  </si>
  <si>
    <t>What does the midnight sun describe?</t>
  </si>
  <si>
    <t>What are the characteristics of the Midnight Sun?</t>
  </si>
  <si>
    <t>What does the midnight sun mean?</t>
  </si>
  <si>
    <t>Are there ports in the capital?</t>
  </si>
  <si>
    <t>Does the capital have port facilities?</t>
  </si>
  <si>
    <t>Are there any ports in the capital?</t>
  </si>
  <si>
    <t>What ports are there in the capital?</t>
  </si>
  <si>
    <t>Does the capital have access to ports?</t>
  </si>
  <si>
    <t>What is the political system?</t>
  </si>
  <si>
    <t>How does the political structure work?</t>
  </si>
  <si>
    <t>What does the political structure consist of?</t>
  </si>
  <si>
    <t>What characterizes the political structure?</t>
  </si>
  <si>
    <t>Which language is most widely used?</t>
  </si>
  <si>
    <t>What is the main language?</t>
  </si>
  <si>
    <t>Which language is most common?</t>
  </si>
  <si>
    <t>What is the most spoken language?</t>
  </si>
  <si>
    <t>Which language is most used?</t>
  </si>
  <si>
    <t>What are the colors of the flag?</t>
  </si>
  <si>
    <t>What colors are included in the flag?</t>
  </si>
  <si>
    <t>What shades are on the flag?</t>
  </si>
  <si>
    <t>What is the number of municipalities?</t>
  </si>
  <si>
    <t>How many municipalities are there in total?</t>
  </si>
  <si>
    <t>How many municipalities exist?</t>
  </si>
  <si>
    <t>Do I have to wear identification at all times?</t>
  </si>
  <si>
    <t>Is it required to always carry identification?</t>
  </si>
  <si>
    <t>Do I always need to carry identification?</t>
  </si>
  <si>
    <t>Is it necessary to carry identification all the time?</t>
  </si>
  <si>
    <t>Do I need to have identification on me at all times?</t>
  </si>
  <si>
    <t>Is it a requirement to always carry identification?</t>
  </si>
  <si>
    <t>What is the number of administrative regions?</t>
  </si>
  <si>
    <t>How many regions are managed?</t>
  </si>
  <si>
    <t>How many such regions are there?</t>
  </si>
  <si>
    <t>How many square meters are there in the country?</t>
  </si>
  <si>
    <t>What is the country's area in square meters?</t>
  </si>
  <si>
    <t>How big is the country in square meters?</t>
  </si>
  <si>
    <t>What is the size of the land in square meters?</t>
  </si>
  <si>
    <t>How many square meters does the country cover?</t>
  </si>
  <si>
    <t>What is the country's total square meters?</t>
  </si>
  <si>
    <t>How many square miles are in the country?</t>
  </si>
  <si>
    <t>What is the land area in square miles?</t>
  </si>
  <si>
    <t>How big is the land in square miles?</t>
  </si>
  <si>
    <t>What is the size of the land in square miles?</t>
  </si>
  <si>
    <t>How many square miles does the country cover?</t>
  </si>
  <si>
    <t>What is the total square miles of the country?</t>
  </si>
  <si>
    <t>What percentage of the population are immigrants?</t>
  </si>
  <si>
    <t>What proportion of the population are immigrants?</t>
  </si>
  <si>
    <t>What is the immigrant percentage in the population?</t>
  </si>
  <si>
    <t>What percentage of the population make up immigrants?</t>
  </si>
  <si>
    <t>What is the proportion of immigrants in the population?</t>
  </si>
  <si>
    <t>What percentage of the population is made up of immigrants?</t>
  </si>
  <si>
    <t>Vi feirer Norges grunnlovsdag.</t>
  </si>
  <si>
    <t>Det blir en tradisjonell feiring med barnetog, taler, leker og underholdning.</t>
  </si>
  <si>
    <t>17. juli</t>
  </si>
  <si>
    <t>17. juli 1975</t>
  </si>
  <si>
    <t>Det er en rekke alternativer som er tilgjengelige for deg. Du kan velge mellom en rekke forskjellige typer snacks, inkludert:</t>
  </si>
  <si>
    <t>Det er mange alternativer. Du kan ta med deg en sandwich, en bagel, en bagel, en sandwich, en bagel, en sandwich, en bagel, en sandwich, en bagel, en sandwich, en bagel, en sandwich, en bagel, en sand</t>
  </si>
  <si>
    <t>Vinmonopolet.</t>
  </si>
  <si>
    <t>Personvernet ditt er beskyttet av lovene i landet ditt.</t>
  </si>
  <si>
    <t>Personvernlovene er en lov som skal beskytte deg mot at dine personopplysninger blir misbrukt.</t>
  </si>
  <si>
    <t>Personvernlovene er en del av EUs personvernforordning (GDPR). GDPR er en forordning som skal styrke og harmonisere personvernet ved behandling av personopplysninger i Den europeiske union (EU). GDPR gjelder for alle virksomheter som behandler personopplysninger om EU-borgere.</t>
  </si>
  <si>
    <t>Det er den enkelte skoleeier som fastsetter pensum.</t>
  </si>
  <si>
    <t>En fagforening er en organisasjon som skal ivareta arbeidstakernes interesser.</t>
  </si>
  <si>
    <t>Fagforeningen er en viktig del av det norske samfunnet. Den er en del av demokratiet. Den er en del av velferdsstaten. Den er en del av det norske arbeidslivet. Den er en del av den norske modellen.</t>
  </si>
  <si>
    <t>Det er Jesusbarnet.</t>
  </si>
  <si>
    <t>Det er de som er medlemmer av menigheten.</t>
  </si>
  <si>
    <t>Nei, norske statsborgere bosatt i utlandet har ikke stemmerett ved stortingsvalget.</t>
  </si>
  <si>
    <t>Ja, alle som er registrert som bosatt i Norge, og som er norske statsborgere, kan stemme ved stortingsvalget.</t>
  </si>
  <si>
    <t>Nei, det er ikke det.</t>
  </si>
  <si>
    <t>Svalbard er et av de mest eksotiske stedene i verden. Her er det ingen biler, ingen butikker, ingen mennesker. Det er et sted der du kan oppleve det meste.</t>
  </si>
  <si>
    <t>Det er en fagforening som organiserer arbeidstakere.</t>
  </si>
  <si>
    <t>Det er en fagforening som er tilsluttet en hovedsammenslutning.</t>
  </si>
  <si>
    <t>Staten.</t>
  </si>
  <si>
    <t>Staten driver sykehusene. Kommunene driver sykehjemmene.</t>
  </si>
  <si>
    <t>Alle barn har rett til barnehageplass i den kommunen de bor i.</t>
  </si>
  <si>
    <t>Skolens pensum fastsettes av styret.</t>
  </si>
  <si>
    <t>Det er skoleeier som har myndighet over skolepensum.</t>
  </si>
  <si>
    <t>Det er 12 land som ligger ved siden av deg.</t>
  </si>
  <si>
    <t>Det er ingen grenser for hvor du kan reise.</t>
  </si>
  <si>
    <t>Det er ingen bestemt trinn som starter med karakterer. Karakterer er en del av en persons utdanningssystem.</t>
  </si>
  <si>
    <t>Karakterer gis fra 1. klasse.</t>
  </si>
  <si>
    <t>Klasse 1A</t>
  </si>
  <si>
    <t>Amman</t>
  </si>
  <si>
    <t>Tokyo (127 millioner)</t>
  </si>
  <si>
    <t>Tokyo, med over 30 millioner innbyggere.</t>
  </si>
  <si>
    <t>Det bor ca. 1,5 millioner mennesker i byen.</t>
  </si>
  <si>
    <t>Det er ca. 1000 innbyggere i kommunen.</t>
  </si>
  <si>
    <t>Det er mange transportselskaper som tilbyr offentlig transport. De mest kjente er:</t>
  </si>
  <si>
    <t>Det er mange alternativer. Det er busser, tog, trikker, t-bane, drosjer og til og med ferger.</t>
  </si>
  <si>
    <t>Det er mange dyrearter som er viktige for oss mennesker. De mest sentrale dyreartene er:</t>
  </si>
  <si>
    <t>Det er mange dyrearter som er fremtredende i verden. Noen av de mest fremtredende dyrene er:</t>
  </si>
  <si>
    <t>Ja, det er det.</t>
  </si>
  <si>
    <t>Ja, hovedstaden har tilgang til havner.</t>
  </si>
  <si>
    <t>Den politiske strukturen er en samling av politiske partier som har en felles ideologi og som har en felles politikk.</t>
  </si>
  <si>
    <t>Engelsk.</t>
  </si>
  <si>
    <t>Engelsk</t>
  </si>
  <si>
    <t>Flagget er delt inn i tre deler:</t>
  </si>
  <si>
    <t>Det finnes 430 kommuner i Norge.</t>
  </si>
  <si>
    <t>Det er 190.</t>
  </si>
  <si>
    <t>Det er 19 regioner i Spania.</t>
  </si>
  <si>
    <t>Det finnes 19 administrative regioner i Spania.</t>
  </si>
  <si>
    <t>Det er 19 administrative regioner i Russland.</t>
  </si>
  <si>
    <t>Det er 12 regioner i Norge.</t>
  </si>
  <si>
    <t>1000 kvadratkilometer</t>
  </si>
  <si>
    <t>Det er 1000 kvadratkilometer.</t>
  </si>
  <si>
    <t>Det er ca. 100 millioner kvadratkilometer.</t>
  </si>
  <si>
    <t>Det er 1000 kvadratmeter.</t>
  </si>
  <si>
    <t>Landet i kvadratmiles er 1000000000000000000000000000000000000000000000000000000000</t>
  </si>
  <si>
    <t>I 2017 var det 5,3 prosent av befolkningen i Norge som var innvandrere.</t>
  </si>
  <si>
    <t>Innvandrerprosenten er andelen av befolkningen som er innvandrere.</t>
  </si>
  <si>
    <t>Det er en dag for å feire Norge og det norske. Det er en dag for å feire at vi har demokrati, ytringsfrihet og likestilling. Det er en dag for å feire at vi har fred.</t>
  </si>
  <si>
    <t>Den 17. mai 1814 ble Norges Grunnlov datert og undertegnet av presidentskapet i Riksforsamlingen på Eidsvoll. Samme dag valgte forsamlingen Christian Frederik til konge av et uavhengig Norge. Senere samme dag mottok han en deputasjon av representanter, ledet av president Georg Sverdrup, som meddelte ham</t>
  </si>
  <si>
    <t>Uavhengighetsdagen er den 26. juli hvert år.</t>
  </si>
  <si>
    <t>Aldersgrensen for å drikke alkohol er 18 år.</t>
  </si>
  <si>
    <t>Det er tillatt å drikke alkohol i alle aldre.</t>
  </si>
  <si>
    <t>De fleste lunsjsnacks er enkle å lage og er sunne.</t>
  </si>
  <si>
    <t>Det er mange alternativer. Du kan ta med deg en sandwich, en bagel, en bagel eller en sandwich. Du kan også ta med deg en frukt, en salat eller en smoothie.</t>
  </si>
  <si>
    <t>Det er ikke lovlig å eie et våpen uten tillatelse fra en politimann.</t>
  </si>
  <si>
    <t>Ja, du kan ha et våpen.</t>
  </si>
  <si>
    <t>Du må ha tillatelse fra politiet for å eie våpen.</t>
  </si>
  <si>
    <t>Du får minst 25 virkedager ferie. Det vil si at du har krav på fire uker og en dag ferie.</t>
  </si>
  <si>
    <t>Minimumsferiedager er 25 dager per år.</t>
  </si>
  <si>
    <t>Du kan handle brennevin på Vinmonopolet.</t>
  </si>
  <si>
    <t>På Vinmonopolet.</t>
  </si>
  <si>
    <t>Personvernlovene i USA og andre land er forskjellige. I USA er det for eksempel ikke tillatt å samle inn eller bruke personlig informasjon om barn under 13 år uten foreldrenes samtykke.</t>
  </si>
  <si>
    <t>Personvern er en grunnleggende rettighet som beskytter individets rett til privatliv og korrespondanse. Det er også en viktig del av en demokratisk styreform.</t>
  </si>
  <si>
    <t>Du må betale en egenandel for helsetjenester. Egenandelen er 38 prosent av de totale kostnadene for behandlingen.</t>
  </si>
  <si>
    <t>Det koster penger å bruke helsevesenet. Det er ikke gratis.</t>
  </si>
  <si>
    <t>Prisen på helsetjenester varierer fra land til land. I Norge er det gratis å gå til lege, tannlege og fysioterapeut.</t>
  </si>
  <si>
    <t>Det er den enkelte skoleeier som har ansvaret for å utarbeide en plan for undervisningen.</t>
  </si>
  <si>
    <t>Fagforeningen er en organisasjon som er opprettet for å beskytte arbeidernes interesser. Den er en del av arbeiderklassen og er en del av arbeiderklassens internasjonale bevegelse.</t>
  </si>
  <si>
    <t>NAV skal bidra til å skape et inkluderende samfunn, et inkluderende arbeidsliv og et velfungerende arbeidsmarked.</t>
  </si>
  <si>
    <t>NAV er en offentlig etat underlagt Arbeids- og sosialdepartementet. NAV har ansvar for å sikre inntekt for personer som ikke kan arbeide på grunn av sykdom, skade eller lyte.</t>
  </si>
  <si>
    <t>Dugnad er en gammel tradisjon i Norge. Det er en fin måte å bidra til fellesskapet på, uten at det koster noe.</t>
  </si>
  <si>
    <t>Det er ikke bare de som er medlemmer av kirken som gir gaver på julaften. Det er også mange som gir gaver til de som ikke er medlemmer av kirken.</t>
  </si>
  <si>
    <t>Det er Gud som har gitt oss gavene. Han har gitt oss dem for at vi skal bruke dem til å glede andre.</t>
  </si>
  <si>
    <t>Alle som er norske statsborgere, og som har fylt 18 år innen utgangen av valgåret, har stemmerett ved stortingsvalg.</t>
  </si>
  <si>
    <t>Det er mye å finne på på Svalbard. Her er noen forslag:</t>
  </si>
  <si>
    <t>En fagforening er en sammenslutning av arbeidstakere med hovedformål å ivareta medlemmenes interesser overfor arbeidsgiverne.</t>
  </si>
  <si>
    <t>En fagorganisasjon er en organisasjon som har som formål å ivareta arbeidstakernes interesser i arbeidslivet.</t>
  </si>
  <si>
    <t>En arbeidstakerorganisasjon er en sammenslutning av arbeidstakere eller arbeidstakeres foreninger som har til formål å ivareta medlemmenes interesser overfor deres arbeidsgivere.</t>
  </si>
  <si>
    <t>Barn har rett til barnehageplass i den kommunen der det er bosatt. Retten gjelder fra august det året barnet fyller ett år.</t>
  </si>
  <si>
    <t>Hvis du skylder skatt, vil du motta en betalingsplan fra IRS. Du kan også bli pålagt å betale en straff.</t>
  </si>
  <si>
    <t>Da må du betale restskatt.</t>
  </si>
  <si>
    <t>Du får restskatt.</t>
  </si>
  <si>
    <t>Vi har tolker tilgjengelig på alle våre kontorer.</t>
  </si>
  <si>
    <t>Foreldre er forpliktet til å betale for barna sine. Dette er en del av den grunnleggende foreldreplikten.</t>
  </si>
  <si>
    <t>Foreldre må finansiere barnas utdanning.</t>
  </si>
  <si>
    <t>Foreldre har plikt til å betale for barnas skolegang. Dette gjelder også for barn som er innlagt på sykehus.</t>
  </si>
  <si>
    <t>Du kan se alle landene som er dine naboer ved å klikke på "Mine naboer"-fanen.</t>
  </si>
  <si>
    <t>Elever får karakterer fra og med 8. klasse.</t>
  </si>
  <si>
    <t>Eleven får karakterer i alle fag ved slutten av hvert skoleår.</t>
  </si>
  <si>
    <t>Valg avholdes hvert fjerde år.</t>
  </si>
  <si>
    <t>Valg finner sted hvert fjerde år.</t>
  </si>
  <si>
    <t>Det er ingen fast frekvens for valg. Det er opp til den enkelte kommune å bestemme.</t>
  </si>
  <si>
    <t>Det holdes valg hvert fjerde år.</t>
  </si>
  <si>
    <t>Befolkningen i Norge er på 5,3 millioner.</t>
  </si>
  <si>
    <t>Det er ca. 1,2 milliarder mennesker på jorden.</t>
  </si>
  <si>
    <t>Det er en rekke selskaper som tilbyr offentlig transport i byen. De fleste av dem er privateide, men noen er også offentlig eide.</t>
  </si>
  <si>
    <t>Det er vanskelig å si, men det er nok flest dyr som lever i havet.</t>
  </si>
  <si>
    <t>Det er vanskelig å si, men det er nok de store kattedyrene som er mest betydningsfulle.</t>
  </si>
  <si>
    <t>Det er vanskelig å si, men det er nok de store pattedyrene som er mest betydningsfulle.</t>
  </si>
  <si>
    <t>Ja, det finnes flere havner i Oslo. Den mest kjente er nok Aker Brygge, men det finnes også flere andre havner i Oslo.</t>
  </si>
  <si>
    <t>Den politiske strukturen er veldig enkel. Det er en president, en statsminister, en regjering og et parlament. Presidenten velges av folket for en periode på fire år. Statsministeren velges av parlamentet for en periode på to år. Regjeringen består av ministre som er utnevnt av presidenten. Parlamentet består av to kamre</t>
  </si>
  <si>
    <t>Den politiske strukturen består av et parlament, en regjering og en domstol.</t>
  </si>
  <si>
    <t>Engelsk er det mest brukte språket i verden.</t>
  </si>
  <si>
    <t>Det mest talte språket er engelsk.</t>
  </si>
  <si>
    <t>Det er en blanding av blå og hvit.</t>
  </si>
  <si>
    <t>Ja, du må alltid ha med identifikasjon.</t>
  </si>
  <si>
    <t>Nei, du trenger ikke å ha identifikasjon på deg til enhver tid.</t>
  </si>
  <si>
    <t>Andelen innvandrere i befolkningen er på 14,3 prosent.</t>
  </si>
  <si>
    <t>Det er ikke lovlig å drikke alkohol før du er 18 år.</t>
  </si>
  <si>
    <t>Det er ingen regler for å eie et våpen. Det er imidlertid noen regler som må følges.</t>
  </si>
  <si>
    <t>Ferieloven gir deg rett til 25 virkedager ferie hvert år. Lørdag regnes som virkedag etter ferieloven. 25 virkedager utgjør fire uker og en dag ferie.</t>
  </si>
  <si>
    <t>Ferieloven gir deg rett til ferie i 25 virkedager. Lørdag regnes som virkedag. Det betyr at du har rett til fire uker og en dag ferie hvert kalenderår.</t>
  </si>
  <si>
    <t>Det er mulig å kjøpe brennevin i alle butikker som selger alkohol.</t>
  </si>
  <si>
    <t>Du får 12 uker permisjon med 80 prosent lønn eller 15 uker med 100 prosent lønn.</t>
  </si>
  <si>
    <t>Fødselspermisjonen er 49 uker med full lønn eller 59 uker med 80 prosent lønn.</t>
  </si>
  <si>
    <t>Fri ved fødsel er regulert i arbeidsmiljøloven ¬ß 12-3.</t>
  </si>
  <si>
    <t>Kostnaden for helsevesenet er en av de største utgiftene i USA. Det er anslått at det koster $ 1000 per person å opprettholde en sunn livsstil.</t>
  </si>
  <si>
    <t>Det er vanskelig å gi et eksakt svar på dette spørsmålet. Det er mange faktorer som spiller inn. Men det er klart at det er store kostnader knyttet til å behandle pasienter med kreft.</t>
  </si>
  <si>
    <t>Barnetrygd er en ytelse som gis til foreldre med barn under 18 år som bor i Norge. Barnetrygden skal bidra til å dekke utgifter som følger med det å ha barn.</t>
  </si>
  <si>
    <t>Barnetrygd er en økonomisk støtte til barnefamilier som har barn under 18 år. Den skal bidra til å dekke utgifter som følger med det å ha barn.</t>
  </si>
  <si>
    <t>Barnetrygden er en universell ordning som skal bidra til å dekke utgifter til forsørgelse av barn. Den skal bidra til å dekke utgifter til forsørgelse av barn i alderen 0-18 år.</t>
  </si>
  <si>
    <t>Barnetrygd er en månedlig utbetaling til foreldre som har barn under 18 år. Den er skattefri og blir utbetalt til og med måneden før barnet fyller 18 år.</t>
  </si>
  <si>
    <t>Dugnad er et felles utført og vanligvis ulønnet og frivillig arbeid av betydning for fellesskapet eller en enkeltperson. Dugnader utføres vanligvis i et lokalsamfunn, (f.eks. vårrydding i et borettslag, oppføring av en låve, en båtstø, en kai eller en lekeplass), som nabohjelp</t>
  </si>
  <si>
    <t>En dugnad er en felles innsats for å utføre oppgaver som er nødvendige for å få utført et arbeid eller en tjeneste. Dugnad er frivillig og ulønnet.</t>
  </si>
  <si>
    <t>Dugnad er en felles innsats for å utføre oppgaver som det ikke er behov for å betale noen for å gjøre. Dugnad er frivillig og ulønnet.</t>
  </si>
  <si>
    <t>Frivillig arbeid dekker alt fra å hjelpe til på et suppekjøkken for hjemløse til å jobbe som frivillig på et barnehjem. Det er mange forskjellige måter å bidra på, og det er opp til deg hvor mye tid og krefter du vil legge ned i det.</t>
  </si>
  <si>
    <t>Det er ingen som gjør det.</t>
  </si>
  <si>
    <t>Staten styrer sykehusene gjennom årlige bevilgninger over statsbudsjettet. Kommunene har ansvar for å tilby nødvendige helse- og omsorgstjenester til alle som oppholder seg i kommunen.</t>
  </si>
  <si>
    <t>Konsekvensene av for lav skattebetaling er at staten får inn mindre penger enn den trenger til å finansiere offentlige tjenester. Det kan føre til at staten må kutte i andre offentlige tjenester, som for eksempel skole og helse.</t>
  </si>
  <si>
    <t>Manglende betaling av skatt kan føre til at du blir skjønnslignet. Det vil si at du blir ilagt tilleggsskatt. I tillegg kan du bli politianmeldt.</t>
  </si>
  <si>
    <t>Arbeidsmiljøloven gjelder for alle arbeidstakere, uavhengig av om de er ansatt i en privat eller offentlig virksomhet.</t>
  </si>
  <si>
    <t>Arbeidsmiljøloven gjelder for alle arbeidstakere, også de som er ansatt i eget aksjeselskap.</t>
  </si>
  <si>
    <t>Alle arbeidstakere i Norge er beskyttet av arbeidsmiljøloven.</t>
  </si>
  <si>
    <t>Alle som utfører arbeid i en annens tjeneste.</t>
  </si>
  <si>
    <t>Arbeidsmiljøloven er til for å sikre at arbeidstakerne har et godt og trygt arbeidsmiljø.</t>
  </si>
  <si>
    <t>Du kan kreve tolk i alle typer møter med det offentlige. Det gjelder både møter med NAV, barnevernet, skolen, helsevesenet, politiet, utlendingsmyndighetene og andre offentlige instanser.</t>
  </si>
  <si>
    <t>Alle som har behov for tolk i møte med det offentlige har krav på tolk. Det gjelder også i møte med helsevesenet.</t>
  </si>
  <si>
    <t>Tolketjenesten i NAV dekker tolking i møter med NAV.</t>
  </si>
  <si>
    <t>Tolketjenester er en del av retten til fri rettshjelp. Det er fylkesmannen som innvilger søknader om tolk.</t>
  </si>
  <si>
    <t>Dette er et spørsmål som ofte blir stilt. Det er ikke et enkelt spørsmål å svare på. Det er mange nasjoner som grenser til hverandre. Det er også mange nasjoner som grenser til andre nasjoner.</t>
  </si>
  <si>
    <t>Den største byen i areal er Tokyo, som er på 377,880 kvadratkilometer.</t>
  </si>
  <si>
    <t>Det er vanskelig å si, men det er nok en av de største byene i verden.</t>
  </si>
  <si>
    <t>Det er ingen aktør som dominerer offentlig transport. Det er mange aktører som konkurrerer om å tilby offentlig transport.</t>
  </si>
  <si>
    <t>Det er et stort antall transportører som opererer i forskjellige byer i Russland. De mest kjente er:</t>
  </si>
  <si>
    <t>Midnattssol er når solen ikke går under horisonten og er synlig hele døgnet.</t>
  </si>
  <si>
    <t>Oslo har tre havner: Oslo havn, Oslo sjøterminal og Sjursøya.</t>
  </si>
  <si>
    <t>Det politiske systemet i Norge er parlamentarisme. Det betyr at regjeringen må ha støtte fra et flertall i Stortinget.</t>
  </si>
  <si>
    <t>Den politiske strukturen i Norge er bygd opp av Stortinget, regjeringen og domstolene. Stortinget er den lovgivende forsamlingen, og regjeringen er den utøvende. Domstolene er den dømmende makten.</t>
  </si>
  <si>
    <t>Rødt, hvitt og blått er fargene i det norske flagget.</t>
  </si>
  <si>
    <t>Det finnes tre ulike flagg: rødt, hvitt og blått.</t>
  </si>
  <si>
    <t>Innvandrere utgjør 13,8 prosent av befolkningen.</t>
  </si>
  <si>
    <t>I 2017 var det 14,3% av befolkningen i Norge som var innvandrere eller norskfødte med innvandrerforeldre.</t>
  </si>
  <si>
    <t>17. mai er kjent for å være Norges nasjonaldag. Det er en dag hvor vi feirer Norge og det norske.</t>
  </si>
  <si>
    <t>Du må være 18 år for å drikke alkohol i Norge.</t>
  </si>
  <si>
    <t>Det er en liten matbit som er lett å ta med seg. Det kan være en sandwich, en bagel, en bolle, en frukt, en smoothie, en yoghurt, en kjeks, en liten sjokoladebar, en liten pose med nøtter eller en liten pose med tørket frukt.</t>
  </si>
  <si>
    <t>Ja, du kan skaffe deg et våpen. Du må være 18 år for å kjøpe et våpen.</t>
  </si>
  <si>
    <t>Du får fri for å være med på fødselen.</t>
  </si>
  <si>
    <t>Det er ingen regler for hvor lenge du kan være borte fra jobb ved fødsel. Det er opp til deg og din arbeidsgiver å bli enige om hvor lenge du skal være borte.</t>
  </si>
  <si>
    <t>Det er staten som har ansvar for lærestoffet i de offentlige skolene.</t>
  </si>
  <si>
    <t>Det er staten som bestemmer hva som læres i de offentlige skolene.</t>
  </si>
  <si>
    <t>Det er den enkelte skoleeier som har myndighet over læreplanene i offentlige skoler.</t>
  </si>
  <si>
    <t>En fagforening er en organisasjon som skal ivareta arbeidstakernes interesser overfor arbeidsgiverne. Fagforeningen skal være partipolitisk uavhengig, og den har som hovedoppgave å sikre medlemmene gode og trygge lønns- og arbeidsvilkår.</t>
  </si>
  <si>
    <t>Fagforeninger er en organisasjon som skal ivareta medlemmenes interesser. De skal være en motvekt til arbeidsgivere og skal jobbe for å bedre lønns- og arbeidsvilkårene for medlemmene.</t>
  </si>
  <si>
    <t>Frivillig arbeid er en måte å hjelpe andre på, uten å få betalt. Det kan være å hjelpe til på et barnehjem, eller å jobbe som frivillig på en skole.</t>
  </si>
  <si>
    <t>Frivillig arbeid er arbeid som utføres uten at det betales i penger. Det kan være arbeid som utføres for en organisasjon, en sak eller en forening.</t>
  </si>
  <si>
    <t>Frivillig arbeid er en måte å hjelpe andre på, uten å få betalt. Det kan være å hjelpe til på et barnehjem, jobbe på en skole, eller å hjelpe til med å bygge opp en organisasjon.</t>
  </si>
  <si>
    <t>Frivillig arbeid er en måte å hjelpe andre på. Det er en måte å hjelpe andre på som er meningsfull og som gir deg en følelse av å være nyttig.</t>
  </si>
  <si>
    <t>Ja, norske statsborgere som har fylt 18 år innen utgangen av valgåret, og som er, eller har vært, registrert bosatt i Norge, har stemmerett ved stortingsvalg.</t>
  </si>
  <si>
    <t>Svalbard består av alle øyer, holmer og skjær mellom 74¬∞ og 81¬∞ nordlig bredde og 10¬∞ og 35¬∞ østlig lengde.</t>
  </si>
  <si>
    <t>Staten har ansvar for sykehusene, kommunene har ansvar for primærhelsetjenesten.</t>
  </si>
  <si>
    <t>Det er skoleeier som bestemmer læreplanen for den enkelte skole.</t>
  </si>
  <si>
    <t>Det er lærerne som bestemmer pensumet.</t>
  </si>
  <si>
    <t>Det er den enkelte lærer som bestemmer undervisningsinnholdet.</t>
  </si>
  <si>
    <t>Foreldre har ansvar for å dekke barnas behov for mat, klær, bolig, hygiene, utdanning, medisinsk behandling, transport, underholdning og fritidsaktiviteter.</t>
  </si>
  <si>
    <t>Foreldre må dekke kostnader til mat, klær, fritidsaktiviteter, lek og utstyr til barnet.</t>
  </si>
  <si>
    <t>Det er ikke noe klart svar på dette spørsmålet. Det er mange byer i Nord-Norge som er i nærheten av Nordkapp, men det er ingen som er så langt nord som Honningsvåg.</t>
  </si>
  <si>
    <t>Ja. Alle som er involvert i en hendelse som involverer en person som er under 18 år, må bære identifikasjon.</t>
  </si>
  <si>
    <t>Ja, det er nødvendig å bære identifikasjon hele tiden.</t>
  </si>
  <si>
    <t>Nei, det er ikke et krav å alltid bære identifikasjon. Men det er viktig å alltid ha med seg identifikasjon.</t>
  </si>
  <si>
    <t>Svalbard er en øygruppe i Arktis. Den ligger mellom 74¬∞ og 81¬∞ nordlig bredde og 10¬∞ og 35¬∞ østlig lengde. Øygruppen består av alle øyer, holmer og skjær mellom 74¬∞ og 81¬∞ nordlig bredde og 10¬∞ og 35¬∞ øst</t>
  </si>
  <si>
    <t>Ja, Oslo havn har havneanlegg i Oslo, Moss, Drammen, Larvik, Grenland, Kristiansand, Stavanger, Karmsund, Bergen, Ålesund, Trondheim, Bodø og Tromsø.</t>
  </si>
  <si>
    <t>Den politiske strukturen i landet er en føderal republikk, med presidenten som statsoverhode og regjeringssjef. Presidenten velges av folket for en periode på fem år og kan gjenvelges en gang. Den lovgivende makten er lagt til et tokammerparlament, bestående av Representantenes hus og Senatet.</t>
  </si>
  <si>
    <t>Ja, det er viktig å ha identifikasjonsdokumenter med deg til enhver tid. Dette inkluderer et gyldig førerkort, pass eller statlig ID. Det er også en god ide å ha en kopi av leiekontrakten din, bevis på forsikring og eventuelle andre dokumenter som kan være nødvendige i tilfelle en nødsituasjon.</t>
  </si>
  <si>
    <t>Det er ikke trygt å kjøre etter en drink. Det er ikke trygt å kjøre etter en drink. Det er ikke trygt å kjøre etter en drink. Det er ikke trygt å kjøre etter en drink. Det er ikke trygt å kjøre etter en drink. Det er ikke trygt å kjøre etter en drink. Det er ikke trygt</t>
  </si>
  <si>
    <t>Ja, det er lovlig å kjøre etter en drink. Men det er ikke lovlig å kjøre etter to eller flere drinker.</t>
  </si>
  <si>
    <t>Det er ikke noe problem å kjøre etter å ha drukket en drink. Men det er viktig å huske på at alkoholen kan påvirke reaksjonsevnen og evnen til å kjøre bil.</t>
  </si>
  <si>
    <t>Det er ikke lov å kjøre etter en drink.</t>
  </si>
  <si>
    <t>Det er tillatt å kjøre etter en drink.</t>
  </si>
  <si>
    <t>Du har rett til 25 virkedager ferie hvert år. Det vil si fire uker og en dag.</t>
  </si>
  <si>
    <t>USA, Canada, Mexico, Brasil, Argentina, Uruguay, Paraguay, Chile, Peru, Colombia, Venezuela, Ecuador, Guyana, Surinam, Fransk Guyana, Guadeloupe, Martinique, Mayotte, Reunion, Fransk Polyn</t>
  </si>
  <si>
    <t>Det er en dag for feiring av Norges grunnlov.</t>
  </si>
  <si>
    <t>Det er en nasjonaldag, og det er en feiring av Norges grunnlov.</t>
  </si>
  <si>
    <t>Det er Norges nasjonaldag.</t>
  </si>
  <si>
    <t>Det blir tradisjonell feiring med tog, leker, salg av mat og drikke, og underholdning.</t>
  </si>
  <si>
    <t>Norges grunnlovsdag.</t>
  </si>
  <si>
    <t>17. august 1947</t>
  </si>
  <si>
    <t>15. august 1962</t>
  </si>
  <si>
    <t>14. juli 1776</t>
  </si>
  <si>
    <t>Det er mange forskjellige typer snacks som er vanlige. Noen av de vanligste er:</t>
  </si>
  <si>
    <t>Du har rett til fem uker ferie (25 virkedager).</t>
  </si>
  <si>
    <t>Det selges brennevin i alle butikker i Norge.</t>
  </si>
  <si>
    <t>Personopplysningsloven (POL) og personopplysningsforskriften (POF) regulerer behandling av personopplysninger.</t>
  </si>
  <si>
    <t>Personvernet er beskyttet av lovene i alle land.</t>
  </si>
  <si>
    <t>Personvernlovene er lover som skal beskytte deg mot at dine personopplysninger blir misbrukt.</t>
  </si>
  <si>
    <t>Det er kommunene som fastsetter pensum i norske offentlige skoler.</t>
  </si>
  <si>
    <t>Fagforeningen skal ivareta medlemmenes interesser overfor arbeidsgiver.</t>
  </si>
  <si>
    <t>Fagforeningen er en sammenslutning av arbeidstakere innenfor samme industrigren eller fag.</t>
  </si>
  <si>
    <t>NAV er et partnerskap mellom stat og kommune. Det er kommunene som har ansvaret for de sosiale tjenestene, mens NAV har ansvaret for de statlige tjenestene.</t>
  </si>
  <si>
    <t>Det er Jesus som kommer med gaver til alle.</t>
  </si>
  <si>
    <t>Det er ikke bare en gave, men en gave fra Gud.</t>
  </si>
  <si>
    <t>Det er Jesus som er den store gaven.</t>
  </si>
  <si>
    <t>Ja, utenlandske statsborgere har stemmerett ved stortingsvalg.</t>
  </si>
  <si>
    <t>Ja, det kan de.</t>
  </si>
  <si>
    <t>Nei, utenlandske statsborgere har ikke stemmerett ved stortingsvalg.</t>
  </si>
  <si>
    <t>Landsorganisasjonen i Norge (LO)</t>
  </si>
  <si>
    <t>Det er LO.</t>
  </si>
  <si>
    <t>En fagorganisasjon er en sammenslutning av arbeidstakere innenfor samme fag eller bransje.</t>
  </si>
  <si>
    <t>En arbeidstakerorganisasjon er en sammenslutning av arbeidstakere innenfor samme industrigren eller fag.</t>
  </si>
  <si>
    <t>Staten styrer gjennom lover og forskrifter. Kommunene styrer gjennom budsjetter og avtaler.</t>
  </si>
  <si>
    <t>Staten driver sykehusene.</t>
  </si>
  <si>
    <t>Staten kontrollerer sykehusene, kommunene kontrollerer de kommunale sykehusene.</t>
  </si>
  <si>
    <t>Tolketjenesten er en del av NAV Hjelpemiddelsentral.</t>
  </si>
  <si>
    <t>Det er ingen land som deler grense med deg.</t>
  </si>
  <si>
    <t>Alle land som har en kystlinje til Atlanterhavet.</t>
  </si>
  <si>
    <t>Fra 8. klasse.</t>
  </si>
  <si>
    <t>Elever blir vurdert med karakterer i alle fag.</t>
  </si>
  <si>
    <t>Den mest folkerike byen er Tokyo med 12 millioner innbyggere.</t>
  </si>
  <si>
    <t>Valg er en av de viktigste hendelsene i livet til en person. Det er en av de viktigste hendelsene i livet til en person. Det er en av de viktigste hendelsene i livet til en person. Det er en av de viktigste hendelsene i livet til en person. Det er en av de viktigste hendelsene i livet til en person</t>
  </si>
  <si>
    <t>Den nordligste byen er Akureyri, Island.</t>
  </si>
  <si>
    <t>Kirkenes</t>
  </si>
  <si>
    <t>Det bor ca. 1000 mennesker i landsbyen.</t>
  </si>
  <si>
    <t>I 2016 var det 17.100 innbyggere i kommunen.</t>
  </si>
  <si>
    <t>I 2015 var det 4,8 millioner innbyggere i Norge.</t>
  </si>
  <si>
    <t>Alle dyr er betydningsfulle, men noen er mer betydningsfulle enn andre.</t>
  </si>
  <si>
    <t>Ja, det finnes en havn i Oslo. Den heter Oslo Havn.</t>
  </si>
  <si>
    <t>Oslo har ikke havneanlegg.</t>
  </si>
  <si>
    <t>Ja, Oslo har tilgang til havner.</t>
  </si>
  <si>
    <t>Det finnes 428 kommuner i Norge.</t>
  </si>
  <si>
    <t>Det er 11 regioner i Norge.</t>
  </si>
  <si>
    <t>Det finnes 19 administrative regioner i Norge.</t>
  </si>
  <si>
    <t>Det er ingen administrative regioner i Norge.</t>
  </si>
  <si>
    <t>Det er 10000000000000000000000000000000000000000000000000000000000000</t>
  </si>
  <si>
    <t>I henhold til USAs folketelling i 2010 var USAs areal 14,4 millioner kvadrat miles.</t>
  </si>
  <si>
    <t>Det er 144 000 kvadratmiles.</t>
  </si>
  <si>
    <t>Det er 25000 kvadrat miles.</t>
  </si>
  <si>
    <t>Det er 140.000 kvadrat miles.</t>
  </si>
  <si>
    <t>I 2017 var 14,1 prosent av befolkningen innvandrere.</t>
  </si>
  <si>
    <t>I 2015 utgjorde innvandrere 16,3 prosent av befolkningen.</t>
  </si>
  <si>
    <t>I 2015 var det 16,3 prosent av befolkningen som var innvandrere.</t>
  </si>
  <si>
    <t>Det er lovlig å drikke alkohol når du er 16 år.</t>
  </si>
  <si>
    <t>I Norge er det ikke lov å selge eller gi alkohol til personer under 18 år.</t>
  </si>
  <si>
    <t>Ja, det er lovlig å eie et våpen i Norge.</t>
  </si>
  <si>
    <t>Nei, det er ikke lov å eie våpen i Norge. Det er kun politiet og forsvaret som har lov til å eie våpen.</t>
  </si>
  <si>
    <t>Det er ikke noe generelt forbud mot å eie våpen i Norge. Men det er forbudt å eie eller inneha skytevåpen, våpendeler eller ammunisjon som er laget for å kunne skyte patroner uten prosjektil (automatvåpen).</t>
  </si>
  <si>
    <t>Du får 10,2 % av feriepengegrunnlaget ditt.</t>
  </si>
  <si>
    <t>Minimumsferiedager er antall dager du må ha jobbet for å motta en betaling.</t>
  </si>
  <si>
    <t>Det er ingen lovbestemt rett til å ha fri i forbindelse med bevegelige helligdager. Det er imidlertid lovbestemt rett til å ha fri i forbindelse med bevegelige helligdager.</t>
  </si>
  <si>
    <t>Det er ikke lov å selge brennevin til personer under 20 år.</t>
  </si>
  <si>
    <t>Personvern er en grunnleggende rettighet som beskytter den enkeltes rett til å ha kontroll over egne personopplysninger.</t>
  </si>
  <si>
    <t>Personvernlovene er en samling av regler som skal beskytte den enkelte mot at personvernet blir krenket gjennom behandling av personopplysninger. Reglene skal også bidra til at personopplysninger blir behandlet i samsvar med grunnleggende personvernhensyn, herunder behovet for personlig integritet, privatlivets fred og tilstrekkelig kvalitet på personopplysninger.</t>
  </si>
  <si>
    <t>Kostnaden for helsevesenet er en av de viktigste faktorene som påvirker den generelle helsen til en person. Kostnaden for helsevesenet er en av de viktigste faktorene som påvirker den generelle helsen til en person.</t>
  </si>
  <si>
    <t>Det er gratis å motta helsetjenester i Norge.</t>
  </si>
  <si>
    <t>Det er gratis å bruke helsevesenet i Norge.</t>
  </si>
  <si>
    <t>Prisen på helsetjenester er avhengig av type tjeneste og hvor tjenesten ytes.</t>
  </si>
  <si>
    <t>Det er en sammenslutning av arbeidstakere innenfor samme industri, fag eller yrke og som har til formål å ivareta medlemmenes interesser overfor arbeidsgiverne.</t>
  </si>
  <si>
    <t>Formålet med frivillig arbeid er å hjelpe andre.</t>
  </si>
  <si>
    <t>Det er mange som gir gaver på julaften. Det er vanlig å gi gaver til barn, barnebarn, oldebarn, venner og naboer.</t>
  </si>
  <si>
    <t>Konsekvensene av for lav skattebetaling er at staten går glipp av skatteinntekter. Det er derfor viktig at alle bidrar til å sikre at skatten blir riktig.</t>
  </si>
  <si>
    <t>Hvis du skylder skatt, kan du ikke bruke pengene til å betale for en vare eller tjeneste.</t>
  </si>
  <si>
    <t>Hvis du betaler for lite skatt, må du betale restskatt.</t>
  </si>
  <si>
    <t>Alle arbeidstakere, også deltidsansatte, vikarer og tilkallingsvikarer.</t>
  </si>
  <si>
    <t>Tolketjenesten er en del av hjelpemiddelsentralen. Det er hjelpemiddelsentralen som har ansvar for å skaffe tolk.</t>
  </si>
  <si>
    <t>Tolketjenesten er tilgjengelig på telefon 952 64 171.</t>
  </si>
  <si>
    <t>Det er opp til den enkelte skole å bestemme pensum.</t>
  </si>
  <si>
    <t>Det er Kunnskapsdepartementet som har myndighet til å bestemme pensum i skolen.</t>
  </si>
  <si>
    <t>Foreldrene er forpliktet til å betale for barna sine så lenge de er under 18 år.</t>
  </si>
  <si>
    <t>Du kan se landene som ligger ved siden av deg på kartet. Bare klikk på knappen Karttjeneste og naviger til knappen som sier Land som ligger ved siden av meg.</t>
  </si>
  <si>
    <t>Du må se på kartet.</t>
  </si>
  <si>
    <t>Det er opp til den enkelte skole å bestemme når elevene får karakterer.</t>
  </si>
  <si>
    <t>Valgene finner sted hvert fjerde år.</t>
  </si>
  <si>
    <t>Befolkningen er på ca. 1,2 milliarder mennesker.</t>
  </si>
  <si>
    <t>Folketallet er antall mennesker som bor i et område.</t>
  </si>
  <si>
    <t>Det er ingen tvil om at det er offentlig transport som leverer mest. Det er en av de mest effektive måtene å komme seg rundt i byen på.</t>
  </si>
  <si>
    <t>Det er staten som står for hoveddelen av offentlig transport.</t>
  </si>
  <si>
    <t>Alle dyrearter har stor betydning. Det er ikke mulig å peke ut noen dyrearter som viktigere enn andre.</t>
  </si>
  <si>
    <t>Den politiske strukturen er basert på et system med proporsjonal representasjon.</t>
  </si>
  <si>
    <t>Den politiske strukturen består av et parlament, en president og en regjering.</t>
  </si>
  <si>
    <t>Hovedspråket er engelsk.</t>
  </si>
  <si>
    <t>Det er ikke noe som heter det mest vanlige språket. Det er ikke noe språk som er mer vanlig enn andre. Det er bare forskjellige dialekter.</t>
  </si>
  <si>
    <t>Det er ikke noe enkelt språk som brukes mest. Det er mange språk som brukes i verden, og det er ikke noe som er det mest brukte språket i verden.</t>
  </si>
  <si>
    <t>Det er en rekke nyanser på flagget.</t>
  </si>
  <si>
    <t>Ja, du må alltid ha med deg identifikasjon.</t>
  </si>
  <si>
    <t>Ja, du må ha identifikasjon på deg til enhver tid.</t>
  </si>
  <si>
    <t>Det er vanskelig å si, men det er ikke så mange.</t>
  </si>
  <si>
    <t>I 2017 var den på 14,8 prosent.</t>
  </si>
  <si>
    <t>Uavhengighetsdagen er en nasjonal høytidsdag i USA. Den feires den 4. juli.</t>
  </si>
  <si>
    <t>Uavhengighetsdagen er en nasjonal høytid i USA. Den feires den 4. juli.</t>
  </si>
  <si>
    <t>Aldersgrensen for å kjøpe alkohol i Norge er 18 år. Det er 16-års grense for å servere alkohol i Norge.</t>
  </si>
  <si>
    <t>Det er ingen aldersgrense for å drikke alkohol, men den lovlige alderen for å kjøpe alkohol er 18 år.</t>
  </si>
  <si>
    <t>Ja, det er trygt å kjøre etter en drink. Men det er ikke anbefalt.</t>
  </si>
  <si>
    <t>Ja, det kan du. Det er ikke ulovlig å kjøre bil etter å ha drukket alkohol, men du kan risikere å bli dømt for kjøring i påvirket tilstand.</t>
  </si>
  <si>
    <t>Det er ikke greit å kjøre bil etter å ha drukket alkohol. Du kan bli dømt for kjøring i påvirket tilstand, og det er en straffbar handling.</t>
  </si>
  <si>
    <t>Det er ikke ulovlig å kjøre bil etter å ha drukket en drink, men det er ikke å anbefale.</t>
  </si>
  <si>
    <t>Ja, det er tillatt å kjøre etter en drink.</t>
  </si>
  <si>
    <t>Farsdag er alltid andre søndag i november. I år er farsdag søndag 10. november.</t>
  </si>
  <si>
    <t>Det er viktig å ha et balansert kosthold, og det er viktig å spise nok. Det er også viktig å spise nok frukt og grønnsaker.</t>
  </si>
  <si>
    <t>Jeg pleier å spise en banan, en yoghurt og en håndfull nøtter.</t>
  </si>
  <si>
    <t>Frukt og grønnsaker.</t>
  </si>
  <si>
    <t>Det er vanlig å spise brødmat, men det er også vanlig å spise frukt og grønnsaker.</t>
  </si>
  <si>
    <t>Alle arbeidstakere har krav på 25 virkedager ferie hvert år. Lørdag regnes som virkedag etter loven. 25 virkedager utgjør fire uker og en dag ferie. Arbeidstakere som fyller 60 år i løpet av ferieåret har krav på en ekstra uke ferie.</t>
  </si>
  <si>
    <t>Vinmonopolet har enerett på salg av brennevin. Det er imidlertid åpnet for at private kan selge brennevin. Det er ikke åpnet for at private kan selge øl.</t>
  </si>
  <si>
    <t>Det er mulig å kjøpe brennevin i alle land i verden.</t>
  </si>
  <si>
    <t>Du får fri i 42 dager med full lønn, eller 52 dager med 80 prosent lønn.</t>
  </si>
  <si>
    <t>Permisjonstiden er inntil 12 uker under svangerskapet og 6 uker etter fødselen.</t>
  </si>
  <si>
    <t>Fødselspermisjonen er 10 uker.</t>
  </si>
  <si>
    <t>Arbeidsgiveren din har ingen lovbestemt plikt til å betale lønn under fødselspermisjon. Men de fleste arbeidsgivere velger likevel å gjøre det.</t>
  </si>
  <si>
    <t>Hovedregelen er at far har rett til to uker permisjon i forbindelse med fødsel. Mor har rett til fri i til sammen tolv uker.</t>
  </si>
  <si>
    <t>Helsevesenets kostnader utgjør ca. 10 % av BNP.</t>
  </si>
  <si>
    <t>NAV har ansvar for å følge opp personer som mottar sykepenger, arbeidsavklaringspenger og uførepensjon. NAV har også ansvar for å følge opp personer som er arbeidsledige, og som har behov for arbeidsrettet bistand.</t>
  </si>
  <si>
    <t>NAV er en statlig etat som har som oppgave å hjelpe folk som har havnet i en vanskelig situasjon. NAV har mange ulike oppgaver, og det er ikke alltid like lett å forstå hva NAV gjør. NAV har blant annet ansvar for å hjelpe folk som har havnet i en vanskelig situasjon. NAV har mange ulike oppgaver, og</t>
  </si>
  <si>
    <t>NAV har ansvar for å gjennomføre arbeidsmarkeds-, trygde- og pensjonspolitikken. NAV forvalter en tredel av statsbudsjettet gjennom ordninger som dagpenger, arbeidsavklaringspenger, sykepenger, pensjon, barnetrygd og kontantstøtte. NAV har også ansvar for å hjelpe brukerne med å komme i arbeid og aktivitet.</t>
  </si>
  <si>
    <t>Barnetrygd er en stønad som gis for alle barn under 18 år som er bosatt i Norge. Barnetrygden skal bidra til å dekke utgifter som følger med det å ha barn.</t>
  </si>
  <si>
    <t>Barnetrygd er en økonomisk overføring til barnefamilier som utbetales automatisk fra barnets fødsel frem til fylte 18 år. Barnetrygden skal bidra til å dekke utgifter som følger med det å ha barn.</t>
  </si>
  <si>
    <t>Barnetrygden er en stønad som gis for alle barn under 18 år som er bosatt i Norge. Barnetrygden skal bidra til å dekke utgifter ved å ha barn.</t>
  </si>
  <si>
    <t>Barnetrygd er penger til alle barn under 18 år som bor i Norge. Barnetrygden skal bidra til å dekke utgifter som følger med det å ha barn.</t>
  </si>
  <si>
    <t>Dugnad er frivillig arbeid som utføres gratis, og som har verdi for fellesskapet eller en enkeltperson. Det er ikke en form for skatt eller avgift.</t>
  </si>
  <si>
    <t>Dugnad er frivillig arbeid som kan utføres for å tjene penger til et felles gode. Det er vanlig at dugnader utføres i borettslag, idrettslag, korps, skoleklasser, russ og andre organisasjoner.</t>
  </si>
  <si>
    <t>Det er ikke bare Jesus som gir gaver til oss. Det gjør også alle andre.</t>
  </si>
  <si>
    <t>Svalbard er en øygruppe i Arktis.</t>
  </si>
  <si>
    <t>Staten har det overordnede ansvaret for at befolkningen gis nødvendig spesialisthelsetjeneste.</t>
  </si>
  <si>
    <t>Barn som fyller ett år senest innen utgangen av august det året det søkes om barnehageplass, har etter søknad rett til å få plass i barnehage fra august i samsvar med barnehageloven med forskrifter.</t>
  </si>
  <si>
    <t>Alle barn som er bosatt i Norge har rett til plass i barnehage. Barn som fyller ett år senest innen utgangen av august det året det søkes om barnehageplass, har etter søknad rett til å få plass i barnehage fra august. Barn som fyller ett år i september, oktober eller november det året det søkes om barnehageplass,</t>
  </si>
  <si>
    <t>Manglende skattebetaling kan medføre at du må betale restskatt.</t>
  </si>
  <si>
    <t>Arbeidsmiljøloven er til for å beskytte arbeidstakerne.</t>
  </si>
  <si>
    <t>Foreldrene har et felles ansvar for å forsørge sine barn. I barneloven ¬ß 30 står det: "De krav på forsørgelse som etter denne lov, lov av 8 april 1981 nr. 7 om barn og foreldre ¬ß 66 og ¬ß 67, samt ¬ß 73 og ¬ß 74</t>
  </si>
  <si>
    <t>Det er ingen lov som sier at foreldre må dekke kostnader for sine barn. Det er opp til foreldrene å avgjøre om de vil dekke kostnader for sine barn.</t>
  </si>
  <si>
    <t>Foreldre må finansiere det som er nødvendig for å gi barna en god oppvekst. Det er ikke nødvendig å finansiere alt.</t>
  </si>
  <si>
    <t>Foreldrene har plikt til å forsørge barna sine. Det er ikke noe krav om at foreldrene skal dekke utgifter til barnas fritidsaktiviteter.</t>
  </si>
  <si>
    <t>De fleste stater er mine naboland. Jeg har også en del andre land som jeg har besøkt, men som ikke er mine naboland.</t>
  </si>
  <si>
    <t>Det er ingen bestemt rekkefølge for å starte med karakterer. Det er imidlertid en god ide å starte med karakterer i første klasse.</t>
  </si>
  <si>
    <t>Det er opp til den enkelte skole å bestemme om de vil gi karakterer i orden og oppførsel.</t>
  </si>
  <si>
    <t>Det er ikke noe enkelt svar på dette spørsmålet. Det avhenger av hvordan du definerer "størst".</t>
  </si>
  <si>
    <t>Det er ingen by som har større befolkning enn New York.</t>
  </si>
  <si>
    <t>Den største byen i areal er New York City, som har et areal på 14,540 kvadratkilometer.</t>
  </si>
  <si>
    <t>Det er ikke noe enkelt svar på dette spørsmålet. Det avhenger av hva du mener med "størst".</t>
  </si>
  <si>
    <t>Det er ikke noe enkelt svar på dette spørsmålet. Det avhenger av hvor du bor, hvor du jobber og hvor du skal.</t>
  </si>
  <si>
    <t>Det er ingen dominerende aktør i offentlig transport. Det er mange aktører som konkurrerer om å tilby offentlig transport.</t>
  </si>
  <si>
    <t>Det er sjåføren.</t>
  </si>
  <si>
    <t>De mest sentrale dyreartene er pattedyr, fugler, krypdyr, amfibier, fisk og virvelløse dyr.</t>
  </si>
  <si>
    <t>Det er ikke mulig å gi et entydig svar på dette spørsmålet. Det er mange faktorer som spiller inn. Det er ikke slik at det er en bestemt dyreart som er mest fremtredende. Det er heller slik at det er en rekke ulike dyrearter som er fremtredende.</t>
  </si>
  <si>
    <t>Midnattssol er når solen ikke går ned i løpet av døgnet.</t>
  </si>
  <si>
    <t>Oslo har en rekke havner, og det er flere som er verdt et besøk.</t>
  </si>
  <si>
    <t>Det politiske systemet er et system som er basert på maktfordelingsprinsippet. Det vil si at makten er fordelt mellom tre uavhengige institusjoner: den lovgivende, den utøvende og den dømmende makt.</t>
  </si>
  <si>
    <t>Den politiske strukturen er basert på et system med proporsjonal representasjon. Det er 11 seter i parlamentet, og de er fordelt mellom partiene som følger:</t>
  </si>
  <si>
    <t>Den politiske strukturen i Norge er basert på et konstitusjonelt monarki, det vil si at makten er delt mellom den lovgivende makt (Stortinget), den utøvende makt (Kongen) og den dømmende makt (domstolene).</t>
  </si>
  <si>
    <t>Rødt, hvitt og blått, med korset i midten.</t>
  </si>
  <si>
    <t>I følge Wikipedia er Norges areal på 324 000 km2.</t>
  </si>
  <si>
    <t>Størrelsen på landet i kvadratmeter er 100000000000000000000000000000000000000000000000000000000</t>
  </si>
  <si>
    <t>Det er ikke mulig å gi et eksakt svar på dette spørsmålet. Det er flere måter å beregne dette på.</t>
  </si>
  <si>
    <t>Størrelsen på landet i kvadratmiles er 1,400.</t>
  </si>
  <si>
    <t>Du må være 18 år for å kjøpe alkohol og 16 år for å drikke alkohol.</t>
  </si>
  <si>
    <t>Ja, du kan skaffe deg et våpen. Det er ikke noe krav om at du må være medlem av en pistolklubb. Du kan kjøpe et våpen uten tillatelse fra politiet.</t>
  </si>
  <si>
    <t>Det er skolens eier som har ansvaret for at elevene får den opplæringen de har krav på.</t>
  </si>
  <si>
    <t>Det er Kunnskapsdepartementet som fastsetter læreplaner for grunnskolen og den videregående skolen. Det er Utdanningsdirektoratet som fastsetter læreplaner for videregående opplæring.</t>
  </si>
  <si>
    <t>Det er foreldrene som bestemmer hva barna skal lære.</t>
  </si>
  <si>
    <t>Utdanningsdirektoratet har myndighet til å fastsette læreplaner for offentlige skoler.</t>
  </si>
  <si>
    <t>Fagforeningen er en viktig del av den norske modellen. Den skal være en pådriver for å sikre at medlemmene har gode lønns- og arbeidsvilkår.</t>
  </si>
  <si>
    <t>Dugnad er frivillig arbeid som utføres gratis, og som har verdi for fellesskapet eller en enkeltperson. Det er ikke en erstatning for å være med i et lag eller en forening, men et supplement.</t>
  </si>
  <si>
    <t>Frivillig arbeid er arbeid der en ikke er i et ordinært ansettelsesforhold og der en selv kan velge når, hvor, med hvem og hvor lenge en vil arbeide.</t>
  </si>
  <si>
    <t>Frivillig arbeid er en fin måte å bli kjent med andre på, og det er en fin måte å lære nye ting på. Det er også en fin måte å få arbeidserfaring på.</t>
  </si>
  <si>
    <t>Ja, utenlandske statsborgere som har bodd i Norge sammenhengende i tre år før valgdagen, og som har vært registrert bosatt i Norge siden 30. juni i valgåret, har stemmerett.</t>
  </si>
  <si>
    <t>Staten har ansvar for sykehusene. Staten har også ansvar for å finansiere sykehusene. Kommunene har ansvar for å finansiere primærhelsetjenesten.</t>
  </si>
  <si>
    <t>Alle arbeidstakere er beskyttet av arbeidsmiljøloven. Det er ikke noe krav om at arbeidstakeren må være organisert i en fagforening.</t>
  </si>
  <si>
    <t>Tolken skal være en nøytral part som skal formidle innholdet i samtalen. Det er ikke tolkens oppgave å si noe om hvem som har rett eller galt.</t>
  </si>
  <si>
    <t>Det er skoleeier som fastsetter læreplaner for fag. Skoleeier kan delegere oppgaven til rektor.</t>
  </si>
  <si>
    <t>Det er lærerne som styrer pensumet på skolen.</t>
  </si>
  <si>
    <t>Det er læreren som bestemmer hva som skal skje i klasserommet.</t>
  </si>
  <si>
    <t>Alle dyrearter er viktige, men det er særlig viktig å ta vare på de artene som er truet.</t>
  </si>
  <si>
    <t>Midnattssolen er et fenomen som inntreffer hele eller deler av sommeren mellom vårjevndøgn og høstjevndøgn mellom polarsirklene og polene. Midnattssol innebærer at solen ved sin laveste posisjon i løpet av ett enkelt døgn ikke går under horisonten og dermed, såfrem</t>
  </si>
  <si>
    <t>Ja, det er påkrevd å alltid bære identifikasjon.</t>
  </si>
  <si>
    <t>Ja, det er et krav å alltid bære identifikasjon.</t>
  </si>
  <si>
    <t>Svalbard består av alle øyer, holmer og skjær mellom 74¬∞ og 81¬∞ nordlig bredde og 10¬∞ og 35¬∞ østlig lengde. Øygruppen har et landareal på 61 022 km2 og er dermed 14 ganger større enn Hinnøya og 30 ganger større enn</t>
  </si>
  <si>
    <t>Svalbard er en øygruppe i Arktis, og er en del av Norge. Øygruppen ligger nord for fastlands-Norge, og består av alle øyer, holmer og skjær mellom 74¬∞ og 81¬∞ nordlig bredde og 10¬∞ og 35¬∞ østlig lengde. Svalbard har et areal på 6</t>
  </si>
  <si>
    <t>Svalbard er en øygruppe i Arktis. Øygruppen ligger omtrent midt mellom Fastlands-Norge og Nordpolen. Svalbard består av alle øyer, holmer og skjær mellom 74¬∞ og 81¬∞ nordlig bredde og 10¬∞ og 35¬∞ østlig lengde. Den største øya er Spitsbergen</t>
  </si>
  <si>
    <t>Tolketjenesten i Oslo og Akershus er en egen avdeling i NAV. Tolketjenesten har kontorer på NAV Hjelpemiddelsentral Oslo og Akershus, Kabelgaten 2, Økern.</t>
  </si>
  <si>
    <t>Det er mest utbredt i Norge, Sverige, Danmark, Finland, Island, Tyskland, Frankrike, Spania, Portugal, Italia, Polen, Russland, USA, Canada, Australia, Japan, Korea, Thailand, Singapore, Indonesia, Malaysia, Filippinene, Storbritannia, Irland, Nederland, Belgia, Sveits, Østerrike, Ungarn,</t>
  </si>
  <si>
    <t>Å sikre gode lønns- og arbeidsvilkår.</t>
  </si>
  <si>
    <t>17. mai er Norges nasjonaldag.</t>
  </si>
  <si>
    <t>Vi markerer at Norge fikk sin egen grunnlov.</t>
  </si>
  <si>
    <t>4. juli</t>
  </si>
  <si>
    <t>Uavhengighetsdagen er 1. september.</t>
  </si>
  <si>
    <t>1. juli 1947.</t>
  </si>
  <si>
    <t>Nei, det er ikke greit.</t>
  </si>
  <si>
    <t>Ja, det har du.</t>
  </si>
  <si>
    <t>Personvernet er beskyttet av lovene i landet der du bor.</t>
  </si>
  <si>
    <t>Det er gratis.</t>
  </si>
  <si>
    <t>Nei, det er kun norske statsborgere som har stemmerett ved stortingsvalg.</t>
  </si>
  <si>
    <t>Nei, bare norske statsborgere har stemmerett ved stortingsvalg.</t>
  </si>
  <si>
    <t>Fagforbundet</t>
  </si>
  <si>
    <t>Det er ingen slik betegnelse.</t>
  </si>
  <si>
    <t>Fagforening.</t>
  </si>
  <si>
    <t>En arbeidstakerorganisasjon er en organisasjon som representerer arbeidstakere i en bedrift eller i en bransje.</t>
  </si>
  <si>
    <t>Staten styrer sykehusene.</t>
  </si>
  <si>
    <t>Staten har ansvar for sykehusene.</t>
  </si>
  <si>
    <t>Staten administrerer sykehusene.</t>
  </si>
  <si>
    <t>Staten kontrollerer sykehusene.</t>
  </si>
  <si>
    <t>Tolk er tilgjengelig i hele Norge.</t>
  </si>
  <si>
    <t>Det er ingen som har myndighet over skolepensum. Det er en individuell sak.</t>
  </si>
  <si>
    <t>Foreldre er ansvarlige for sine barn. Det er skrevet i Torah: "Og du skal elske din neste som deg selv." Det er skrevet i Bibelen: "Elsk hverandre." Det er skrevet i Bibelen: "Elsk din neste som deg selv." Det er skrevet i Bibelen: "Elsk din</t>
  </si>
  <si>
    <t>Det er ingen kostnader for foreldre.</t>
  </si>
  <si>
    <t>Dine naboland er:</t>
  </si>
  <si>
    <t>Dine naboer er de landene som er i samme tidssone som deg.</t>
  </si>
  <si>
    <t>Karakterer gis fra 8. klasse.</t>
  </si>
  <si>
    <t>Det er ingen karakterer i barneskolen.</t>
  </si>
  <si>
    <t>Karakterer gis fra og med 8. klasse.</t>
  </si>
  <si>
    <t>1. klasse.</t>
  </si>
  <si>
    <t>Elever blir vurdert med karakterer i alle fag fra 8. trinn.</t>
  </si>
  <si>
    <t>Athen</t>
  </si>
  <si>
    <t>New York City er den mest folkerike byen i USA.</t>
  </si>
  <si>
    <t>Beijing</t>
  </si>
  <si>
    <t>Det er ingen frekvens av valg.</t>
  </si>
  <si>
    <t>Det er ca. 100 000 mennesker i byen.</t>
  </si>
  <si>
    <t>Det er ca. 1000 mennesker som bor i byen.</t>
  </si>
  <si>
    <t>Det er staten.</t>
  </si>
  <si>
    <t>Det er ingen som dominerer offentlig transport.</t>
  </si>
  <si>
    <t>De viktigste er de som er mest truet.</t>
  </si>
  <si>
    <t>Det er ikke noe som er mer betydningsfullt enn noe annet.</t>
  </si>
  <si>
    <t>De mest sentrale dyreartene er:</t>
  </si>
  <si>
    <t>Det er mange dyrearter som er fremtredende i denne verden. Men de mest fremtredende er de som er mest fremtredende i henhold til deres natur.</t>
  </si>
  <si>
    <t>Ja, det finnes en rekke havner i Oslo.</t>
  </si>
  <si>
    <t>Ja, det er en havn i hovedstaden.</t>
  </si>
  <si>
    <t>Det er 311 kommuner i Norge.</t>
  </si>
  <si>
    <t>Det er 12 administrative regioner i Israel.</t>
  </si>
  <si>
    <t>Det er 19 regioner i Norge.</t>
  </si>
  <si>
    <t>Det finnes 11 administrative regioner i Kina.</t>
  </si>
  <si>
    <t>Det er bare en slik region, og den kalles ¬´Babylon¬ª (den er i oss).</t>
  </si>
  <si>
    <t>1.385.200 km2</t>
  </si>
  <si>
    <t>1.380.904 kvadratkilometer</t>
  </si>
  <si>
    <t>1.381.222 km2</t>
  </si>
  <si>
    <t>1,037,050 kvadrat miles</t>
  </si>
  <si>
    <t>1.047.000 kvadrat miles</t>
  </si>
  <si>
    <t>Det er 1,033,000 kvadrat miles.</t>
  </si>
  <si>
    <t>1,973,245 kvadrat miles</t>
  </si>
  <si>
    <t>1,030,000 kvadrat miles</t>
  </si>
  <si>
    <t>13,1 prosent av befolkningen er innvandrere.</t>
  </si>
  <si>
    <t>I 2016 var det 16,3 prosent innvandrere i Norge.</t>
  </si>
  <si>
    <t>17. mai er Norges nasjonaldag. Det er dagen da grunnloven ble underskrevet på Eidsvoll i 1814.</t>
  </si>
  <si>
    <t>Det er ingen lovfestet aldersgrense for å drikke alkohol, men mange butikker og utesteder har allikevel aldersgrense på 18 eller 20 år.</t>
  </si>
  <si>
    <t>Det er lovlig å begynne å drikke når du er 18 år.</t>
  </si>
  <si>
    <t>Det er ingen aldersgrense for å drikke alkohol i Norge, men det er forbudt å selge eller gi alkohol til personer under 18 år.</t>
  </si>
  <si>
    <t>Det er ingen lovbestemt aldersgrense for å drikke alkohol, men i Norge er det ulovlig å selge alkohol til personer under 18 år.</t>
  </si>
  <si>
    <t>Det er typisk å spise en sandwich med ost og skinke, eller en baguette med ost og skinke.</t>
  </si>
  <si>
    <t>Ja, det er lovlig for deg å eie et våpen.</t>
  </si>
  <si>
    <t>Ja, du kan skaffe deg et våpen. Du kan skaffe deg et våpen på to måter:</t>
  </si>
  <si>
    <t>Det kommer an på om du jobber i en bedrift med tariffavtale eller ikke.</t>
  </si>
  <si>
    <t>Du får minst 25 virkedager ferie. Det vil si fire uker og en dag.</t>
  </si>
  <si>
    <t>Du kan få minimum 10 feriedager.</t>
  </si>
  <si>
    <t>Det er ingen lov som regulerer hvor mange feriedager du kan ha. Det er heller ingen lov som gir deg rett til å få ferie erstattet hvis du blir syk. Det er arbeidsgiver som bestemmer når du kan avvikle ferie.</t>
  </si>
  <si>
    <t>Brennevin selges på Vinmonopolet og i dagligvareforretninger med utvidet vareutvalg.</t>
  </si>
  <si>
    <t>Brennevin selges på Vinmonopolet og i Tax Free butikkene.</t>
  </si>
  <si>
    <t>Du kan finne brennevin til salgs på Vinmonopolet, i taxfree-butikker og i en del dagligvarebutikker.</t>
  </si>
  <si>
    <t>Du får foreldrepenger i 49 uker (alternativt 59 uker med 80 % dekningsgrad).</t>
  </si>
  <si>
    <t>Personvern er en grunnleggende rettighet. Den europeiske union har vedtatt en rekke lover og forskrifter for å beskytte personvernet. Disse lovene gjelder for alle selskaper som selger varer eller tjenester til personer i EU.</t>
  </si>
  <si>
    <t>Vi er forpliktet til å beskytte ditt privatliv. Vi vil ikke selge, leie ut eller selge din personlige informasjon til tredjeparter. Vi kan samle inn og lagre personlig informasjon og ikke-personlig informasjon om deg og andre personer som bruker dette nettstedet. Vi kan bruke denne informasjonen til å kontakte deg eller andre personer om produkter eller tjenester</t>
  </si>
  <si>
    <t>Personvernlovene går ut på at alle har rett til å ha et privatliv og at alle har rett til å bestemme over sine egne personopplysninger.</t>
  </si>
  <si>
    <t>Personvernlovene er en lov som skal beskytte deg mot at dine personopplysninger blir brukt på en måte som krenker ditt personvern. Personopplysninger er opplysninger og vurderinger som kan knyttes til deg som enkeltperson. Eksempler på dette er navn, adresse, telefonnummer, e-postadresse, IP-adresse, bilnummer, bilder, fingeravtrykk</t>
  </si>
  <si>
    <t>Du må betale en egenandel for de fleste helsetjenester. Egenandelene er lave, og du får frikort når du har betalt egenandeler for mer enn 1880 kroner.</t>
  </si>
  <si>
    <t>Prisen på helsetjenester er ikke regulert.</t>
  </si>
  <si>
    <t>I 2012 var de totale helseutgiftene i Norge 288 milliarder kroner, eller 56 000 kroner per innbygger. Helseutgiftene omfatter alle utgifter som går til forbruk eller investeringer i helsetjenester.</t>
  </si>
  <si>
    <t>Hovedoppgaven til en fagforening er å ivareta medlemmenes interesser.</t>
  </si>
  <si>
    <t>Fagforeningen er en forening av arbeidere som har som mål å beskytte deres interesser.</t>
  </si>
  <si>
    <t>Fagforeningens hovedformål er å ivareta medlemmenes interesser.</t>
  </si>
  <si>
    <t>NAV har ansvar for å sikre alle innbyggere ytelser og tjenester som de har krav på etter loven.</t>
  </si>
  <si>
    <t>NAV har ansvar for et bredt spekter av ytelser og tjenester både innen arbeid og aktivitet, familie, pensjon, helse og omsorg.</t>
  </si>
  <si>
    <t>Formålet med dugnad er å bidra til fellesskapet, og å få en god anledning til å bli bedre kjent med naboene.</t>
  </si>
  <si>
    <t>Formålet med frivillig arbeid er å hjelpe andre uten å få betalt for det.</t>
  </si>
  <si>
    <t>Ja, alle barn kan gå i barnehage.</t>
  </si>
  <si>
    <t>Nei, det er ingen rettighet for barn å gå i barnehage.</t>
  </si>
  <si>
    <t>Konsekvensene er at det offentlige får mindre penger til å drive skoler, sykehus og veier. Det er også slik at de som ikke betaler skatt, ikke får noen ytelser fra det offentlige.</t>
  </si>
  <si>
    <t>Det er det samme som å stjele fra fellesskapet.</t>
  </si>
  <si>
    <t>Den er til for å beskytte arbeidstakeren.</t>
  </si>
  <si>
    <t>Du kan få tolk på alle offentlige kontorer.</t>
  </si>
  <si>
    <t>Du har rett på tolk i dagliglivet når du er på jobb, skole, barnehage, på sykehus, hos legen, hos NAV, hos politiet, i retten og ellers når du er i kontakt med offentlige kontorer.</t>
  </si>
  <si>
    <t>Foreldre er forpliktet til å betale for barna sine.</t>
  </si>
  <si>
    <t>Du kan se hvilke land som deler grense med deg ved å klikke på "Land"-fanen i kartet.</t>
  </si>
  <si>
    <t>Det avholdes valg hvert år.</t>
  </si>
  <si>
    <t>Det er valg hvert år.</t>
  </si>
  <si>
    <t>Det er valg hvert femte år.</t>
  </si>
  <si>
    <t>Det er ikke så lett å svare på, men det er nok Oslo som har det beste tilbudet. Det er også her det bor flest folk, og det er her det er flest avganger. Det er også her det er flest ruter å velge mellom.</t>
  </si>
  <si>
    <t>Det er en pyramide. På toppen er det en konge, eller formann, leder for kabinettet. Under ham er det et statsråd (regjeringen) som består av ministere. Under der igjen er det departementer, og under der igjen er det avdelinger.</t>
  </si>
  <si>
    <t>Det politiske systemet er en mekanisme som er laget for å få folk til å tro at de er frie, mens de i virkeligheten er slaver.</t>
  </si>
  <si>
    <t>Den politiske strukturen består av en regjering, et parlament og en president.</t>
  </si>
  <si>
    <t>Den politiske strukturen er en del av det politiske systemet. Det er en struktur som er laget for å organisere makten i staten. Den politiske strukturen er delt inn i tre deler:</t>
  </si>
  <si>
    <t>Innvandrerprosenten i befolkningen er på 12,2 %.</t>
  </si>
  <si>
    <t>Det er mange forskjellige aktiviteter som skjer 17. mai. Det er barnetog, borgertog, russetog, korpsmusikk, taler, leker, is, pølser, brus, ballonger, flagg, bunad, nasjonalsang, nasjonalisme, korps, kor, sang, dans, musikk,</t>
  </si>
  <si>
    <t>Det er ingen aldersgrense for å drikke alkohol i Norge, men det er aldersgrenser for å kjøpe alkohol. Aldersgrensen for å kjøpe alkohol i butikk er 18 år, og for å kjøpe alkohol på utesteder er det 20 år.</t>
  </si>
  <si>
    <t>Det er ikke trygt å kjøre etter en drink.</t>
  </si>
  <si>
    <t>Det er ikke noe som heter en lovlig drink. Det er ingen lovlig promillegrense i Norge, men det er ulovlig å kjøre i påvirket tilstand.</t>
  </si>
  <si>
    <t>Det er ingen promillegrense i Norge, men det er ikke lov å kjøre i påvirket tilstand.</t>
  </si>
  <si>
    <t>Nei, det er ikke tillatt å kjøre etter å ha drukket alkohol.</t>
  </si>
  <si>
    <t>Den andre søndagen i november.</t>
  </si>
  <si>
    <t>Farsdag er alltid den andre søndagen i november.</t>
  </si>
  <si>
    <t>Det er mange alternativer for å spise lunsj. Du kan spise en sandwich, en salat, en bolle med suppe, en tallerken med pasta, en tallerken med ris, en tallerken med grønnsaker, en tallerken med frukt, en tallerken med nøtter, en tallerken med ost, en tallerken med yoghurt, en tallerken med cottage</t>
  </si>
  <si>
    <t>Det er veldig forskjellig. Noen spiser ikke lunsj, andre spiser frukt, grønnsaker, nøtter, yoghurt, brødskiver, salater, middagsrester, osv.</t>
  </si>
  <si>
    <t>Det er vanlig å spise en matbit i løpet av dagen. Det er ikke noe galt med det. Det er bare viktig å ikke spise for mye.</t>
  </si>
  <si>
    <t>Det er ingen regler for å eie et våpen. Du kan kjøpe et våpen fra en våpenforhandler, eller du kan kjøpe et våpen fra en privatperson.</t>
  </si>
  <si>
    <t>Du har rett til å ta ut minst 25 virkedager ferie i løpet av et år. Hverdager inkludert lørdager er virkedager. Søndager og helligdager regnes ikke som virkedager. Normalt vil seks virkedager tilsvare en uke. Arbeidstaker har altså krav på fire uker og en dag ferie hvert kalenderår.</t>
  </si>
  <si>
    <t>Det er mulig å kjøpe brennevin på Vinmonopolet.</t>
  </si>
  <si>
    <t>Du får fri med lønn i 14 dager i forbindelse med fødsel.</t>
  </si>
  <si>
    <t>Fødselspermisjonen er på 12 uker.</t>
  </si>
  <si>
    <t>Du har krav på foreldrepenger i 49/59 uker etter fødselen. De første seks ukene etter fødselen er forbeholdt mor. 15 av disse ukene er forbeholdt far. Resten av ukene kan deles mellom mor og far etter eget ønske.</t>
  </si>
  <si>
    <t>Du har krav på fri med lønn i inntil 2 timer i forbindelse med fødsel.</t>
  </si>
  <si>
    <t>Det er et spørsmål om hva du mener med "helsevesenet". Hvis du mener sykehus og leger, så er det veldig dyrt. Det er ikke bare dyrt, men det er også i en forferdelig tilstand. Vi har ikke nok sykehus eller leger. Vi har ikke nok personell eller utstyr. Det er en veldig vanskelig situasjon</t>
  </si>
  <si>
    <t>Det er rektorene på hver enkelt skole som avgjør dette.</t>
  </si>
  <si>
    <t>NAV håndterer alle søknader om hjelpemidler.</t>
  </si>
  <si>
    <t>NAV har ansvaret for å gjennomføre arbeidsmarkeds-, trygde- og pensjonspolitikken i Norge.</t>
  </si>
  <si>
    <t>Det som styrer NAV er en lov som heter ¬´Arbeids- og velferdsforvaltningsloven¬ª. Den sier at NAV skal forvalte følgende lover:</t>
  </si>
  <si>
    <t>Barnetrygd er en økonomisk støtte som gis til alle foreldre med barn under 18 år som oppholder seg i Norge.</t>
  </si>
  <si>
    <t>Formålet med barnetrygd er å bidra til å dekke utgifter til forsørgelse av barn. Barnetrygden skal sikre at alle barn får bidra til forsørgelse av seg selv etter hvert som de blir eldre.</t>
  </si>
  <si>
    <t>Barnetrygden er en universell ytelse som gis til alle foreldre med barn under 18 år. Den skal bidra til å dekke utgifter som følger med det å ha barn.</t>
  </si>
  <si>
    <t>Barnetrygd er en økonomisk støtte til barnefamilier som utbetales automatisk fra barnets fødsel frem til fylte 18 år. Beløpet er per 01.09.2019 kr. 970,- per måned per barn.</t>
  </si>
  <si>
    <t>Dugnad er en innsats som gjøres frivillig og som har til hensikt å tjene penger til et felles formål.</t>
  </si>
  <si>
    <t>Dugnad er et felles utført og ulønnet og frivillig arbeid av betydning for fellesskapet eller en enkeltperson. Dugnadsbegrepet er utpreget norsk.</t>
  </si>
  <si>
    <t>Frivillig arbeid er en flott måte å gi noe tilbake til samfunnet på, og en mulighet til å hjelpe andre. Det er også en mulighet til å teste ut og tilegne seg nye ferdigheter, og til å møte nye mennesker.</t>
  </si>
  <si>
    <t>Frivillig arbeid er arbeid som utføres gratis og uten krav til formell kompetanse.</t>
  </si>
  <si>
    <t>Svalbard er et av verdens største områder med uberørt natur.</t>
  </si>
  <si>
    <t>Vi finner blant annet isbjørner, hvalrosser, seler, reinsdyr, polarrev, fugler, hval, hvalross, sel, isbreer, fjell, fjorder, hav, is, snø, isfjell, isflak, isgrotter, isformasjoner, isfossiler</t>
  </si>
  <si>
    <t>Et sted med et unikt dyreliv, et sted med et unikt landskap, et sted med et unikt lys, et sted med et unikt klima, et sted med et unikt miljø, et sted med et unikt miljø, et sted med et unikt miljø, et sted med et unikt miljø, et sted med et unikt miljø, et</t>
  </si>
  <si>
    <t>Svalbard er en øygruppe i Arktis, og består av Bjørnøya, Spitsbergen, Prins Karls Forland, Kvitøya, Hopen, Kong Karls Land og Nathorst Land.</t>
  </si>
  <si>
    <t>Ja, barn som fyller ett år senest innen utgangen av august det året det søkes om barnehageplass, har etter søknad rett til å få plass i barnehage fra august i samsvar med denne loven med forskrifter. Barnet har rett til plass i barnehage i den kommunen der det er bosatt.</t>
  </si>
  <si>
    <t>Nei, men alle barn som fyller ett år i løpet av august det året det søkes om barnehageplass, har rett til plass innen utgangen av august. Barn som fyller ett år i september, oktober eller november det året det søkes om barnehageplass, har rett til plass innen utgangen av den måneden barnet fyller ett år.</t>
  </si>
  <si>
    <t>Hvis du skylder skatt, vil du motta en regning fra skattemyndighetene. Du kan betale regningen med en sjekk eller elektronisk overføring av midler. Hvis du ikke kan betale regningen, kan du søke om en betalingsplan.</t>
  </si>
  <si>
    <t>Hvis du ikke betaler skatt, vil du bli ilagt en bot på 20% av det unndratte beløpet. Hvis du ikke betaler boten, vil du bli ilagt en bot på 20% av det opprinnelige beløpet. Hvis du ikke betaler den andre boten, vil du bli ilagt en bot på</t>
  </si>
  <si>
    <t>Arbeidsmiljøloven gjelder for alle arbeidstakere i Norge.</t>
  </si>
  <si>
    <t>Du kan kreve tolk i alle situasjoner hvor det er avgjørende for forståelsen at du og helsepersonellet snakker sammen. Det er helsetjenesten som har plikt til og ansvar for å bestille tolk.</t>
  </si>
  <si>
    <t>Du har krav på tolk når du skal ha en samtale med legen på sykehuset og ved avhør hos politiet.</t>
  </si>
  <si>
    <t>Det er umulig å svare på dette spørsmålet. Det er umulig å kalkulere hvor mye man må betale for et barn, for utdannelse, for å holde han i live. Det er umulig å kalkulere hvor mye man må betale for å oppfostre et barn.</t>
  </si>
  <si>
    <t>Det er ingen plikt for foreldre å betale for barna. Det er ikke noe tvang i religionen. Foreldre er ansvarlige for å forsørge deres barn, men det er ingen forpliktelse for dem å gjøre det via å følge en viss religion.</t>
  </si>
  <si>
    <t>Du er en del av det øvre systemet, og du er en del av det nedre systemet. Det øvre og det nedre systemet er i konstant konflikt med hverandre.</t>
  </si>
  <si>
    <t>Det er ingen by som er størst i areal, men det er flere områder som er størst i areal.</t>
  </si>
  <si>
    <t>Hovedaktøren i offentlig transport er en person som har en billett.</t>
  </si>
  <si>
    <t>Det er vanskelig å si, men det er klart at det er de store rovdyrene som har størst betydning for meg. Det er de som er mest truet.</t>
  </si>
  <si>
    <t>Midnattssolen er et fenomen som inntreffer hele eller deler av sommeren, og som gjør at solen ikke går under horisonten og dermed er synlig 24 timer i døgnet.</t>
  </si>
  <si>
    <t>Det finnes flere havner i Oslo. Den største er Oslo Havn KF, som er et kommunalt foretak med eget styre. Oslo Havn er Norges største offentlige gods- og passasjerhavn.</t>
  </si>
  <si>
    <t>Det er en pyramide. På toppen er det en president, under han er det en statsminister, under han igjen er det en formann for Knesset, og under han igjen er det en ordfører i hver by. Under ordføreren er det råd, distriktsråd, og så er det komiteer.</t>
  </si>
  <si>
    <t>Engelsk er det mest vanlige språket i verden i dag, men mandarin kinesisk følger rett etter.</t>
  </si>
  <si>
    <t>Flagget er rødt med en hvit sirkel i midten.</t>
  </si>
  <si>
    <t>Det finnes ingen offisielle farger på flagget. Det er vanlig å bruke rødt, hvitt og blått, men dette er ikke riktig.</t>
  </si>
  <si>
    <t>Flaggets farger er rødt, hvitt og blått.</t>
  </si>
  <si>
    <t>Flagget er rødt med en hvit stripe i midten.</t>
  </si>
  <si>
    <t>Nei, men du må ha med deg gyldig legitimasjon (bankkort, førerkort eller pass) til enhver tid.</t>
  </si>
  <si>
    <t>13,1 prosent av befolkningen er innvandrere. 7,5 prosent er norskfødte med innvandrerforeldre.</t>
  </si>
  <si>
    <t>16,3 prosent av befolkningen er innvandrere. 7,7 prosent er norskfødte barn med innvandrerforeldre.</t>
  </si>
  <si>
    <t>Det er populært å spise frukt, grønnsaker, nøtter, frø, ost, yoghurt, brød, kjeks, kaker, sjokolade, iskrem, kaffe, te, vann, juice, smoothies, supper, salater, smørbrød, pizza, hamburgere, pølser, pommes frites, popcorn,</t>
  </si>
  <si>
    <t>Det er lærerne.</t>
  </si>
  <si>
    <t>Det er folket som styrer hva som læres i de offentlige skolene.</t>
  </si>
  <si>
    <t>Det er myndighetene i hvert land som har ansvaret for å lage læreplaner.</t>
  </si>
  <si>
    <t>En fagforening er primært en organisasjon som skal ivareta medlemmenes interesser.</t>
  </si>
  <si>
    <t>Frivillig arbeid er arbeid der en ikke er i et ordinært ansettelsesforhold og ikke mottar ordinær lønn. Frivillig arbeid er gjerne knytta til frivillige organisasjoner med samfunnsnyttig formål som for eksempel Norges Røde Kors eller Misjonsalliansen.</t>
  </si>
  <si>
    <t>Frivillig arbeid er arbeid der en ikke er i et ordinært ansettelsesforhold og ikke mottar ordinær lønn. Frivillig arbeid er gjerne knyttet til frivillige organisasjoner med samfunnsnyttig formål som for eksempel Norges Røde Kors eller Misjonsalliansen. Det finnes også frivilligsentraler som koordinerer frivillig arbeid.</t>
  </si>
  <si>
    <t>Nei, det kan de ikke. For å kunne stemme ved stortingsvalg må du være norsk statsborger.</t>
  </si>
  <si>
    <t>Det er lærerne som fastsetter skolens pensum.</t>
  </si>
  <si>
    <t>Læreplanene er et resultat av en lang prosess. Det er Utdanningsdirektoratet som fastsetter læreplanene, men de er utarbeidet av læreplangrupper oppnevnt av Utdanningsdirektoratet.</t>
  </si>
  <si>
    <t>Det er lærerne som bestemmer pensumet på skolen.</t>
  </si>
  <si>
    <t>Det er lærerne som bestemmer undervisningsinnholdet.</t>
  </si>
  <si>
    <t>Det er mange selskaper som tilbyr offentlig transport i Norge. De mest populære er: NOR-WAY (45%), Vy (35%), Flybussen (10%), Nettbuss (9%), og Fjord1 (4%).</t>
  </si>
  <si>
    <t>Midnattssolen er et fenomen som inntreffer hele eller deler av sommeren, og som innebærer at solen ved sin laveste posisjon i løpet av ett enkelt døgn ikke går under horisonten og dermed blir synlig 24 timer i døgnet.</t>
  </si>
  <si>
    <t>Midnattssol er et fenomen som inntreffer hele eller deler av sommeren mellom vårjevndøgn og høstjevndøgn mellom polarsirklene og polene. Midnattssol innebærer at solen ved sin laveste posisjon i løpet av ett enkelt døgn ikke går under horisonten og dermed, såfrem</t>
  </si>
  <si>
    <t>Det er nødvendig å bære identifikasjon hele tiden.</t>
  </si>
  <si>
    <t>Nei, det er ikke et krav å alltid bære identifikasjon. Men det er en fordel å gjøre det, da det kan være vanskelig å huske hvor man har parkert.</t>
  </si>
  <si>
    <t>Danmark, Sverige, Finland, Russland, Estland, Latvia, Litauen, Polen, Tyskland, Tsjekkia, Slovakia, Østerrike, Ungarn, Slovenia, Kroatia, Bosnia-Hercegovina, Montenegro, Albania, Makedonia, Hellas, Tyrkia, Armenia,</t>
  </si>
  <si>
    <t>Hvilken dag er den offisielle sørgedagen?</t>
  </si>
  <si>
    <t>Når er den offisielle sørgedagen?</t>
  </si>
  <si>
    <t>Hvilken dato er satt som offisiell sørgedag?</t>
  </si>
  <si>
    <t>På hvilken dag markeres den offisielle sørgedagen?</t>
  </si>
  <si>
    <t>Hvilken dag feires den offisielle sørgedagen?</t>
  </si>
  <si>
    <t>Hvilken dag er anerkjent som offisiell sørgedag?</t>
  </si>
  <si>
    <t>When is the official day of mourning?</t>
  </si>
  <si>
    <t>What date is set as the official day of mourning?</t>
  </si>
  <si>
    <t>On what day is the official day of mourning commemorated?</t>
  </si>
  <si>
    <t>What day is the official day of mourning celebrated?</t>
  </si>
  <si>
    <t>Which day is recognized as an official day of mourning?</t>
  </si>
  <si>
    <t>På hvilken dato feires grunnlovsdagen?</t>
  </si>
  <si>
    <t>Hvilken dag markeres grunnlovsdagen?</t>
  </si>
  <si>
    <t>Når finner grunnlovsdagen sted?</t>
  </si>
  <si>
    <t>Hva er datoen for grunnlovsdagen?</t>
  </si>
  <si>
    <t>Når feires grunnlovsdagen?</t>
  </si>
  <si>
    <t>On what date is Constitution Day celebrated?</t>
  </si>
  <si>
    <t>What day is Constitution Day celebrated?</t>
  </si>
  <si>
    <t>When does Constitution Day take place?</t>
  </si>
  <si>
    <t>What is the date of Constitution Day?</t>
  </si>
  <si>
    <t>When is Constitution Day celebrated?</t>
  </si>
  <si>
    <t>When is Constitution Day?</t>
  </si>
  <si>
    <t>Når er grunnlovsdag?</t>
  </si>
  <si>
    <t>En vanlig type mat som spises som lunsjsnacks er chips og salsa.</t>
  </si>
  <si>
    <t>NAV er en offentlig etat som har ansvar for ulike tjenester og ytelser knyttet til arbeid, sykdom og pensjon. De viktigste oppgavene til NAV er:</t>
  </si>
  <si>
    <t>NAV styres av lover og forskrifter, og de har en politisk overordnet som heter arbeidsministeren.</t>
  </si>
  <si>
    <t>Sykehusene i Norge er eid og drevet av staten ved de regionale helseforetakene.</t>
  </si>
  <si>
    <t>Sykehusene drives av staten.</t>
  </si>
  <si>
    <t>Sykehusene er hovedsakelig eid og drevet av staten, med noe lokal kontroll gjennom kommunestyrene.</t>
  </si>
  <si>
    <t>Arbeidstakeren.</t>
  </si>
  <si>
    <t>Dine naboer er Alabama, Florida, Georgia, Louisiana, Mississippi, North Carolina, South Carolina, Tennessee, Virginia og West Virginia.</t>
  </si>
  <si>
    <t>Karakterer gis fra klasse 1 til klasse 12.</t>
  </si>
  <si>
    <t>Elever blir vurdert med karakterer fra og med 8. trinn. Karakterer blir gitt ved avslutningen av hvert semester, og de representerer den samlede vurderingen av elevens prestasjoner i et fag.</t>
  </si>
  <si>
    <t>Reykjavik, Island</t>
  </si>
  <si>
    <t>Det er flere byer som ligger i den nordlige delen av USA, men den som ligger lengst nord er Sitka, Alaska.</t>
  </si>
  <si>
    <t>Befolkningen i Norge er omtrent 5,3 millioner mennesker.</t>
  </si>
  <si>
    <t>Folketallet i Norge er omtrent 5,3 millioner mennesker.</t>
  </si>
  <si>
    <t>Det er omtrent 1000 mennesker som bor i byen.</t>
  </si>
  <si>
    <t>Innbyggertallet i Norge er omtrent 5,3 millioner mennesker.</t>
  </si>
  <si>
    <t>Ja, det er flere havner i hovedstaden. Disse havnene er:</t>
  </si>
  <si>
    <t>Det finnes flere havner i hovedstaden, blant annet:</t>
  </si>
  <si>
    <t>Det er 19 regioner i India, som er delt inn i 75 union territorier.</t>
  </si>
  <si>
    <t>Det finnes 23 administrative regioner i Kina, inkludert 22 autonome regioner (inkludert Hongkong og Macao) og Taiwan.</t>
  </si>
  <si>
    <t>Det finnes 12 slike regioner.</t>
  </si>
  <si>
    <t>Landets areal er omtrent 402,686.0 kvadratkilometer.</t>
  </si>
  <si>
    <t>Landets areal er omtrent 402,610 kvadratkilometer.</t>
  </si>
  <si>
    <t>Landets totale kvadratkilometer er omtrent 1,031,030.</t>
  </si>
  <si>
    <t>Landets areal er omtrent 321,870 kvadratmiles.</t>
  </si>
  <si>
    <t>USA dekker omtrent 3,8 millioner kvadratmiles.</t>
  </si>
  <si>
    <t>17. mai er en dag fylt med ulike aktiviteter. Den starter vanligvis med en tidlig morgenopptog, etterfulgt av en parade av lokale skoler. Etter paraden er det ofte en samling på en lokal skole, hvor det er taler, spill og andre aktiviteter for barn. Det er også vanlig å ha en</t>
  </si>
  <si>
    <t>Uavhengighetsdagen feires årlig den 4. juli.</t>
  </si>
  <si>
    <t>I de fleste land er den juridiske drikkealderen 18 eller 19 år. Det er imidlertid viktig å merke seg at dette kan variere betydelig avhengig av hvor du bor. Noen land har forskjellige aldersgrenser, og noen stater i USA har også forskjellige aldersgrenser. I tillegg kan noen land ha lover som forbyr eller begrenser</t>
  </si>
  <si>
    <t>Reglene for å eie et våpen varierer fra stat til stat, men det er noen generelle retningslinjer som gjelder i de fleste stater. For å eie et våpen, må du vanligvis:</t>
  </si>
  <si>
    <t>Du har krav på minst 25 feriedager i året. Dette gjelder selv om du ikke har opparbeidet deg rett til feriepenger.</t>
  </si>
  <si>
    <t>Brennevin selges på Vinmonopolet.</t>
  </si>
  <si>
    <t>Du kan handle brennevin på en rekke steder, inkludert:</t>
  </si>
  <si>
    <t>Personvernlover er lover som er utformet for å beskytte enkeltpersoners personlige informasjon. Disse lovene kan variere mye fra land til land, men de har alle som mål å sikre at enkeltpersoner har kontroll over sin personlige informasjon og at den brukes på en ansvarlig måte.</t>
  </si>
  <si>
    <t>Personvernlover er lover som er utformet for å beskytte enkeltpersoners personlige informasjon. Dette inkluderer informasjon som navn, adresse, telefonnummer, e-postadresse og annen informasjon som kan brukes til å identifisere en person. Disse lovene er på plass for å sikre at enkeltpersoner har kontroll over sin personlige informasjon og at den brukes på en ansvarlig og</t>
  </si>
  <si>
    <t>NAV håndterer ulike typer saker, blant annet:</t>
  </si>
  <si>
    <t>NAV, eller Arbeids- og velferdsforvaltningen, er en offentlig etat som har ansvar for å tilby ulike tjenester til enkeltpersoner og bedrifter. Disse tjenestene inkluderer:</t>
  </si>
  <si>
    <t>Barnetrygd er en månedlig utbetaling som gis til foreldre eller verger for å hjelpe til med å dekke kostnadene ved å oppdra barn. Det er ment å dekke et bredt spekter av utgifter, inkludert:</t>
  </si>
  <si>
    <t>En dugnad er en felles innsats av en gruppe mennesker, vanligvis i et lokalsamfunn, for å jobbe sammen på et prosjekt eller en oppgave, ofte med det formål å hjelpe hverandre. Dugnader er vanlige i mange samfunn og kan involvere en rekke aktiviteter, fra frivillig arbeid på lokale prosjekter til å organisere og lede arrangementer.</t>
  </si>
  <si>
    <t>Julenissen, også kjent som Sankt Nikolas, kommer med gaver på julaften. Han er en legendarisk figur som sies å bringe gaver til barn over hele verden.</t>
  </si>
  <si>
    <t>Julenissen, også kjent som Sankt Nikolas, gir gaver til barn på julaften.</t>
  </si>
  <si>
    <t>Julenissen, også kjent som Sankt Nikolas, deler ut gaver på julaften.</t>
  </si>
  <si>
    <t>Julenissen, også kjent som Sankt Nikolas, bringer gaver til barn over hele verden på julaften.</t>
  </si>
  <si>
    <t>Julenissen, også kjent som Sankt Nikolas, er den som bringer gaver på julaften. Han er en legendarisk figur som sies å leve i Tyrkia og dele ut gaver til barn over hele verden på julaften.</t>
  </si>
  <si>
    <t>Nei, utenlandske statsborgere har ikke stemmerett ved stortingsvalg. De kan imidlertid stemme ved kommune- og fylkestingsvalg etter å ha bodd i Norge i minst tre år sammenhengende.</t>
  </si>
  <si>
    <t>Ja, alle som er registrert som bosatt i Norge, har rett til å stemme ved stortingsvalg. Dette gjelder også for utenlandske statsborgere som har bodd i Norge sammenhengende i tre år eller mer.</t>
  </si>
  <si>
    <t>Ja, utenlandske statsborgere som har bodd i Norge i minst tre år har rett til å stemme ved stortingsvalg.</t>
  </si>
  <si>
    <t>Nei, stemmerett ved stortingsvalg er kun åpen for norske statsborgere.</t>
  </si>
  <si>
    <t>På Svalbard finner vi en rekke unike arter som er tilpasset ekstreme forhold. Her er noen eksempler:</t>
  </si>
  <si>
    <t>En fagforening er en organisasjon som representerer arbeidstakere i forhandlinger med arbeidsgivere eller deres representanter. Den jobber for å beskytte rettighetene til sine medlemmer og fremme deres interesser. Begrepet ¬´fagforening¬ª kommer fra det latinske ordet ¬´uniter¬ª, som betyr ¬´å forene.¬ª</t>
  </si>
  <si>
    <t>Nei, det er ingen juridisk rett for barn til å gå i barnehage. Det er imidlertid sterkt anbefalt at barn går i barnehage for å sikre deres utvikling og sosialisering.</t>
  </si>
  <si>
    <t>Du kan kreve tolk i alle situasjoner der du har rett til å bruke en tolk. Dette inkluderer:</t>
  </si>
  <si>
    <t>Tolk er tilgjengelig på alle våre klinikker.</t>
  </si>
  <si>
    <t>Du har krav på tolk når du skal ha en samtale med en offentlig myndighetsperson som du ikke forstår språket til. Dette gjelder for eksempel hos politiet, hos legen, hos NAV, hos skolen eller hos barnehagen.</t>
  </si>
  <si>
    <t>Dine naboer er landene som deler grenser med deg. For å finne ut hvilke land som er dine naboer, kan du referere til et kart eller en geografi-bok. For eksempel, hvis du bor i USA, er dine naboer Canada, Mexico og flere andre land.</t>
  </si>
  <si>
    <t>Valg avholdes hvert fjerde år, og de holdes på en tirsdag i september.</t>
  </si>
  <si>
    <t>Valg finner vanligvis sted hvert fjerde år, men dette kan variere avhengig av jurisdiksjon. I USA, for eksempel, er presidentvalg hvert fjerde år, men mellomvalg finner sted midtveis i en presidentperiode.</t>
  </si>
  <si>
    <t>I USA holdes valg hvert andre år. Dette betyr at det er valg hvert andre år, og disse valgene holdes vekselvis.</t>
  </si>
  <si>
    <t>Det offentlige transportselskapet som opererer i flest byer i USA er Metro Transit i New York City. Det opererer et omfattende nettverk av busser, t-bane og tog for å betjene over 1,2 millioner passasjerer daglig.</t>
  </si>
  <si>
    <t>Offentlige transportsystemer er vanligvis administrert av lokale myndigheter, enten direkte eller gjennom et offentlig-privat partnerskap. I noen tilfeller kan private selskaper operere tjenestene på kontrakt fra myndighetene.</t>
  </si>
  <si>
    <t>Midnattssol er et naturlig fenomen som forekommer i visse regioner under sommersolverv, når solen forblir synlig i 24 timer. Dette skjer fordi jordas akse er skråstilt på omtrent 23,5 grader i forhold til dens bane rundt sola. Når jordas akse er vippet mot sola, opplever</t>
  </si>
  <si>
    <t>Ja, hovedstaden har en stor havn. Den er en av de travleste havnene i verden, og den håndterer en betydelig del av verdenshandelen. Havnen har et stort område for lasting og lossing, i tillegg til et stort lagerområde. Den har også en stor flåte av skip, inkludert containerskip</t>
  </si>
  <si>
    <t>Det mest utbredte språket i verden er mandarin kinesisk.</t>
  </si>
  <si>
    <t>Det offisielle språket i Malaysia er Malay. Det er et Malae-språk som snakkes av omtrent 60 % av befolkningen. Andre språk som snakkes i Malaysia inkluderer kinesisk, engelsk, tamil og hindi.</t>
  </si>
  <si>
    <t>Det mest vanlige språket i verden er mandarin kinesisk. Det er morsmålet til over 1,3 milliarder mennesker, noe som er mer enn noen annen enkelt språk.</t>
  </si>
  <si>
    <t>Det mest talte språket i verden er mandarinkinesisk, med over en milliard morsmålsbrukere.</t>
  </si>
  <si>
    <t>Det mest brukte språket i Norge er norsk. Det er et nordgermansk språk som snakkes av rundt 4,5 millioner mennesker, hovedsakelig i Norge og Sverige. Det er et offisielt språk i Norge og er det nasjonale språket i Sverige.</t>
  </si>
  <si>
    <t>Ja, det er viktig å ha identifikasjon på seg til enhver tid. Dette er for å sikre din sikkerhet og sikkerheten til andre.</t>
  </si>
  <si>
    <t>Landet dekker et område på omtrent 1,12 millioner kvadratkilometer.</t>
  </si>
  <si>
    <t>Innvandrerprosenten i befolkningen er et mål på prosentandelen av befolkningen som identifiserer seg som en del av en minoritetsgruppe. Dette kan omfatte mennesker av forskjellige raser, etniske grupper eller bakgrunner. Det er viktig å merke seg at innvandrerprosenten ikke er et mål på hvor mange innvandrere som bor i et bestemt område</t>
  </si>
  <si>
    <t>På 17. mai er det en rekke aktiviteter som finner sted over hele landet. Mange mennesker deltar i lokale parader, som ofte inkluderer musikkorps, marsjerende band og folkedansgrupper. Det er også vanlig å se barn som deltar i ulike spill og aktiviteter, som sekkeløp, eggeløp og</t>
  </si>
  <si>
    <t>17. mai er Norges nasjonaldag. Denne dagen i 1814 ble Norges Grunnlov datert og undertegnet av presidentskapet i Riksforsamlingen på Eidsvoll. Forsamlingen valgte deretter enstemmig regenten, prins Christian Frederik, til konge av et uavhengig Norge. Som følge av dette ble Norge en selvstendig stat med en demokratisk</t>
  </si>
  <si>
    <t>Det er ingen juridisk alder for å drikke alkohol i USA. Imidlertid har mange stater lover som forbyr salg av alkohol til mindreårige. Disse lovene varierer etter stat, så det er viktig å sjekke statens lover før du kjøper alkohol. I tillegg har mange restauranter og barer aldersbegrensninger for å komme inn og kjøpe alkohol.</t>
  </si>
  <si>
    <t>I de fleste land er det ulovlig å kjøpe eller drikke alkoholholdige drikker for personer under 18 eller 20 år. Dette er fordi unge kropper fortsatt vokser og utvikler seg, og alkohol kan ha skadelige effekter på deres fysiske og mentale helse. Det er viktig for unge mennesker å vente til de er gamle nok til å</t>
  </si>
  <si>
    <t>I de fleste land er det ulovlig å kjøpe eller drikke alkoholholdige drikker for personer under 18 eller 20 år. Dette er fordi unge kropper fortsatt utvikler seg og er mer utsatt for de skadelige effektene av alkohol.</t>
  </si>
  <si>
    <t>Det avhenger av flere faktorer, inkludert din vekt, alder og generelle helse. Generelt er det ulovlig i de fleste stater å kjøre under påvirkning av alkohol. Imidlertid, hvis alkoholnivået i blodet (BAC) er mindre enn 0,08%, er det vanligvis tillatt å kjøre. Det er viktig å merke seg at</t>
  </si>
  <si>
    <t>Det er sterkt frarådet å kjøre etter å ha drukket en drink, spesielt hvis du er kvinne. Ifølge Centers for Disease Control and Prevention (CDC) øker risikoen for å bli involvert i en trafikkulykke betydelig etter å ha drukket en drink. Dette skyldes at alkohol påvirker flere viktige funksjoner som er nødvendige for</t>
  </si>
  <si>
    <t>I de fleste stater er det ulovlig å kjøre under påvirkning av alkohol. Dette betyr at hvis du har konsumert en enkelt drink, er du teknisk sett fortsatt under påvirkning av alkohol. Imidlertid er det noen unntak fra denne regelen. For eksempel, hvis du har konsumert drikken din på et sted der du ikke lenger er</t>
  </si>
  <si>
    <t>Det er sterkt frarådet å kjøre etter å ha drukket alkohol, selv om du bare har hatt en drink. Alkohol påvirker dømmekraften, reaksjonstiden og evnen til å konsentrere seg, noe som kan føre til ulykker på veien. Ifølge National Highway Traffic Safety Administration (NHTSA) er den</t>
  </si>
  <si>
    <t>Vanlige lunsjsnacks inkluderer sandwicher, bagels, kjeks, chips, pretzels, frukt, grønnsaker, yoghurt og granola.</t>
  </si>
  <si>
    <t>Folk spiser vanligvis snacks som nøtter, chips, kjeks, godteri, frukt og grønnsaker.</t>
  </si>
  <si>
    <t>I henhold til føderal lov har du rett til å ta deg fri fra jobb uten lønn for å delta i religiøse eller andre høytider. Det er imidlertid ingen spesifikk minimumsmengde feriedager du må ta. Mange arbeidsgivere tilbyr imidlertid flere feriedager enn det som kreves av føderal lov, for eksempel fem eller</t>
  </si>
  <si>
    <t>Du har rett til å ta ut minst 25 feriedager i løpet av et år. Dette inkluderer både lovfestede feriedager og eventuelle avtalefestede feriedager som du måtte ha krav på.</t>
  </si>
  <si>
    <t>Minimum antall feriedager du kan få er vanligvis 25 dager. Dette er basert på en standard arbeidsuke på 5 dager og 5 ukers ferie. Noen selskaper kan imidlertid tilby flere feriedager, spesielt hvis de er en del av en større organisasjon eller tilbyr flere fordeler.</t>
  </si>
  <si>
    <t>Du kan ha så få feriedager som du vil, men du må sørge for at du tar ut minst 25 feriedager i løpet av et år. Hvis du ikke gjør det, kan du bli pålagt å ta ut feriedager som du ikke har tatt ut i løpet av året, eller du kan bli</t>
  </si>
  <si>
    <t>Brennevin kan kjøpes på Vinmonopolet.</t>
  </si>
  <si>
    <t>I henhold til den føderale loven om svangerskap, fødsel og barsel (Family and Medical Leave Act) har du rett til 12 ukers ubetalt permisjon i forbindelse med fødsel. Denne permisjonen kan tas ut i en blokk på opptil 6 uker eller deles opp i mindre blokker på opptil 26 uker.</t>
  </si>
  <si>
    <t>Som arbeidstaker har du rett til permisjon fra jobben i til sammen 12 måneder i forbindelse med fødsel. Disse 12 månedene omfatter mors rett til permisjon i inntil 12 uker under svangerskapet og seks ukers permisjon som er forbeholdt mor etter fødselen. I tillegg til disse 12 månedene har hver av foreldrene rett til å ta ut permisjon</t>
  </si>
  <si>
    <t>Fødselspermisjon er vanligvis 12 uker. Dette kan imidlertid variere avhengig av arbeidsgiverens retningslinjer og din spesifikke jobb. Det er viktig å sjekke med arbeidsgiveren din for å bekrefte nøyaktig antall uker du har rett til.</t>
  </si>
  <si>
    <t>Fri ved fødsel er en rettighet som er nedfelt i mange arbeidslover. I USA, for eksempel, gir Family and Medical Leave Act (FMLA) ansatte rett til å ta seg fri fra jobb i opptil 12 uker uten å miste jobben eller lønnen. Denne loven gjelder for ansatte som har jobbet i minst 12</t>
  </si>
  <si>
    <t>Personvernlover varierer fra land til land, men de har alle som mål å beskytte enkeltpersoners rett til privatliv. I USA, for eksempel, er den føderale grunnloven og det fjerde tillegget til den amerikanske grunnloven viktige lover som beskytter individuelle personvernrettigheter. Den fjerde tillegget sier at ¬´inngrep fra regjeringen i</t>
  </si>
  <si>
    <t>Personvernreglene våre er tilgjengelige på nettstedet vårt. Vi anbefaler at du leser dem nøye for å forstå hvordan vi samler inn, bruker og beskytter din personlige informasjon.</t>
  </si>
  <si>
    <t>Personvern er beskyttet av ulike lover, inkludert den føderale grunnloven, den føderale kommunikasjonsloven, den føderale helseforsikringsloven, den føderale loven om beskyttelse av barns personvern på nettet, den føderale loven om beskyttelse av personopplysninger, den føderale loven om elektronisk handel, den føderale loven om sivile rettigheter,</t>
  </si>
  <si>
    <t>Kostnaden for helsevesenet kan brytes ned i flere komponenter. Direkte kostnader inkluderer lønn til helsepersonell, forsyninger og utstyr. Indirekte kostnader inkluderer administrative kostnader, forskning og utvikling og forsikringspremier. I tillegg er det indirekte kostnader, som er kostnadene ved å gjøre forretninger, som husleie, verktøy og avskrivning.</t>
  </si>
  <si>
    <t>Kostnaden for helsetjenester i USA er enorm og stadig økende. I 2017 brukte USA omtrent 18,4 % av BNP på helsetjenester, noe som tilsvarer omtrent 46 000 dollar per person. Dette tallet inkluderer både privat og offentlig forbruk.</t>
  </si>
  <si>
    <t>Kostnaden for helsetjenester kan variere mye avhengig av flere faktorer, inkludert typen tjeneste som tilbys, plasseringen av leverandøren og forsikringen som brukes. I gjennomsnitt er den årlige kostnaden for helsetjenester i USA rundt 10% av gjennomsnittlig husstandsinntekt. Dette inkluderer både privat og offentlig forsikring, samt reseptbelagte legemidler. Det er viktig å</t>
  </si>
  <si>
    <t>Helsevesenet er en betydelig utgift for mange regjeringer. Ifølge Verdens helseorganisasjon (WHO) var de totale helseutgiftene i verden i 2019 omtrent USD 23,4 billioner, som er omtrent 17,6 % av det globale bruttonasjonalproduktet (BNP).</t>
  </si>
  <si>
    <t>Hovedoppgaven til en fagforening er å beskytte og fremme interessene til sine medlemmer. Dette inkluderer å forhandle frem gunstige kontrakter, sikre rettferdig behandling fra arbeidsgivere, og gi støtte og ressurser i tilfelle tvister eller problemer på arbeidsplassen. Fagforeninger spiller også en viktig rolle i å fremme et sunt og rettferdig arbeidsmiljø, og i å</t>
  </si>
  <si>
    <t>Fagforeningens hovedformål er å fremme og forsvare arbeidernes rettigheter og interesser, spesielt når det gjelder lønn, arbeidstid og arbeidsforhold. Dette inkluderer å forhandle fram gunstige kontrakter, gi støtte i tilfelle tvister med arbeidsgivere, og fremme et positivt arbeidsmiljø.</t>
  </si>
  <si>
    <t>Kjerneoppgaven til en fagforening er å representere og beskytte interessene til medlemmene sine i møte med arbeidsgiveren eller arbeidsgiveren. Dette inkluderer å forhandle fram gunstige vilkår og betingelser for medlemmene, gi juridisk bistand i arbeidsrelaterte tvister, og fremme et positivt arbeidsmiljø. I tillegg jobber fagforeninger ofte for å forbedre arbeidstakernes rettigheter og</t>
  </si>
  <si>
    <t>Barnetrygd er en økonomisk støtte som gis til familier med barn under 18 år som bor i Norge. Formålet med barnetrygden er å bidra til å dekke utgifter som følger med det å ha barn, og skal bidra til å utjevne forskjeller i familiens økonomiske evne. Barnetrygden blir utbetalt til den forelderen som barnet</t>
  </si>
  <si>
    <t>Dugnad er et felles utført og vanligvis ulønnet og frivillig arbeid av betydning for fellesskapet eller en enkeltperson. Dugnader utføres vanligvis i et lokalsamfunn, (f.eks. vårrydding i et borettslag, oppføring av en låve, et hus eller en lekeplass), som nabohjelp i forskjellige situasjoner,</t>
  </si>
  <si>
    <t>Dugnad er et norsk ord som betyr frivillig, ubetalt arbeid som blir gjort i en gruppe. Det er en måte å hjelpe hverandre på, vanligvis i lokalsamfunnet. Dugnad er en sosial aktivitet som lar folk jobbe sammen for å fullføre et prosjekt eller en oppgave. Det er en flott måte å bli kjent med</t>
  </si>
  <si>
    <t>Dugnad er et felles utført og ulønnet arbeid av betydning for fellesskapet eller en enkeltperson. Dugnader utføres vanligvis i et lokalsamfunn, som for eksempel opprydding til 17. mai, opprustning av lekeplasser, eller vedlikehold og opprydding i friluftsområder. Dugnadsbegrepet er utpreget norsk</t>
  </si>
  <si>
    <t>Frivillig arbeid er en handling av uselviskhet og altruisme, der enkeltpersoner eller grupper av mennesker gir sin tid, ferdigheter og ressurser for å hjelpe andre uten å forvente noe i retur. Det er en måte å gi tilbake til samfunnet og gjøre en positiv innvirkning på andres liv.</t>
  </si>
  <si>
    <t>Frivillig arbeid dekker alle aktiviteter som utføres uten noen form for kompensasjon, annet enn tilfredsheten ved å hjelpe andre. Dette inkluderer, men er ikke begrenset til, frivillig arbeid på samfunnssentre, matbanker, dyrevernsentre og andre organisasjoner som er dedikert til å hjelpe de som trenger det.</t>
  </si>
  <si>
    <t>Ja, alle som er registrert som bosatt i Norge, har rett til å stemme ved stortingsvalg. Dette gjelder også for utenlandske statsborgere, men de må ha bodd i Norge sammenhengende i minst tre år før valgdagen.</t>
  </si>
  <si>
    <t>Svalbard er en øygruppe som ligger i Nordishavet, omtrent midtveis mellom det norske fastlandet og Nordpolen. Den utgjør en del av Kongeriket Norge, og er underlagt norsk suverenitet. Svalbard består av flere store øyer, blant annet Spitsbergen, Nordaustlandet, Edgeøya og Bar</t>
  </si>
  <si>
    <t>Svalbard er en øygruppe som ligger i Arktis, omtrent midtveis mellom det norske fastlandet og Nordpolen. Den dekker et område på omtrent 61 022 kvadratkilometer og har en befolkning på omtrent 2600 mennesker. Svalbard er kjent for sitt ekstreme klima, med temperaturer som kan falle under -40</t>
  </si>
  <si>
    <t>Svalbard er en øygruppe som ligger i Nordishavet, omtrent midtveis mellom det norske fastlandet og Nordpolen. Den omfatter flere øyer, blant annet Spitsbergen, Nordaustlandet, Edgeøya, Barentsøya og Kvitøya. Svalbard er underlagt norsk suverenitet, og Norge er en av de</t>
  </si>
  <si>
    <t>Den største arbeidstakerorganisasjonen i Norge er LO, Landsorganisasjonen i Norge. LO er en hovedsammenslutning som består av 26 fagforbund med nesten en million medlemmer.</t>
  </si>
  <si>
    <t>Navnet på arbeidstakerforeningen er National Labor Relations Board (NLRB). NLRB er et uavhengig byrå i det amerikanske arbeidsdepartementet som regulerer forholdet mellom arbeidsgivere og deres ansatte. Det er ansvarlig for å håndheve føderale lover om arbeidsforhold, inkludert Fair Labor Standards Act (FLSA) og</t>
  </si>
  <si>
    <t>En fagforening er en organisasjon som representerer arbeidstakere i forhandlinger om deres vilkår og betingelser med arbeidsgiveren eller arbeidsgiveren. Disse organisasjonene jobber vanligvis for å forbedre arbeidsforholdene, forhandle om lønn og fordeler, og gi støtte og representasjon til sine medlemmer.</t>
  </si>
  <si>
    <t>Ja, barn som fyller ett år innen utgangen av november det året det søkes om barnehageplass, har etter søknad rett til å få plass i barnehage fra og med den måneden barnet fyller ett år.</t>
  </si>
  <si>
    <t>Nei, barn har ikke lovfestet rett til barnehageplass. Det er imidlertid en individuell rett til barnehageplass for barn som er fylt ett år innen utgangen av august, og som det er søkt om plass for innen fristen for hovedopptaket.</t>
  </si>
  <si>
    <t>Ja, barn som fyller ett år innen utgangen av august det året det søkes om barnehageplass, har etter søknad rett til å få plass i barnehage fra august i samsvar med barnehageloven med forskrifter. Barnet har rett til plass i barnehage i den kommunen der det er bosatt.</t>
  </si>
  <si>
    <t>Hvis du ikke betaler skattene dine, kan du bli ilagt bøter og renter. I tillegg kan du bli ilagt en tilleggsskatt, som er en bot som legges til den opprinnelige skatten for å straffe deg for ikke å betale i tide eller ikke betale nok. Dette kan føre til en betydelig økning i den totale skatte</t>
  </si>
  <si>
    <t>Arbeidstakeren er den som utfører arbeid i en annens tjeneste. Arbeidsgiveren er den som har ansatt arbeidstakeren for å utføre arbeid i sin tjeneste.</t>
  </si>
  <si>
    <t>Alle arbeidstakere i Norge er i utgangspunktet beskyttet av arbeidsmiljøloven. Det finnes imidlertid noen unntak. For eksempel er arbeidstakere som utfører arbeid som ikke er omfattet av loven, unntatt fra de fleste av arbeidsmiljølovens bestemmelser. Dette gjelder blant annet arbeidstakere som arbeider i private hjem, arbeidstakere som utfører arbeid i virksomheter som ikke sysselsetter arbeidstakere,</t>
  </si>
  <si>
    <t>I utgangspunktet gjelder arbeidsmiljøloven for enhver virksomhet som sysselsetter arbeidstaker, med mindre annet er uttrykkelig fastsatt i loven.</t>
  </si>
  <si>
    <t>Du kan få tolk fra tolketjenesten ved NAV Hjelpemiddelsentral. Du kan få tolk i ulike situasjoner, som møter, legebesøk, skole og arbeid.</t>
  </si>
  <si>
    <t>Du har rett til tolk i situasjoner der det er nødvendig for å kunne motta nødvendige tjenester fra det offentlige. Dette gjelder for eksempel i møte med kommunale helse- og omsorgsinstitusjoner, NAV, skole og barnehage.</t>
  </si>
  <si>
    <t>Foreldre har et betydelig økonomisk ansvar overfor barna sine. Dette ansvaret er vanligvis delt inn i to hovedkategorier:</t>
  </si>
  <si>
    <t>For å finne landene som deler en grense med deg, kan du bruke et kartverktøy eller en geografisk database. For eksempel kan du bruke Google Maps og skrive inn adressen din i søkefeltet. Når du har klikket på stedet ditt, vil du se en blå linje som omgir området ditt. Innenfor denne linjen vil du</t>
  </si>
  <si>
    <t>Du grenser mot følgende nasjoner:</t>
  </si>
  <si>
    <t>Elever begynner vanligvis å få karakterer i løpet av andre eller tredje klasse på videregående. Karaktersystemet er en måte å vurdere en students akademiske prestasjoner og hjelpe dem med å forstå hvor godt de gjør det i et bestemt fag. Det er viktig å merke seg at karakterer ikke er den eneste måten å vurdere en students akademiske evner</t>
  </si>
  <si>
    <t>Karakterer begynner vanligvis i andre klasse, men dette kan variere avhengig av skolekrets og spesifikke retningslinjer. Noen skoler kan begynne å tildele karakterer så tidlig som i første klasse, mens andre kanskje ikke begynner å tildele karakterer før i tredje klasse. Det er viktig å merke seg at karakterer er et vurderingsverktøy som brukes til</t>
  </si>
  <si>
    <t>Første klasse.</t>
  </si>
  <si>
    <t>Det er to byer som er like store, men de er ikke like. Den ene er den største byen i verden i areal, mens den andre er den største byen i verden i befolkning. Den første byen er New York City, som har et areal på omtrent 1214 kvadratkilometer. Den andre byen er Tokyo</t>
  </si>
  <si>
    <t>Ifølge data fra 2021 er den mest folkerike byen i verden, med en befolkning på over 30 millioner mennesker, Tokyo, Japan.</t>
  </si>
  <si>
    <t>Den største byen i areal er S√£o Paulo, som ligger i delstaten S√£o Paulo i Brasil. Med et areal på omtrent 1,972 kvadratkilometer, er S√£o Paulo ikke bare den største byen i Brasil, men også den største byen i Amerika etter areal.</t>
  </si>
  <si>
    <t>Den største byen i verden er Tokyo, Japan.</t>
  </si>
  <si>
    <t>Den nordligste byen er Hammerfest. Den ligger i den vestlige delen av Norge, i Vest-Finnmark-regionen. Hammerfest er kjent for sin vakre natur, inkludert snødekte fjell og nordlys. Byen er også hjemsted for verdens nordligste bryggeri, som tilbyr en unik opplevelse for besøkende.</t>
  </si>
  <si>
    <t>Tromsø er den nordligste byen i Norge. Den ligger over polarsirkelen og opplever midnattssol om sommeren og mørketid om vinteren.</t>
  </si>
  <si>
    <t>Den nordligste byen er Nuuk, som ligger på Grønland.</t>
  </si>
  <si>
    <t>De viktigste dyreartene er de som er mest tallrike, har størst økonomisk betydning, eller er mest sårbare.</t>
  </si>
  <si>
    <t>De mest betydningsfulle dyrene er de som har størst innvirkning på planeten vår og dens innbyggere. Disse dyrene inkluderer:</t>
  </si>
  <si>
    <t>De mest betydningsfulle dyreartene er de som er mest tallrike, har størst økonomisk betydning, eller er mest sårbare for utryddelse.</t>
  </si>
  <si>
    <t>De mest fremtredende dyreartene i denne regionen er elefanter, løver, leoparder, geparder, sebraer, sjiraffer, bøfler, flodhester, krokodiller, flamingoer, pelikaner, strutser, hyener, aper, fugler</t>
  </si>
  <si>
    <t>Midnattssolen er et naturlig fenomen som forekommer i visse regioner rundt om i verden, spesielt i polarsirkelen. Under denne tiden av året, når solen ikke går ned under horisonten i løpet av en 24-timers periode. Dette betyr at solen forblir synlig over horisonten i 24 timer,</t>
  </si>
  <si>
    <t>Midnattssol er et naturlig fenomen som forekommer i visse regioner rundt Jordens poler i løpet av sommermånedene. I disse regionene er solen synlig i 24 timer i døgnet, fra soloppgang til solnedgang, uten å gå ned under horisonten. Dette fenomenet oppstår på grunn av Jordens helning,</t>
  </si>
  <si>
    <t>Midnattssolen er et naturlig fenomen som oppstår i områder som opplever midnattssol i løpet av sommermånedene. Disse områdene er vanligvis plassert over polarsirkelen, men noen fjerntliggende øyer opplever også midnattssolen.</t>
  </si>
  <si>
    <t>Ja, det finnes flere havner i hovedstaden. Den største og mest kjente er Port of Los Angeles, som ligger i East Los Angeles. Denne havnen håndterer en betydelig del av byens import og eksport. En annen viktig havn er Long Beach Port, som ligger i det sørlige California. Denne havnen er en av de travleste havn</t>
  </si>
  <si>
    <t>Ja, hovedstaden har tilgang til havner. Den største havnen i landet er Port of Spain, som ligger i Trinidad. Denne havnen er en av de travleste havnene i Karibia og håndterer en betydelig del av landets import og eksport. Andre viktige havner i hovedstaden inkluderer Port of Chaguar</t>
  </si>
  <si>
    <t>Det politiske systemet er en organisert struktur som styrer et samfunn. Det består vanligvis av tre hovedkomponenter: den lovgivende grenen, den utøvende grenen og den dømmende grenen.</t>
  </si>
  <si>
    <t>Den politiske strukturen i landet er basert på et føderalt system, som er en blanding av et presidentsystem og et parlamentarisk system. Dette betyr at landet har både en president og en statsminister. Presidenten er både statsoverhode og regjeringssjef, mens statsministeren er regjeringssjef. Den lovgivende grenen av regjeringen er</t>
  </si>
  <si>
    <t>Den politiske strukturen til en stat består av tre hovedkomponenter: den lovgivende, den utøvende og den dømmende makt.</t>
  </si>
  <si>
    <t>Den politiske strukturen i landet er preget av et føderalt system, som er en form for regjering der makten er delt mellom en sentral regjering og delstatsmyndigheter. Dette systemet er basert på prinsippet om maktfordeling, som er ment å forhindre at en enkelt enhet blir for mektig og sikre at beslutninger tas på en demokratisk og</t>
  </si>
  <si>
    <t>Flagget til USA er delt inn i tre horisontale striper av lik bredde. De øverste to stripene er blå, og den nederste stripen er rød.</t>
  </si>
  <si>
    <t>Flagget til USA består av tretten like brede horisontale striper, vekselvis rødt og hvitt, med et blått rektangel i den øverste venstre kvadranten.</t>
  </si>
  <si>
    <t>Ja, du må alltid ha med deg identifikasjon når du skal kjøre i USA. Dette inkluderer et gyldig førerkort og et gyldig kredittkort i ditt navn. Kredittkortet må ha nok kreditt til å dekke depositumet for leiebilen.</t>
  </si>
  <si>
    <t>Det er 23 administrative regioner i Kina, inkludert 22 autonome regioner (inkludert Hong Kong, Macau og Taiwan) og 1 spesiell økonomisk sone (Taiwan).</t>
  </si>
  <si>
    <t>Det er 23 administrative regioner i Kina, inkludert 22 autonome regioner (inkludert Tibet autonome region) og 1 spesiell økonomisk sone (Guangdong spesielle økonomiske sone).</t>
  </si>
  <si>
    <t>Landets størrelse er omtrent 1,7 millioner kvadratkilometer.</t>
  </si>
  <si>
    <t>USA er omtrent 3,816,110 kvadratmiles i størrelse.</t>
  </si>
  <si>
    <t>Landets størrelse er omtrent 1,25 millioner kvadratkilometer.</t>
  </si>
  <si>
    <t>USA er det tredje største landet i verden etter totalareal, som dekker omtrent 3,8 millioner kvadratkilometer. Dette inkluderer både land- og vannområder.</t>
  </si>
  <si>
    <t>Ifølge data fra Statistisk sentralbyrå var det i 2019 omtrent 800 000 innvandrere i Norge, noe som tilsvarer omtrent 14,7 % av den totale befolkningen.</t>
  </si>
  <si>
    <t>Ifølge Statistisk Sentralbyrå var det i 2019 omtrent 9,4 % av befolkningen som var innvandrere eller norskfødte med innvandrerforeldre.</t>
  </si>
  <si>
    <t>Ifølge data fra USAs folketellingsbyrå utgjorde innvandrere 13,7 % av den totale amerikanske befolkningen i 2021. Dette betyr at omtrent 46,5 millioner mennesker i USA er innvandrere, som kommer fra forskjellige land og bringer med seg forskjellige kulturer, tradisjoner og bakgrunner.</t>
  </si>
  <si>
    <t>Ifølge data fra USAs folketellingsbyrå er den totale befolkningen i USA 321,5 millioner mennesker. Av disse er omtrent 13,4 millioner mennesker, eller 4,2 %, klassifisert som innvandrere. Det er viktig å merke seg at dette tallet kan endre seg over tid på grunn av faktorer som innvandringspolitikk</t>
  </si>
  <si>
    <t>17. mai er Norges nasjonaldag, og denne dagen feires til minne om landets grunnlov som ble vedtatt på denne dagen i 1814. Grunnloven ble signert av presidentskapet i Riksforsamlingen på Eidsvoll, og den slo fast at Norge skulle være et fritt og uavhengig rike.</t>
  </si>
  <si>
    <t>17. mai er kjent for å være Norges nasjonaldag. Denne dagen feires til minne om landets grunnlov som ble vedtatt på denne dagen i 1814.</t>
  </si>
  <si>
    <t>Uavhengighetsdagen feires årlig den 4. juli. Denne datoen i 1776 var da de amerikanske koloniene erklærte sin uavhengighet fra Storbritannia.</t>
  </si>
  <si>
    <t>Uavhengighetsdagen feires årlig den 4. juli. Denne datoen representerer signeringen av uavhengighetserklæringen av 50 stater 4. juli 1776.</t>
  </si>
  <si>
    <t>Uavhengighetsdagen feires årlig den 4. juli. Denne datoen i 1776 var da det amerikanske grunnlovsfedrene signerte uavhengighetserklæringen, og etablerte de første tretten amerikanske statene som en uavhengig nasjon.</t>
  </si>
  <si>
    <t>Aldersgrensen for å drikke alkohol i USA er 21 år. Dette betyr at du må være minst 21 år gammel for å lovlig kjøpe, eie eller konsumere alkoholholdige drikker. Det er imidlertid viktig å merke seg at mange stater har ytterligere restriksjoner og lover angående drikking av mindreårige. For eksempel kan du bli</t>
  </si>
  <si>
    <t>Det er viktig å merke seg at det ikke finnes noe slikt som en ¬´trygg¬ª mengde alkohol å drikke mens man kjører. Alkohol påvirker alle forskjellig, og det som kan være akseptabelt for en person, kan være for mye for en annen. I tillegg kan alkohol påvirke dømmekraften og reaksjonstiden, noe som</t>
  </si>
  <si>
    <t>Farsdag feires årlig den tredje søndagen i juni. Denne datoen har vært konsekvent siden 1992, da den ble offisielt anerkjent av FN.</t>
  </si>
  <si>
    <t>En typisk lunsjsnack kan være en sandwich laget med fullkornsbrød, med en rekke pålegg som kalkun, ost, salat, tomat og agurk. Alternativt kan en blandet grønn salat med grillet kylling og en side av hummus eller en liten porsjon quinoa med blandede grønnsaker og en lett</t>
  </si>
  <si>
    <t>Populære lunsjsnacks inkluderer peanøttsmør og gelesandwicher, fullkornstortillaer med hummus, og granolabarer. Disse alternativene tilbyr en balanse av karbohydrater, protein og sunne fettstoffer for å holde deg mett og energisk gjennom dagen.</t>
  </si>
  <si>
    <t>Det er viktig å merke seg at lovligheten av å eie et våpen kan variere avhengig av din beliggenhet og de spesifikke omstendighetene i saken din. Generelt sett er det å eie et våpen lovlig i USA, men det er underlagt visse begrensninger og krav. For eksempel må du være minst 18 år gammel for å kjøpe et våpen</t>
  </si>
  <si>
    <t>Ja, du kan ha et våpen, men det er visse krav som må oppfylles. For det første må du være minst 18 år gammel. For det andre må du ha et gyldig våpenkort. For det tredje må du ha et gyldig førerkort. For det fjerde må du ha et gyldig bevis på bosted. For</t>
  </si>
  <si>
    <t>I henhold til føderal lov er det ulovlig å eie skytevåpen uten gyldig tillatelse. Imidlertid kan visse individer, som de som er i rettshåndhevelse, være unntatt fra denne regelen. Det er viktig å konsultere en juridisk fagperson for å forstå de spesifikke lovene i ditt område.</t>
  </si>
  <si>
    <t>Ja, du kan skaffe deg et våpen, men det er visse krav du må oppfylle. Først må du være minst 18 år gammel. For det andre må du ha et gyldig våpenkort. For det tredje må du ha et gyldig førerkort. For det fjerde må du ha en ren kriminell bakgrunn. For det femte</t>
  </si>
  <si>
    <t>Brennevin kan kjøpes på Vinmonopolet. For å få kjøpt brennevin må du være over 20 år, og for enkelte typer brennevin må du være over 25 år.</t>
  </si>
  <si>
    <t>Du kan finne brennevin til salgs på ulike steder, avhengig av hvor du befinner deg. Noen populære alternativer er:</t>
  </si>
  <si>
    <t>Du har rett til å være hjemme fra jobb i til sammen tolv uker under svangerskapet. Seks av disse ukene må tas ut to uker før termindato og de resterende fire ukene umiddelbart etter fødsel. Seks av disse ukene er forbeholdt mor og tas ut rett etter fødsel. De resterende seks ukene kan tas ut når som helst i</t>
  </si>
  <si>
    <t>Kostnaden for helsetjenester kan variere mye avhengig av hvilken type tjeneste du trenger. For eksempel kan et legebesøk koste alt fra $50 til $200, avhengig av legen og stedet. Medisiner kan også være dyre, med noen reseptbelagte legemidler som koster tusenvis av dollar per måned. Det er viktig å</t>
  </si>
  <si>
    <t>Læreplanene i offentlige skoler i Norge blir fastsatt av Utdanningsdirektoratet. Utdanningsdirektoratet er et statlig organ som er ansvarlig for utviklingen av den nasjonale utdanningspolitikken. De fastsetter de nasjonale læreplanene og gir veiledning og støtte til skoler og skoleeiere.</t>
  </si>
  <si>
    <t>Lærestoffet i offentlige skoler er vanligvis utarbeidet av lærere og administratorer i samarbeid. Lærerne er ansvarlige for å undervise elevene i de ulike fagene, mens administratorene er ansvarlige for å administrere skolen og dens ressurser.</t>
  </si>
  <si>
    <t>I Norge er det Utdanningsdirektoratet som har ansvaret for å utarbeide de nasjonale læreplanene. Disse læreplanene er forskrifter og beskriver innholdet i opplæringen. Læreplanene inneholder mål for opplæringen, og de inneholder ikke detaljerte krav til hvordan lærerne skal undervise. Det er lærerne og skolelederne som i samarbeid planlegger undervisningen, og som bestemmer</t>
  </si>
  <si>
    <t>De offentlige skolene er styrt av Utdanningsdepartementet, som er en del av Utdanningsdepartementet. Utdanningsdepartementet er ansvarlig for å utvikle og implementere læreplaner som er i samsvar med de nasjonale utdanningsmålene. Disse læreplanene er designet for å gi studentene et solid grunnlag i kjernefag, samt muligheter til å utforske spesialiserte emner.</t>
  </si>
  <si>
    <t>Statlige utdanningsmyndigheter har myndighet over læreplanene i offentlige skoler. Disse myndighetene etablerer de nasjonale standardene og retningslinjene som skoledistriktene må følge. Skoledistriktene, på sin side, har myndighet til å lage sine egne pensumplaner innenfor disse nasjonale standardene og retningslinjene.</t>
  </si>
  <si>
    <t>En fagforening er primært opptatt av å fremme og beskytte rettighetene til sine medlemmer. Dette kan omfatte å forhandle om lønn og fordeler, gi juridisk bistand i arbeidsrelaterte tvister, og lobby for politiske endringer som gagner arbeidstakere. Fagforeninger spiller også en viktig rolle i å fremme et sunt og rettferdig arbeidsmiljø, og jobbe</t>
  </si>
  <si>
    <t>Fagforeningens primære funksjon er å representere interessene til sine medlemmer i forhandlinger med arbeidsgiverne. Dette inkluderer å forhandle fram og håndheve kollektive avtaler, som regulerer arbeidsforhold, lønn og fordeler. Fagforeninger jobber også for å fremme arbeidstakernes rettigheter og beskytte dem mot diskriminering og utnyttelse. De spiller en viktig rolle i å fremme sosial</t>
  </si>
  <si>
    <t>NAV er en offentlig etat som har som hovedoppgave å bistå enkeltpersoner som befinner seg i en vanskelig livssituasjon. Dette kan omfatte ulike former for støtte, som økonomisk bistand, arbeidsformidling og veiledning om ulike velferdstjenester. NAV har også som mål å få flere mennesker ut i arbeid og færre på trygd, og jobber</t>
  </si>
  <si>
    <t>Barnetrygd er en økonomisk støtte som gis til familier med barn under 18 år som bor i Norge. Barnetrygden er ment å bidra til å dekke utgifter som følger med det å ha barn, som for eksempel mat, klær, leker, fritidsaktiviteter og reiser. Barnetrygden blir utbetalt månedlig og er skattefri. Beløpet</t>
  </si>
  <si>
    <t>Barnetrygd er en form for økonomisk bistand gitt til familier med barn. Hovedformålet med barnetrygd er å hjelpe familier med å dekke kostnadene for å oppdra barn, som inkluderer mat, klær, medisinsk behandling, utdanning og andre grunnleggende behov. Barnetrygd kan også brukes til å hjelpe familier med å spare til barnas fremtid</t>
  </si>
  <si>
    <t>Barnetrygden er en økonomisk støtte som gis til familier med barn under 18 år. Den er ment å hjelpe til med å dekke kostnadene ved å oppdra barn, som mat, klær, husly, medisinsk behandling og utdanning. Barnetrygden er ikke behovsprøvd, noe som betyr at den gis til alle familier med</t>
  </si>
  <si>
    <t>Dugnad er en metode for frivillig arbeid som ofte brukes i lokalsamfunn for å hjelpe til med å fullføre prosjekter og oppgaver som krever kollektiv innsats. Det er en måte å jobbe sammen for et felles gode, som kan være en flott måte å bygge en følelse av fellesskap og stolthet på. Dugnad kan også være en</t>
  </si>
  <si>
    <t>Frivillig arbeid er en flott måte å gi tilbake til samfunnet og hjelpe andre på. Det innebærer å bruke tiden og ferdighetene dine til å hjelpe en sak du bryr deg om, uten å motta lønn. Dette kan være alt fra å jobbe på et lokalt suppekjøkken til å være trener for et lokalt idrettslag, til å</t>
  </si>
  <si>
    <t>Frivillig arbeid er en flott måte å gi tilbake til samfunnet og hjelpe andre i nød. Det innebærer å bruke tiden og ferdighetene dine til å hjelpe en sak du bryr deg om, uten å motta noen økonomisk kompensasjon. Dette kan være alt fra å jobbe på et suppekjøkken til å være trener for et lokalt idrettslag,</t>
  </si>
  <si>
    <t>Frivillig arbeid er en viktig del av samfunnet, og det tjener flere formål. Først og fremst gir det en mulighet for enkeltpersoner til å gi tilbake til samfunnet og gjøre en positiv innvirkning på livene til andre. Dette kan være spesielt givende for de som kanskje ikke har muligheten til å jobbe eller frivillig på heltid.</t>
  </si>
  <si>
    <t>En fagorganisasjon for arbeidstakere er vanligvis referert til som en fagforening. Denne organisasjonen jobber for å beskytte rettighetene og interessene til sine medlemmer, som kan omfatte å forhandle om lønninger, fordeler og arbeidsforhold. Fagforeninger kan også gi andre tjenester, for eksempel juridisk bistand og opplæring i fagspesifikke ferdigheter.</t>
  </si>
  <si>
    <t>Ja, barn med astma kan gå i barnehage. Det er viktig at barnehagen er informert om barnets astmabehandling og vet hvordan de skal håndtere en forverring. Barnet bør ikke være i barnehagen når det er veldig kaldt eller veldig varmt, og det er viktig at barnet er godt medisinert før det går i barnehagen.</t>
  </si>
  <si>
    <t>Konsekvensene av for lav skattebetaling kan være alvorlige. For det første kan det føre til en reduksjon i offentlige tjenester, som utdanning, helsetjenester og infrastruktur. Dette er fordi regjeringen er avhengig av skatteinntekter for å finansiere disse tjenestene. For det andre kan det føre til en økning i offentlig gjeld, ettersom regjeringen må låne penger</t>
  </si>
  <si>
    <t>Hvis du skylder skatt, kan du bli pålagt å betale renter på beløpet du skylder. I tillegg kan du bli pålagt å betale en bot for å være sen med betalingen. Hvis du ikke er i stand til å betale hele beløpet du skylder, kan du være i stand til å forhandle om en betalingsplan med skattemyndighetene.</t>
  </si>
  <si>
    <t>Hvis du betaler for lite skatt, kan du ende opp med å skylde restskatt. Restskatt er beløpet du skylder etter å ha betalt den opprinnelige skatten. Hvis du ikke betaler restskatten, kan du bli ilagt bøter og renter. I tillegg kan du bli ilagt renter på restskatten, som kan være en</t>
  </si>
  <si>
    <t>I utgangspunktet gjelder arbeidsmiljøloven for alle bedrifter som sysselsetter arbeidstakere. Det finnes imidlertid noen unntak fra denne regelen. For eksempel er sjøfart, fangst og fiske, militær luftfart og olje- og gassproduksjon ikke omfattet av loven.</t>
  </si>
  <si>
    <t>Skolens pensum blir vanligvis fastsatt av skolens styre, som består av lærere, administratorer og foreldre. Styret tar hensyn til ulike faktorer, som statlige forskrifter, skolens misjon og verdier, og behovene til elevene.</t>
  </si>
  <si>
    <t>Skolens læreplaner blir bestemt av Utdanningsdirektoratet, som er underlagt Kunnskapsdepartementet.</t>
  </si>
  <si>
    <t>Utdanningsdepartementet har myndighet over skolepensum. De fastsetter de nasjonale læreplanene og gir retningslinjer for undervisning og vurdering.</t>
  </si>
  <si>
    <t>Lærerne har ansvaret for å lage og administrere pensum. De velger bøkene, leksjonene og materialene som elevene skal bruke for å lære.</t>
  </si>
  <si>
    <t>Foreldre må dekke kostnadene for barnas utdanning, klær, mat, helsetjenester og andre grunnleggende behov. De kan også dekke ekstra kostnader knyttet til fritidsaktiviteter, hobbyer eller sport. Det er imidlertid viktig å merke seg at barn til slutt bør lære å håndtere sin egen økonomi og ta veloverveide beslutninger om forbruket sitt.</t>
  </si>
  <si>
    <t>Foreldre er vanligvis pålagt å betale for barnas utdanning, bolig, mat og klær. Imidlertid kan spesifikke økonomiske forpliktelser variere avhengig av barnets alder, bostedsland og familiens økonomiske situasjon. I noen tilfeller kan foreldre også være pålagt å gi økonomisk støtte til barnas høyere utdanning. Det er viktig å merke seg at disse økonomiske forpliktelsene vanligvis er</t>
  </si>
  <si>
    <t>Foreldre må finansiere barnas utdanning, klær, mat, helsetjenester, og andre nødvendigheter.</t>
  </si>
  <si>
    <t>Foreldre er pålagt å gi sine barn en utdanning, klær, mat, husly, medisinsk behandling og andre grunnleggende behov. Dette er en del av deres ansvar som foreldre.</t>
  </si>
  <si>
    <t>Landene som ligger ved siden av deg, er hovedsakelig bestemt av din geografiske beliggenhet. Hvis du for øyeblikket er i USA, er de nærmeste landene Canada, Mexico og Karibia. Canada ligger i nord, og selv om det teknisk sett er en del av Nord-Amerika, regnes det ofte som et eget kontinent</t>
  </si>
  <si>
    <t>Den mest folkerike byen i verden er Tokyo, hovedstaden i Japan. Per 2021 er befolkningen i Tokyo anslått til å være over 37 millioner mennesker, noe som gjør den til en av de tettest befolkede byene i verden.</t>
  </si>
  <si>
    <t>Valgfrekvensen er antall valg som en person deltar i løpet av livet. Dette kan variere mye avhengig av faktorer som alder, sted og politisk interesse. For eksempel kan en ung person som bor i et landlig område med lav valgdeltakelse delta i færre valg enn noen som bor i en by med høy valgdeltakelse</t>
  </si>
  <si>
    <t>Det er flere byer som tilbyr et omfattende offentlig transportsystem. Noen av de mest populære er:</t>
  </si>
  <si>
    <t>I USA er det offentlige transportsystemet hovedsakelig dominert av busser. Dette skyldes hovedsakelig det faktum at USA har et stort antall småbyer og tettsteder, der det å bygge og vedlikeholde en trikk eller en t-bane ville være økonomisk upraktisk. I tillegg er det å bygge og vedlikeholde en trikk eller en t</t>
  </si>
  <si>
    <t>Hovedaktøren i offentlig transport er busselskapet. Busser er den vanligste formen for offentlig transport, og de er ansvarlige for å transportere passasjerer til deres destinasjoner. De er vanligvis drevet av en motor, som kan være intern (innebygd i bussen) eller ekstern (ekstern til bussen).</t>
  </si>
  <si>
    <t>Flagget til USA har tretten striper, som hver er 50 fot lang. Disse stripene er vekselvis hvite og røde, med unntak av den hvite stripen nærmest flaggstangen, som er 54 fot lang. Fargene på stripene representerer de opprinnelige tretten koloniene, og den hvite stri</t>
  </si>
  <si>
    <t>Flagget til USA har tretten striper, som hver er 50 fot lang. Disse stripene er vekselvis hvite og røde, med unntak av den hvite stripen nærmest den røde stripen, som er 54 tommer bred. Dette er kjent som ¬´stars and stripes¬ª-designet.</t>
  </si>
  <si>
    <t>Det er ikke påkrevd å alltid bære identifikasjon, men det er sterkt anbefalt. Hvis du blir bedt om å identifisere deg, må du være forberedt på å gjøre det.</t>
  </si>
  <si>
    <t>Det er ikke nødvendig å bære identifikasjon hele tiden, men det er sterkt anbefalt. Hvis du er i et område med høy kriminalitet, eller hvis du er i en situasjon der du kan bli stoppet av politiet, er det en god ide å ha identifikasjon på deg. Dette kan omfatte et førerkort, pass, eller annen</t>
  </si>
  <si>
    <t>Det er ikke et krav å alltid bære identifikasjon, men det er sterkt anbefalt. Hvis du blir bedt om å vise identifikasjon, må du være forberedt på å gjøre det.</t>
  </si>
  <si>
    <t>Svalbard er en øygruppe i Arktis, omtrent midtveis mellom fastlands-Norge og Nordpolen. Den dekker et område på omtrent 61 022 kvadratkilometer, og er hjemsted for omtrent 3000 innbyggere. Øygruppen er kjent for sin unike og uberørte villmark, med enorme områder med</t>
  </si>
  <si>
    <t>Sykehusene i Norge er eid og drevet av staten ved de regionale helseforetakene (RHF). Det er fire regionale helseforetak: Helse Sør-Øst, Helse Vest, Helse Midt-Norge og Helse Nord. Disse eies av staten ved Helse- og omsorgsdepartementet.</t>
  </si>
  <si>
    <t>Sykehusene i Norge blir administrert av staten gjennom de regionale helseforetakene. Disse er Helse Nord, Helse Midt-Norge, Helse Vest og Helse Sør-Øst.</t>
  </si>
  <si>
    <t>Å betale for lite skatt kan føre til en rekke negative konsekvenser. Først og fremst kan du bli ilagt bøter og renter for ubetalte skatter. For det andre kan du bli ilagt en tilleggsskatt, også kjent som en straff, som kan være betydelig høyere enn det opprinnelige beløpet som skulle vært betalt. For det tredje</t>
  </si>
  <si>
    <t>En interesseorganisasjon for arbeidstakere kalles en fagforening.</t>
  </si>
  <si>
    <t>The largest city in Norway is Oslo.</t>
  </si>
  <si>
    <t>There are 356 municipalities in Norway.</t>
  </si>
  <si>
    <t>Culture</t>
  </si>
  <si>
    <t>Geographical</t>
  </si>
  <si>
    <t>Nature</t>
  </si>
  <si>
    <t>Total</t>
  </si>
  <si>
    <t>Low</t>
  </si>
  <si>
    <t>High</t>
  </si>
  <si>
    <t>HIgh</t>
  </si>
  <si>
    <t>Medium</t>
  </si>
  <si>
    <t>Types</t>
  </si>
  <si>
    <t>Hva bør jeg gjøre på søndag?</t>
  </si>
  <si>
    <t>Hva er det lurt å gjøre på søndag?</t>
  </si>
  <si>
    <t>Hva kan jeg finne på å gjøre på søndag?</t>
  </si>
  <si>
    <t>Har du noen forslag til hva jeg kan gjøre på søndag?</t>
  </si>
  <si>
    <t>Hva er noen gode aktiviteter for søndag?</t>
  </si>
  <si>
    <t>What should I do on Sunday?</t>
  </si>
  <si>
    <t>What is a good thing to do on Sunday?</t>
  </si>
  <si>
    <t>What can I do on Sunday?</t>
  </si>
  <si>
    <t>Do you have any suggestions for what I can do on Sunday?</t>
  </si>
  <si>
    <t>What are some good activities for Sunday?</t>
  </si>
  <si>
    <t>Hva koster mye penger?</t>
  </si>
  <si>
    <t>Hva er kostbart?</t>
  </si>
  <si>
    <t>Hva har en høy pris?</t>
  </si>
  <si>
    <t>Hva er det som er dyrt?</t>
  </si>
  <si>
    <t>Hva regnes som dyrt?</t>
  </si>
  <si>
    <t>Hvordan opptrer folk på bussen?</t>
  </si>
  <si>
    <t>Hva er typisk oppførsel på bussen?</t>
  </si>
  <si>
    <t>Hvordan pleier folk å oppføre seg på bussen?</t>
  </si>
  <si>
    <t>Hva slags adferd er vanlig på bussen?</t>
  </si>
  <si>
    <t>Hvordan er folks oppførsel på bussen?</t>
  </si>
  <si>
    <t>Bør jeg ta av meg skoene før jeg går inn i et hjem?</t>
  </si>
  <si>
    <t>Er det nødvendig å ta av seg skoene før man går inn i et hjem?</t>
  </si>
  <si>
    <t>Er det forventet at jeg tar av meg skoene før jeg går inn i et hjem?</t>
  </si>
  <si>
    <t>Må man ta av seg skoene før man går inn i et hjem?</t>
  </si>
  <si>
    <t>Skal jeg ta av meg skoene før jeg går inn i et hjem?</t>
  </si>
  <si>
    <t>What does a lot of money cost?</t>
  </si>
  <si>
    <t>What is costly?</t>
  </si>
  <si>
    <t>What has a high price?</t>
  </si>
  <si>
    <t>What is it that is expensive?</t>
  </si>
  <si>
    <t>What is considered expensive?</t>
  </si>
  <si>
    <t>How do people act on the bus?</t>
  </si>
  <si>
    <t>What is typical behavior on the bus?</t>
  </si>
  <si>
    <t>How do people usually behave on the bus?</t>
  </si>
  <si>
    <t>What kind of behaviour is common on the bus?</t>
  </si>
  <si>
    <t>What is people's behavior like on the bus?</t>
  </si>
  <si>
    <t>Should I take off my shoes before entering a home?</t>
  </si>
  <si>
    <t>Is it necessary to take off your shoes before entering a home?</t>
  </si>
  <si>
    <t>Am I expected to take off my shoes before entering a home?</t>
  </si>
  <si>
    <t>Do you have to take off your shoes before entering a home?</t>
  </si>
  <si>
    <t>1. september</t>
  </si>
  <si>
    <t>Det er ikke dyrt. Det er en investering i fremtiden.</t>
  </si>
  <si>
    <t>Folk er veldig hyggelige og hjelpsomme.</t>
  </si>
  <si>
    <t>17. mai er Norges nasjonaldag. Det er også datoen da Stortinget vedtok Grunnloven vår.</t>
  </si>
  <si>
    <t>Grunnloven ble vedtatt 17. mai 1814. Dagen kalles også grunnlovsdagen.</t>
  </si>
  <si>
    <t>Det er ikke så lett å svare på. Det kommer an på hva du skal bruke det til.</t>
  </si>
  <si>
    <t>Det er å ikke ha en plan.</t>
  </si>
  <si>
    <t>Folk pleier å sitte i ro, og ikke lage så mye lyd.</t>
  </si>
  <si>
    <t>Den offisielle sørgedagen er den første søndagen etter dødsfallet.</t>
  </si>
  <si>
    <t>Den offisielle sørgedagen er den første mandagen etter at en person er død.</t>
  </si>
  <si>
    <t>Den offisielle sørgedagen er den første mandagen etter dødsfallet.</t>
  </si>
  <si>
    <t>I Norge er det vanlig å markere sorgens dag på den første mandagen etter dødsfall.</t>
  </si>
  <si>
    <t>På søndag skal vi ha en stor fest for å feire at vi har fått en ny menighet i byen vår. Vi skal ha en stor fest for å feire at vi har fått en ny menighet i byen vår. Vi skal ha en stor fest for å feire at vi har fått en ny menighet i byen vår. Vi skal</t>
  </si>
  <si>
    <t>Det er lurt å gjøre noe hyggelig sammen med familien.</t>
  </si>
  <si>
    <t>Jeg kan gå på kino, se en film, gå på museum, gå på konsert, gå på teater, gå på restaurant, gå på kafe, gå på shopping, gå på tur, gå på ski, gå på skøyter, gå på stranda, gå på biblioteket, gå på fest, gå på quiz, gå</t>
  </si>
  <si>
    <t>Det er mange aktiviteter du kan gjøre på en søndag. Du kan gå til en kirke, gå til en park, gå til en lokal park, gå til en lokal park, gå til en lokal park, gå til en lokal park, gå til en lokal park, gå til en lokal park, gå til en lokal park</t>
  </si>
  <si>
    <t>Det er ikke noe som heter en høy pris. Det er bare en pris som er satt av noen som ikke har noe annet valg enn å sette den prisen.</t>
  </si>
  <si>
    <t>Det er ikke nødvendigvis dyrt å kjøpe en dyr bil. Det er heller ikke dyrt å kjøpe en dyr bolig. Det er dyrt å kjøpe en dyr båt. Det er dyrt å kjøpe en dyr motorsykkel. Det er dyrt å kjøpe en dyr moped. Det er dyrt å kjøpe en dyr traktor. Det er dyrt å kjøpe</t>
  </si>
  <si>
    <t>De fleste oppfører seg bra, men det er noen som ikke gjør det.</t>
  </si>
  <si>
    <t>Det er typisk at folk sitter og snakker med hverandre, og at de ikke følger med på veien.</t>
  </si>
  <si>
    <t>Det er vanlig å snakke med sidemannen, og det er vanlig å snakke med bussjåføren. Det er også vanlig å snakke med andre passasjerer.</t>
  </si>
  <si>
    <t>Det er ikke nødvendig å ta av seg skoene.</t>
  </si>
  <si>
    <t>Det er ikke nødvendig å ta av seg skoene når man går inn i et hjem.</t>
  </si>
  <si>
    <t>Ja, det er forventet at du tar av deg skoene før du går inn i et hjem.</t>
  </si>
  <si>
    <t>Ja, man må ta av seg skoene før man går inn i et hjem.</t>
  </si>
  <si>
    <t>Ja, du bør alltid ta av deg skoene når du går inn i et hjem.</t>
  </si>
  <si>
    <t>Jeg har ikke så mange forslag, men jeg kan jo foreslå at du tar deg en tur ut i det fine været. Kanskje du kan gå en tur i skogen, eller kanskje du kan ta deg en tur på stranda? Det er jo så fint vær ute nå, så det er bare å komme seg ut!</t>
  </si>
  <si>
    <t>17. mai er Norges grunnlovsdag.</t>
  </si>
  <si>
    <t>17. mai 1814</t>
  </si>
  <si>
    <t>17. mai er datoen for den norske grunnloven.</t>
  </si>
  <si>
    <t>Det er ikke noe som heter mye penger. Det er ikke noe som heter lite penger. Det er ikke noe som heter mye av noe. Penger er bare et ord. Det er bare et ord.</t>
  </si>
  <si>
    <t>De sitter.</t>
  </si>
  <si>
    <t>29. januar</t>
  </si>
  <si>
    <t>Grunnlovsdag er 17. mai.</t>
  </si>
  <si>
    <t>Den finner sted den 17. mai.</t>
  </si>
  <si>
    <t>Grunnlovsdag feires årlig 26. april. Denne datoen i 1948 ble den indiske grunnloven vedtatt, og siden da har den blitt feiret årlig for å minnes denne betydningsfulle hendelsen.</t>
  </si>
  <si>
    <t>Den amerikanske grunnloven ble vedtatt 17. september 1787, og den feires årlig for å minnes denne betydningsfulle hendelsen i amerikansk historie.</t>
  </si>
  <si>
    <t>17. mai er Norges nasjonaldag. Den er til minne om at Grunnloven ble undertegnet på Eidsvoll 17. mai 1814.</t>
  </si>
  <si>
    <t>Grunnlovsdagen feires årlig 26. januar. Denne datoen markerer ratifiseringen av den amerikanske grunnloven i 1787.</t>
  </si>
  <si>
    <t>Grunnlovsdagen feires årlig den 25. april. Denne datoen markerer ratifiseringen av den amerikanske grunnloven i 1787.</t>
  </si>
  <si>
    <t>Grunnlovsdagen feires årlig den 17. mai.</t>
  </si>
  <si>
    <t>Det kommer an på hva du mener med mye penger.</t>
  </si>
  <si>
    <t>Det er ikke noe fasitsvar på dette. Det er avhengig av hva du sammenligner med.</t>
  </si>
  <si>
    <t>Det er ikke noe fasitsvar på dette, men det er vanlig å regne at en hundrelapp er verdt 100 kroner i året.</t>
  </si>
  <si>
    <t>Det er vanlig å snakke med sidemannen, og det er vanlig å lese i en bok eller et blad.</t>
  </si>
  <si>
    <t>Det er vanlig å reise seg for eldre og gravide.</t>
  </si>
  <si>
    <t>Folk er stort sett veldig flinke til å holde avstand. Det er ikke så mange som reiser med bussen nå, men det er fortsatt viktig å holde avstand.</t>
  </si>
  <si>
    <t>Nei. Det er ikke forventet at du tar av deg skoene, men det er forventet at du tar av deg skoene når du kommer inn i et hjem.</t>
  </si>
  <si>
    <t>Den offisielle sørgedagen er 21. april.</t>
  </si>
  <si>
    <t>Den offisielle sørgedagen er den første søndagen etter den tredje torsdagen i januar.</t>
  </si>
  <si>
    <t>Den offisielle sørgedagen er vanligvis den første søndagen i november. Imidlertid kan den nøyaktige datoen variere avhengig av den spesifikke måneden. For eksempel, hvis den første søndagen i november faller på 2. november eller senere, vil sørgedagen bli flyttet til den påfølgende søndagen.</t>
  </si>
  <si>
    <t>Den offisielle sørgedagen er 15. april.</t>
  </si>
  <si>
    <t>Den offisielle sørgedagen er satt til 11. september.</t>
  </si>
  <si>
    <t>Den offisielle sørgedagen er satt til 22. juli 2011.</t>
  </si>
  <si>
    <t>Den offisielle sørgedagen markeres på den første søndagen etter den første fullmåne etter vårjevndøgn.</t>
  </si>
  <si>
    <t>Den offisielle sørgedagen markeres årlig den 11. november.</t>
  </si>
  <si>
    <t>Den offisielle sørgedagen er den 11. mai.</t>
  </si>
  <si>
    <t>Den offisielle sørgedagen er den første søndagen etter den første fullmånen etter vårjevndøgn.</t>
  </si>
  <si>
    <t>Den offisielle sørgedagen feires årlig den 1. november.</t>
  </si>
  <si>
    <t>Den offisielle sørgedagen er den 15. april.</t>
  </si>
  <si>
    <t>Den internasjonale minnedagen for ofre for folkemord, som er 27. januar, er anerkjent som offisiell sørgedag. Denne dagen ble etablert av FNs generalforsamling i 2016 for å minnes ofrene for folkemord og for å øke den globale bevisstheten om folkemord og forebygging.</t>
  </si>
  <si>
    <t>Du bør hvile og slappe av. Du bør også spise godt og drikke mye vann.</t>
  </si>
  <si>
    <t>På søndag, gå til kirken.</t>
  </si>
  <si>
    <t>På søndag, ta en pause fra dine vanlige aktiviteter og nyt en dag med avslapning. Du kan ta en spasertur i parken, lese en bok, eller se en film med en venn. Disse aktivitetene vil hjelpe deg å slappe av og forynge.</t>
  </si>
  <si>
    <t>Det er lurt å gjøre det som er godt for deg.</t>
  </si>
  <si>
    <t>Det er lurt å gjøre noe som er hyggelig sammen med familien.</t>
  </si>
  <si>
    <t>Du kan gjøre hva du vil.</t>
  </si>
  <si>
    <t>På søndag kan du gå på kino, på teater, på konsert, på restaurant, på kafe, på museum, på utstilling, på tur, på biblioteket, på trening, på besøk, på kino, på teater, på konsert, på restaurant, på kafe, på museum, på utstilling, på tur, på biblioteket</t>
  </si>
  <si>
    <t>Du kan gå på kino, gå en tur, besøke et museum, eller bare slappe av hjemme og lese en god bok.</t>
  </si>
  <si>
    <t>Jeg har ikke noen forslag, men jeg har en bønn.</t>
  </si>
  <si>
    <t>Jeg har ikke noen forslag til hva du kan gjøre på søndag, men jeg har et forslag til hva du kan gjøre på mandag.</t>
  </si>
  <si>
    <t>Søndag er en flott dag for å tilbringe tid med familien. Det er en dag for å slappe av og nyte hverandres selskap. Det er også en dag for å tilbringe tid med venner og familie. Det er en dag for å tilbringe tid med familien. Det er en dag for å tilbringe tid med familien. Det er en</t>
  </si>
  <si>
    <t>Søndag er en dag for hvile og avslapning. Det er en dag for å tilbringe tid med familien og å gjøre ting som du liker. Du kan gå til en kirke eller tilbedelse tjeneste, eller du kan bare slappe av hjemme. Du kan også gå til en park eller en lekeplass med barna.</t>
  </si>
  <si>
    <t>En stor sum penger er vanligvis definert som en sum som er større enn $100 000. Imidlertid kan dette beløpet variere avhengig av konteksten og personen som gjør vurderingen. For eksempel kan noen anse $50 000 som en stor sum penger, mens andre kanskje ikke gjør det. Til syvende og</t>
  </si>
  <si>
    <t>Det er ikke noe som heter kostbart. Det er bare et spørsmål om hva som er viktig.</t>
  </si>
  <si>
    <t>Det er når du ikke vet hva du skal gjøre, og du ikke vet hva du skal spørre om.</t>
  </si>
  <si>
    <t>Kostnad er et begrep som brukes for å beskrive mengden penger som kreves for å kjøpe en bestemt mengde varer eller tjenester. Det er et mål på verdien av varer eller tjenester i form av penger. Kostnaden for varer eller tjenester bestemmes av markedskrefter og kan påvirkes av ulike faktorer som tilbud og etterspørsel, produksjonskostnader og</t>
  </si>
  <si>
    <t>En høy pris er en pris som er høyere enn den vanlige markedsprisen for en bestemt vare eller tjeneste. Dette betyr at kjøperen betaler mer enn den vanlige markedsprisen for å få tak i varen eller tjenesten.</t>
  </si>
  <si>
    <t>Det som er dyrt er å ikke gjøre noe.</t>
  </si>
  <si>
    <t>Det som er dyrt er ikke nødvendigvis noe som koster mye penger, men snarere noe som er vanskelig å få tak i eller som krever mye innsats for å skaffe seg.</t>
  </si>
  <si>
    <t>De fleste er høflige og oppfører seg bra. Men det er noen som ikke gjør det.</t>
  </si>
  <si>
    <t>Folk på bussen er vanligvis høflige og respektfulle. De står opp når noen går på, og de lar andre gå av før de selv gjør det. De bruker innestemme og unngår høylytte samtaler. De tilbyr setet sitt til eldre eller funksjonshemmede personer, og de deler gjenstander som vannflasker eller snacks. De bruker</t>
  </si>
  <si>
    <t>Det er ikke så lett å svare på, men det er en del som er veldig ufine. Det er også en del som er veldig høflige, men som ikke følger med på det som skjer rundt dem.</t>
  </si>
  <si>
    <t>Det er ikke så mye typisk oppførsel på bussen. Det er en buss, og det er en buss. Det er ikke så mye som skiller seg ut.</t>
  </si>
  <si>
    <t>De fleste er veldig hyggelige og høflige.</t>
  </si>
  <si>
    <t>De fleste er hyggelige og oppfører seg bra.</t>
  </si>
  <si>
    <t>Folk på bussen oppfører seg vanligvis på en høflig og hensynsfull måte. De reiser seg for eldre og funksjonshemmede, og de tilbyr setet sitt til noen som trenger det. De bruker hodetelefoner for å unngå å forstyrre andre med støyen sin, og de snakker med lav stemme for å sikre at alle kan høre samtalen. De kaster</t>
  </si>
  <si>
    <t>Folk er veldig høflige og oppfører seg bra.</t>
  </si>
  <si>
    <t>Det er ikke nødvendig å ta av seg skoene. Det er ikke noe som heter ¬´skotørke¬ª.</t>
  </si>
  <si>
    <t>Det er ikke nødvendig å ta av seg skoene når man går inn i et hjem, med mindre verten spesifikt ber om det. Det er imidlertid en god ide å ta av seg skoene når man går inn i et hjem som ikke er ens eget, spesielt hvis det er et formelt eller formelt besøk. Dette viser respekt for</t>
  </si>
  <si>
    <t>Ja, det er nødvendig å ta av seg skoene.</t>
  </si>
  <si>
    <t>Det er ikke nødvendig å ta av seg skoene når man går inn i et hus, men det er nødvendig å ta av seg skoene før man går inn i en moske eller i et hus der en person sover.</t>
  </si>
  <si>
    <t>Det er ikke et krav i islam at man må ta av seg skoene før man går inn i noens hjem. Det er imidlertid anbefalt og blir ansett som høflig. Det er fordi når man går inn i noens hjem, så kommer man inn på deres personlige område. Skoene våre er vanligvis skitne, og det er ikke passende</t>
  </si>
  <si>
    <t>Det er ikke forventet at du tar av deg skoene når du besøker et hjem.</t>
  </si>
  <si>
    <t>Det er ikke en vanlig praksis å ta av seg skoene når man går inn i et hjem. Det er imidlertid høflig å ta av seg skoene når man går inn i noens hjem hvis de ber deg om det. Hvis du er usikker på om du skal ta av deg skoene, er det alltid bedre å feile på den</t>
  </si>
  <si>
    <t>Nei, det er ikke nødvendig.</t>
  </si>
  <si>
    <t>Det er ikke et krav i islam at man må ta av seg skoene før man går inn i et privat hjem. Det er imidlertid anbefalt å gjøre det som et tegn på respekt for den som bor der. Hvis det er et rent og ryddig gulv, kan man vurdere å ta av seg skoene. Hvis man er på besøk</t>
  </si>
  <si>
    <t>Det er ikke nødvendig å ta av seg skoene i et hjem.</t>
  </si>
  <si>
    <t>Det er ikke nødvendig å ta av seg skoene når man går inn i et hjem. Denne skikken er ikke vanlig i mange deler av verden, og å gjøre det kan bli sett på som uhøflig.</t>
  </si>
  <si>
    <t>På søndag er det lurt å ta seg tid til å slappe av og lade opp til den nye uka. Dette kan innebære aktiviteter som å lese en bok, ta et bad, eller gå en tur i naturen. Det er også en god ide å tilbringe tid med familie og venner, da dette kan hjelpe deg til å føle</t>
  </si>
  <si>
    <t>Du kan vurdere å gå på en tur i naturen, besøke et museum, eller delta på en yogaklasse. Disse aktivitetene kan være både avslappende og opplysende.</t>
  </si>
  <si>
    <t>Noen gode aktiviteter for søndag kan være å gå i kirken, tilbringe tid med familien, lese Bibelen, delta i en bibelstudiegruppe, gå en tur, eller bare slappe av hjemme.</t>
  </si>
  <si>
    <t>En høy pris er en pris som er høyere enn den burde være.</t>
  </si>
  <si>
    <t>Det som er dyrt er å være fattig.</t>
  </si>
  <si>
    <t>Dyrt er vanligvis definert som noe som er dyrt eller dyrt. Dette kan referere til prisen på en vare eller tjeneste, eller det kan referere til kvaliteten eller verdien som en person eller ting har. For eksempel kan en luksusbil være dyr på grunn av den høye prisen, men den kan også være dyr på grunn</t>
  </si>
  <si>
    <t>Typisk oppførsel på bussen er å være respektfull og hensynsfull overfor andre passasjerer. Dette inkluderer å ikke forstyrre andre, ikke lage høye lyder, og ikke avbryte samtaler. Det er også viktig å holde personlige eiendeler som mobiltelefoner og ryggsekker i din personlige plass, og å unngå å bruke elektroniske enheter som kan forstyrre andre</t>
  </si>
  <si>
    <t>Vanlige bussmanerer inkluderer å stå opp når noen går på, gi setet sitt til noen som trenger det, og å være stille og respektfull. Det er også viktig å la andre gå av bussen først, og å ikke blokkere nødutganger.</t>
  </si>
  <si>
    <t>Folk på bussen er vanligvis høflige og respektfulle. De venter på sin tur til å gå på og av bussen, og de lar andre passasjerer passere før de går på. De holder også føttene for seg selv og unngår å lage høye lyder. Noen mennesker kan imidlertid være uhøflige eller respektløse, for eksempel</t>
  </si>
  <si>
    <t>May 17 is a public holiday and an official flag day. This means that everyone in Norway is free from work and school and that shops are closed.</t>
  </si>
  <si>
    <t>It is a day to celebrate Norway and Norway. It is a day to celebrate that we have democracy, freedom of speech and equality. It is a day to celebrate that we have peace.</t>
  </si>
  <si>
    <t>On 17 May 1814, the Norwegian Constitution was dated and signed by the Presidency of the National Assembly at Eidsvoll. On the same day, Christian Frederik was elected king of an independent Norway. Later that same day he received a delegation of representatives, headed by President Georg Sverdrup, who announced to him:</t>
  </si>
  <si>
    <t>We celebrate Norway’s Constitution Day.</t>
  </si>
  <si>
    <t>It will be a traditional celebration with children, talks, games and entertainment.</t>
  </si>
  <si>
    <t>May 17 is Norwegian National Day. We celebrate Norway and Norway.</t>
  </si>
  <si>
    <t>Independence Day is July 17.</t>
  </si>
  <si>
    <t>17 July</t>
  </si>
  <si>
    <t>17 May.</t>
  </si>
  <si>
    <t>17 July 1975</t>
  </si>
  <si>
    <t>Independence Day is celebrated on July 26 every year.</t>
  </si>
  <si>
    <t>You can drink alcohol when you are 18.</t>
  </si>
  <si>
    <t>You must be 18 years old to drink alcohol.</t>
  </si>
  <si>
    <t>The age limit for drinking alcohol is 18 years.</t>
  </si>
  <si>
    <t>It is not legal to drink alcohol until you are 18 years old.</t>
  </si>
  <si>
    <t>It is permitted to drink alcohol at any age.</t>
  </si>
  <si>
    <t>You are not allowed to drink alcohol until you are 18.</t>
  </si>
  <si>
    <t>Yes, you can do it. But it is not recommended to drive a car after taking a drink.</t>
  </si>
  <si>
    <t>It is not safe to drive after a drink. It is not safe to drive after a drink. It is not safe to drive after a drink. It is not safe to drive after a drink. It is not safe to drive after a drink. It is not safe to drive after a drink. It is not safe</t>
  </si>
  <si>
    <t>It is legal to drive for a drink. But it is not legal to drive after two or more drinks.</t>
  </si>
  <si>
    <t>There is no problem driving after drinking a drink. But it is important to keep in mind that alcohol can affect your reaction and ability to drive a car.</t>
  </si>
  <si>
    <t>It is not allowed to drive after a drink.</t>
  </si>
  <si>
    <t>It is allowed to drive after a drink.</t>
  </si>
  <si>
    <t>Father’s Day is the second Sunday in November.</t>
  </si>
  <si>
    <t>A regular lunch snack is a small snack that is easy to eat and easy to carry. It can be a sandwich, a small bowl of soup, a small bowl of fruit or a small bowl of yogurt.</t>
  </si>
  <si>
    <t>It is a small piece of food that is easy to bring with you. It can be a sandwich, a bagel, a bowl, a fruit, a smoothie, a yoghurt, a biscuit, a small chocolate bar, a small bag of nuts or a small bag of dried fruit.</t>
  </si>
  <si>
    <t>Most snacks are easy to make and are healthy.</t>
  </si>
  <si>
    <t>There are many alternatives. You can bring a sandwich, a bagel, a bagel or a sandwich. You can also bring a fruit, a salad or a smoothie.</t>
  </si>
  <si>
    <t>There are a number of options available to you. You can choose from a variety of different types of snacks, including:</t>
  </si>
  <si>
    <t>There are many alternatives. You can bring a sandwich, a bagel, a bagel, a sandwich, a bagel, a sandwich, a bagel, a sandwich, a sandwich, a sandwich, a sandwich, a sandwich, a sandwich, a sandwich, a sand</t>
  </si>
  <si>
    <t>You can own a weapon.</t>
  </si>
  <si>
    <t>It is not legal to own a weapon without the permission of a police officer.</t>
  </si>
  <si>
    <t>You can have a weapon.</t>
  </si>
  <si>
    <t>You need permission from the police to own a weapon.</t>
  </si>
  <si>
    <t>You can get a weapon. You must be 18 years old to buy a gun.</t>
  </si>
  <si>
    <t>There are no rules for owning a weapon. However, there are some rules that must be followed.</t>
  </si>
  <si>
    <t>You will get a minimum of 4 weeks and 1 day vacation.</t>
  </si>
  <si>
    <t>The holiday law gives you the right to 25 working days of vacation each year. Saturday is considered a working day according to the holiday law. 25 working days are 4 weeks and 1 day vacation.</t>
  </si>
  <si>
    <t>You are entitled to 25 working days of leave each year. Four weeks and one day.</t>
  </si>
  <si>
    <t>You will get at least 25 working days of vacation. You are entitled to four weeks and one day vacation.</t>
  </si>
  <si>
    <t>The minimum holiday is 25 days per year.</t>
  </si>
  <si>
    <t>The holiday law gives you the right to 25 working days of vacation. Saturday is considered a working day. This means that you are entitled to four weeks and one day vacation each calendar year.</t>
  </si>
  <si>
    <t>You can buy wine at the Vinmonopolet.</t>
  </si>
  <si>
    <t>The wine monopoly.</t>
  </si>
  <si>
    <t>Wine Monopoly</t>
  </si>
  <si>
    <t>It is possible to buy spirits in any store that sells alcohol.</t>
  </si>
  <si>
    <t>There is no legal right to be released from work to give birth. However, it is common for employers to leave for up to two days.</t>
  </si>
  <si>
    <t>You are free to participate in the birth.</t>
  </si>
  <si>
    <t>You get 12 weeks leave with 80 percent pay or 15 weeks with 100 percent pay.</t>
  </si>
  <si>
    <t>The maternity leave is 49 weeks with full pay or 59 weeks with 80 percent pay.</t>
  </si>
  <si>
    <t>There are no rules for how long you can be away from work at birth. It is up to you and your employer to agree on how long you will be away.</t>
  </si>
  <si>
    <t>Free at birth is regulated by the Labor Environmental Law ¬ß 12-3.</t>
  </si>
  <si>
    <t>Privacy laws are the laws that protect the privacy of individuals. They are designed to protect the privacy of individuals and their personal information.</t>
  </si>
  <si>
    <t>The privacy laws in the United States and other countries are different. In the United States, for example, it is not permitted to collect or use personal information about children under the age of 13 without parental consent.</t>
  </si>
  <si>
    <t>Privacy is a fundamental right that protects the right of the individual to privacy and correspondence. It is also an important part of a democratic system.</t>
  </si>
  <si>
    <t>Your privacy is protected by the laws of your country.</t>
  </si>
  <si>
    <t>The privacy laws are a law designed to protect you from the misuse of your personal data.</t>
  </si>
  <si>
    <t>The data protection laws are part of the EU Data Protection Regulation (GDPR). The GDPR is a regulation that aims to strengthen and harmonize the protection of personal data in the European Union (EU). The GDPR applies to all companies that process personal data about EU citizens.</t>
  </si>
  <si>
    <t>This is a question that is difficult to answer. There are many factors that play in. However, it is expensive to have a health care.</t>
  </si>
  <si>
    <t>The cost of healthcare is one of the largest expenses in the United States. It is estimated that it costs $1,000 per person to maintain a healthy lifestyle.</t>
  </si>
  <si>
    <t>You have to pay a fee for health care. This is 38% of the total cost of the treatment.</t>
  </si>
  <si>
    <t>It costs money to use healthcare. It is not free.</t>
  </si>
  <si>
    <t>The cost of health care varies from country to country. In Norway, it is free to go to a doctor, dentist and physiotherapist.</t>
  </si>
  <si>
    <t>It is difficult to give an exact answer to this question. There are many factors that play in. But it is clear that there are huge costs associated with treating patients with cancer.</t>
  </si>
  <si>
    <t>They are politicians.</t>
  </si>
  <si>
    <t>It is the individual school owner who determines the curriculum.</t>
  </si>
  <si>
    <t>The state is responsible for teaching in public schools.</t>
  </si>
  <si>
    <t>Each school owner is responsible for drawing up a school plan.</t>
  </si>
  <si>
    <t>It is the state that decides what is taught in public schools.</t>
  </si>
  <si>
    <t>It is the individual school owner who has authority over the curricula in public schools.</t>
  </si>
  <si>
    <t>Respecting the interests of members.</t>
  </si>
  <si>
    <t>A trade union is an organization that protects the interests of workers in relation to their employers. The trade union is party-politically independent and its main task is to ensure good and safe salary and working conditions for its members.</t>
  </si>
  <si>
    <t>A trade union is an organization that protects the interests of employees.</t>
  </si>
  <si>
    <t>Trade unions are an important part of Norwegian society. It is part of democracy. It is part of the welfare state. It is part of Norwegian life. This is part of the Norwegian model.</t>
  </si>
  <si>
    <t>The trade union is an organization created to protect the interests of workers. It is part of the working class and is part of the international movement of the working class.</t>
  </si>
  <si>
    <t>Trade unions are organizations that are responsible for the interests of their members. They should be a counterweight to employers and work to improve the salary and working conditions of their members.</t>
  </si>
  <si>
    <t>NAV is responsible for ensuring that everyone who stays in Norway has a place to live. This also applies to refugees and asylum seekers.</t>
  </si>
  <si>
    <t>NAV is responsible for ensuring that everyone who is entitled to a benefit receives it. It is NAV’s responsibility to ensure that everyone who has the right to a benefit receives it.</t>
  </si>
  <si>
    <t>NAV should contribute to creating an inclusive society, an inclusive working life and a well-functioning labour market.</t>
  </si>
  <si>
    <t>NAV is a public agency under the Ministry of Labour and Social Affairs. NAV is responsible for ensuring income for people who are unable to work due to illness, injury or illness.</t>
  </si>
  <si>
    <t>Child insurance is a benefit granted to parents with children under the age of 18 who live in Norway.</t>
  </si>
  <si>
    <t>Child insurance is a benefit granted to parents with children under the age of 18 who live in Norway. The child insurance will help to cover the expenses associated with having children.</t>
  </si>
  <si>
    <t>Child insurance is a financial support for families with children under the age of 18. It will help to cover the expenses associated with having children.</t>
  </si>
  <si>
    <t>Child insurance is a universal scheme to help cover the expenses of child support. It will contribute to cover the costs of supporting children aged 0-18 years.</t>
  </si>
  <si>
    <t>Child insurance is a monthly payment to parents who have children under the age of 18. It is tax-free and is paid until the month before the child turns 18 years old.</t>
  </si>
  <si>
    <t>Doubt is a collective effort to perform a specific task, usually for the benefit of the community or an individual. “Dugnad” is a Norwegian word and means good deed.</t>
  </si>
  <si>
    <t>Debt is a jointly carried out and usually unpaid and voluntary work of importance to the community or an individual. Compensations are usually carried out in a local community, (e.g. Spring cleaning in a lodge, installation of a barracks, a boat cage, a cage or a playground), as a neighborhood program</t>
  </si>
  <si>
    <t>A skill is a joint effort to perform tasks that are necessary to accomplish a work or service. Payment is voluntary and unpaid.</t>
  </si>
  <si>
    <t>Debt is a joint effort to perform tasks that there is no need to pay anyone to do. Payment is voluntary and unpaid.</t>
  </si>
  <si>
    <t>Tasting is an old tradition in Norway. It’s a great way to contribute to the community, without costing anything.</t>
  </si>
  <si>
    <t>Volunteering is work done without pay. It can be work done for an organization, a cause or an association.</t>
  </si>
  <si>
    <t>Volunteering is a way to help others without getting paid. It can be to help at a kindergarten or to work as a volunteer at a school.</t>
  </si>
  <si>
    <t>Volunteering is work that is done without being paid in money. It can be work done for an organization, a cause or an association.</t>
  </si>
  <si>
    <t>Volunteering is a way to help others without getting paid. It can be helping at a nursery, working at a school, or helping to build an organization.</t>
  </si>
  <si>
    <t>Volunteering is a way to help others. It is a way to help others that is meaningful and that gives you a feeling of being helpful.</t>
  </si>
  <si>
    <t>Volunteering covers everything from helping at a soup kitchen for the homeless to volunteering at a nursery. There are many different ways to contribute, and it’s up to you how much time and effort you’ll put into it.</t>
  </si>
  <si>
    <t>Many people give gifts on Christmas Eve. There are also many people who deliver gifts on Christmas Eve. Many people give gifts on Christmas Eve.</t>
  </si>
  <si>
    <t>This is the Jesus Child.</t>
  </si>
  <si>
    <t>It’s not just members of the church who give gifts on Christmas Eve. There are also many who give gifts to those who are not members of the church.</t>
  </si>
  <si>
    <t>They are members of the congregation.</t>
  </si>
  <si>
    <t>No one does it.</t>
  </si>
  <si>
    <t>God has given us the gifts. He gave them to us so that we can use them to please others.</t>
  </si>
  <si>
    <t>Foreign nationals who have lived in Norway for at least three years can vote at the general election.</t>
  </si>
  <si>
    <t>Yes, Norwegian citizens who have reached the age of 18 by the end of the election year, and who are, or have been, registered residents in Norway, have the right to vote in general elections.</t>
  </si>
  <si>
    <t>Norwegian citizens residing abroad do not have the right to vote in the general election.</t>
  </si>
  <si>
    <t>All Norwegian citizens who have reached the age of 18 by the end of the election year have the right to vote in general elections.</t>
  </si>
  <si>
    <t>Yes, anyone who is registered as a resident in Norway and who is a Norwegian citizen can vote at the general election.</t>
  </si>
  <si>
    <t>No, it is not.</t>
  </si>
  <si>
    <t>Svalbard is an island group in the Arctic. It lies between 74∞ and 81∞ northern shore and the largest island is Spitsbergen. The island has an area of 61,022 km2.</t>
  </si>
  <si>
    <t>Svalbard consists of all islands, holes and slopes between 74¬∞ and 81¬∞ northern latitude and 10¬∞ and 35¬∞ east length.</t>
  </si>
  <si>
    <t>Svalbard is one of the most exotic places in the world. There are no cars, no shops, no people. It’s a place where you can experience most of it.</t>
  </si>
  <si>
    <t>There is a lot to do in Svalbard. Here are some suggestions:</t>
  </si>
  <si>
    <t>Svalbard is an island group in the Arctic. It lies between 74¬∞ and 81¬∞ northern latitude and 10¬∞ and 35¬∞ east length. The archipelago consists of all islands, holms and slopes between 74¬∞ and 81¬∞ northern latitude and 10¬∞ and 35¬∞ east.</t>
  </si>
  <si>
    <t>It is a trade union that organises workers.</t>
  </si>
  <si>
    <t>It is a trade union that is affiliated with a main association.</t>
  </si>
  <si>
    <t>A trade union is an association of workers whose main purpose is to safeguard the interests of its members in relation to their employers.</t>
  </si>
  <si>
    <t>A trade union is an organization whose purpose is to protect the interests of workers in the workplace.</t>
  </si>
  <si>
    <t>An association of workers is an association of workers or associations of workers whose purpose is to safeguard the interests of its members in relation to their employers.</t>
  </si>
  <si>
    <t>The government is responsible for the hospitals.</t>
  </si>
  <si>
    <t>The state manages the hospitals through annual appropriations over the state budget. The municipalities have the responsibility to provide necessary health and care services to all who stay in the municipality.</t>
  </si>
  <si>
    <t>The state is responsible for the hospitals, the municipalities are responsible for the primary health services.</t>
  </si>
  <si>
    <t>The State.</t>
  </si>
  <si>
    <t>The government runs the hospitals. The municipalities run the hospitals.</t>
  </si>
  <si>
    <t>Children have the right to a kindergarten in the municipality in which they reside.</t>
  </si>
  <si>
    <t>All children have the right to a kindergarten in the municipality in which they live.</t>
  </si>
  <si>
    <t>Children have the right to a kindergarten in the municipality in which they reside. The term starts in August of the year the child turns one year old.</t>
  </si>
  <si>
    <t>You have to pay residual tax. Over $1,000 is divided into two periods. The first term expires 3 weeks after the tax settlement has been sent out, and the second term expires 5 weeks after the first expiry.</t>
  </si>
  <si>
    <t>The consequences of low tax payments are that the state receives less money than it needs to finance public services. This could lead to cuts in other public services, such as schools and healthcare.</t>
  </si>
  <si>
    <t>If you owe taxes, you will receive a payment plan from the IRS. You may also be required to pay a penalty.</t>
  </si>
  <si>
    <t>Failure to pay taxes can cause you to be dishonored. That means you will be charged an additional tax. You can also be to the police.</t>
  </si>
  <si>
    <t>You have to pay residual tax.</t>
  </si>
  <si>
    <t>You get rest tax.</t>
  </si>
  <si>
    <t>The Employment Protection Act applies to all employees, both permanent and temporary employees.</t>
  </si>
  <si>
    <t>The Employment Safety Act applies to all employees, regardless of whether they are employed in a private or public enterprise.</t>
  </si>
  <si>
    <t>The Employment Law applies to all employees, including those employed in their own company.</t>
  </si>
  <si>
    <t>All employees in Norway are protected by the Labor Environmental Protection Act.</t>
  </si>
  <si>
    <t>Everyone who works in the service of someone else.</t>
  </si>
  <si>
    <t>The Employment Safety Act ensures that employees have a good and safe working environment.</t>
  </si>
  <si>
    <t>Anyone in need of an interpreter in the public has the right to an interpreter. This also applies to children.</t>
  </si>
  <si>
    <t>You can request an interpreter in any type of meeting with the public. This applies to meetings with NAV, child protection, school, health care, police, foreign authorities and other public authorities.</t>
  </si>
  <si>
    <t>We have interpreters at all our offices.</t>
  </si>
  <si>
    <t>Anyone in need of an interpreter in the public has the right to an interpreter. This also applies to healthcare.</t>
  </si>
  <si>
    <t>The Interpreting Service in NAV covers interpreting in meetings with NAV.</t>
  </si>
  <si>
    <t>Interpreting services are part of the right to free legal aid. It is the council that accepts requests for interpreters.</t>
  </si>
  <si>
    <t>This is what is decided by the politicians.</t>
  </si>
  <si>
    <t>School curriculum is determined by the Board of Directors.</t>
  </si>
  <si>
    <t>It is the school owner who determines the curriculum for each school.</t>
  </si>
  <si>
    <t>It is the school owner who has authority over the school pension.</t>
  </si>
  <si>
    <t>It is the teachers who decide the curriculum.</t>
  </si>
  <si>
    <t>It is the individual teacher who determines the content of the teaching.</t>
  </si>
  <si>
    <t>Parents have to pay for their children.</t>
  </si>
  <si>
    <t>Parents have the responsibility to meet children’s needs for food, clothing, housing, hygiene, education, medical care, transportation, entertainment and leisure activities.</t>
  </si>
  <si>
    <t>Parents must cover the costs of food, clothing, leisure activities, play and equipment for the child.</t>
  </si>
  <si>
    <t>Parents are obliged to pay for their children. This is part of the basic parental responsibility.</t>
  </si>
  <si>
    <t>Parents need to fund their children’s education.</t>
  </si>
  <si>
    <t>Parents are obliged to pay for their children’s schooling. This also applies to children who are hospitalized.</t>
  </si>
  <si>
    <t>Most countries in the world have borders with other countries. Some countries border with the ocean, while others border with other countries.</t>
  </si>
  <si>
    <t>There are 12 countries next to you.</t>
  </si>
  <si>
    <t>There is no limit to where you can travel.</t>
  </si>
  <si>
    <t>This is a question that is often asked. This is not an easy question to answer. There are many nations bordering each other. There are also many nations that border with other nations.</t>
  </si>
  <si>
    <t>USA, Canada, Mexico, Brazil, Argentina, Uruguay, Paraguay, Chile, Peru, Colombia, Venezuela, Ecuador, Guyana, Surinam, French Guyana, Guadeloupe, Martinique, Mayotte, Reunion, French Polyn</t>
  </si>
  <si>
    <t>You can see all the countries that are your neighbors by clicking on the "My Neighbors" tab.</t>
  </si>
  <si>
    <t>Students receive grades from 8th grade.</t>
  </si>
  <si>
    <t>There is no specific step that starts with characteristics. Characters are part of a person’s educational system.</t>
  </si>
  <si>
    <t>Characters are given from 1st class.</t>
  </si>
  <si>
    <t>Class 1A</t>
  </si>
  <si>
    <t>Students receive grades in all subjects at the end of each school year.</t>
  </si>
  <si>
    <t>Tokyo (127 million)</t>
  </si>
  <si>
    <t>Tokyo, with over 30 million inhabitants.</t>
  </si>
  <si>
    <t>The largest city in area is Tokyo, which is on 377,880 square kilometers.</t>
  </si>
  <si>
    <t>It’s hard to say, but it’s probably one of the biggest cities in the world.</t>
  </si>
  <si>
    <t>Elections are held every four years.</t>
  </si>
  <si>
    <t>Elections take place every four years.</t>
  </si>
  <si>
    <t>There is no fixed frequency. It is up to each municipality to decide.</t>
  </si>
  <si>
    <t>There is no clear answer to this question. There are many cities in Northern Norway that are close to Nordkapp, but there is none as far north as Honningsvåg.</t>
  </si>
  <si>
    <t>People are all people who live in a country.</t>
  </si>
  <si>
    <t>The population of Norway is 5.3 million.</t>
  </si>
  <si>
    <t>It is ca. 1.2 billion people on Earth.</t>
  </si>
  <si>
    <t>It lives ca. 1.5 million people in the city.</t>
  </si>
  <si>
    <t>It is ca. 1000 inhabitants in the city.</t>
  </si>
  <si>
    <t>There are several public transport providers in the city.</t>
  </si>
  <si>
    <t>There are many transport companies that offer public transportation. The most famous are:</t>
  </si>
  <si>
    <t>There are a number of companies that offer public transportation in the city. Most of them are private, but some are also public.</t>
  </si>
  <si>
    <t>There are many alternatives. There are buses, trains, trams, metro, taxis and even ferries.</t>
  </si>
  <si>
    <t>No one dominates public transportation. There are many companies that are competing for public transportation.</t>
  </si>
  <si>
    <t>There are a large number of carriers operating in different cities in Russia. The most famous are:</t>
  </si>
  <si>
    <t>There are many species of animals in the world, but the most famous are:</t>
  </si>
  <si>
    <t>It’s hard to say, but there are probably the most animals that live in the ocean.</t>
  </si>
  <si>
    <t>It’s hard to say, but it’s probably the big cat animals that are most significant.</t>
  </si>
  <si>
    <t>It’s hard to say, but it’s probably the big mammals that are most significant.</t>
  </si>
  <si>
    <t>There are many species that are important to humans. The most important animal species are:</t>
  </si>
  <si>
    <t>There are many species of animals that are prominent in the world. Some of the most prominent animals are:</t>
  </si>
  <si>
    <t>The midnight sun is a phenomenon that occurs when the sun does not go under the horizon and is therefore visible 24 hours a day.</t>
  </si>
  <si>
    <t>Midnight sun is when the sun does not go under the horizon and is visible throughout the day.</t>
  </si>
  <si>
    <t>Oslo has no ports.</t>
  </si>
  <si>
    <t>There are several ports in Oslo. The most famous is probably Aker Brygge, but there are also several other ports in Oslo.</t>
  </si>
  <si>
    <t>Yes, Oslo harbour has port facilities in Oslo, Moss, Drammen, Larvik, Grenland, Kristiansand, Stavanger, Karmsund, Bergen, Ålesund, Trondheim, Bodø and Tromsø.</t>
  </si>
  <si>
    <t>Yes, it is it.</t>
  </si>
  <si>
    <t>Oslo has three ports: Oslo Port, Oslo Sea Terminal and Sjursøya.</t>
  </si>
  <si>
    <t>Yes, the capital has access to ports.</t>
  </si>
  <si>
    <t>The political structure is part of the political structure. The political structure is part of the political structure.</t>
  </si>
  <si>
    <t>The political structure is very simple. There is a president, a prime minister, a government and a parliament. The President is elected by the people for a term of four years. The Prime Minister is elected by Parliament for a term of two years. The Government consists of ministers appointed by the President. Parliament consists of two chambers.</t>
  </si>
  <si>
    <t>The political system in Norway is parliamentary. This means that the government must have the support of a majority in the Storting.</t>
  </si>
  <si>
    <t>The political structure in Norway is built up by the Storting, the government and the courts. The Parliament is the legislative assembly and the Government is the executive. The courts are the judgmental power.</t>
  </si>
  <si>
    <t>The political structure consists of a parliament, a government and a court.</t>
  </si>
  <si>
    <t>The political structure is a collection of political parties that have a common ideology and have a common policy.</t>
  </si>
  <si>
    <t>The English.</t>
  </si>
  <si>
    <t>English</t>
  </si>
  <si>
    <t>English is the most spoken language in the world.</t>
  </si>
  <si>
    <t>The most spoken language is English.</t>
  </si>
  <si>
    <t>Red, white and blue.</t>
  </si>
  <si>
    <t>Red, white and blue are the colors of the Norwegian flag.</t>
  </si>
  <si>
    <t>There are three different flags: red, white and blue.</t>
  </si>
  <si>
    <t>The flag is divided into three parts:</t>
  </si>
  <si>
    <t>It is a mixture of blue and white.</t>
  </si>
  <si>
    <t>There are 430 municipalities in Norway.</t>
  </si>
  <si>
    <t>It is 190.</t>
  </si>
  <si>
    <t>No, you do not need to carry an identification.</t>
  </si>
  <si>
    <t>Yes Yes. Anyone involved in an incident involving a person under the age of 18 must carry an identification card.</t>
  </si>
  <si>
    <t>You must always have an identification.</t>
  </si>
  <si>
    <t>Yes, it is necessary to carry identification all the time.</t>
  </si>
  <si>
    <t>No, you don’t need to have an identification at all times.</t>
  </si>
  <si>
    <t>No, it is not a requirement to always carry identification. It is important to always carry an identification.</t>
  </si>
  <si>
    <t>There are 19 administrative regions in Spain.</t>
  </si>
  <si>
    <t>There are 19 regions in Spain.</t>
  </si>
  <si>
    <t>There are 19 administrative regions in Russia.</t>
  </si>
  <si>
    <t>There are 12 regions in Norway.</t>
  </si>
  <si>
    <t>It is ca. 5.3 million square kilometers.</t>
  </si>
  <si>
    <t>1000 square kilometers</t>
  </si>
  <si>
    <t>1e + 63</t>
  </si>
  <si>
    <t>It is 1000 square kilometers.</t>
  </si>
  <si>
    <t>It is ca. 100 million square kilometers.</t>
  </si>
  <si>
    <t>It is 1000 square meters.</t>
  </si>
  <si>
    <t>It is 1000 square miles.</t>
  </si>
  <si>
    <t>The land in square miles is 1000000000000000000000000000000000000000000000000000000000000000000000000000000000</t>
  </si>
  <si>
    <t>In 2017, 14.3% of the population in Norway were immigrants.</t>
  </si>
  <si>
    <t>In 2017, 5.3% of the population in Norway were immigrants.</t>
  </si>
  <si>
    <t>The immigrant percentage is the percentage of the population that is immigrant.</t>
  </si>
  <si>
    <t>Immigrants make up 13.8 percent of the population.</t>
  </si>
  <si>
    <t>The proportion of immigrants in the population is 14.3 percent.</t>
  </si>
  <si>
    <t>In 2017, 14.3% of the population in Norway were immigrants or Norwegians born with immigrant parents.</t>
  </si>
  <si>
    <t>The official day of mourning is the first Sunday after the death.</t>
  </si>
  <si>
    <t>1 September</t>
  </si>
  <si>
    <t>The official day of mourning is the first Monday after a person’s death.</t>
  </si>
  <si>
    <t>The official day of mourning is the first Monday after the death.</t>
  </si>
  <si>
    <t>In Norway, it is customary to mark the day of mourning on the first Monday after a death.</t>
  </si>
  <si>
    <t>17 May</t>
  </si>
  <si>
    <t>May 17th is Norway’s National Day. Norway adopted its own constitution on 17 May 1814. This day is also called Constitution Day.</t>
  </si>
  <si>
    <t>May 17th is Norway’s National Day. It is also the date when the Storting passed our Constitution.</t>
  </si>
  <si>
    <t>The Constitution was adopted on 17 May 1814. This day is also called Constitution Day.</t>
  </si>
  <si>
    <t>On Sunday we will have a big party to celebrate that we have a new congregation in our city. We are going to have a big party to celebrate that we have a new church in our city. We are going to have a big party to celebrate that we have a new church in our city. We shall</t>
  </si>
  <si>
    <t>It’s good to do something fun with your family.</t>
  </si>
  <si>
    <t>I can go to the cinema, watch a movie, go to a museum, go to a concert, go to the theatre, go to a restaurant, go to a cafe, go shopping, go to a walk, go skiing, go skiing, go to the beach, go to the library, go to a party, go to a quiz, go</t>
  </si>
  <si>
    <t>I don’t have so many suggestions, but I can suggest you take a walk out in the nice weather. Maybe you can take a walk in the forest, or maybe you can take a walk on the beach? The weather is so nice, so just get out!</t>
  </si>
  <si>
    <t>There are many things you can do on a Sunday. You can go to a church, go to a park, go to a local park, go to a local park, go to a local park, go to a local park, go to a local park, go to a local park, go to a local park, go to a local park</t>
  </si>
  <si>
    <t>It is not so easy to answer. It depends on what you will use it for.</t>
  </si>
  <si>
    <t>It is not expensive. It is an investment in the future.</t>
  </si>
  <si>
    <t>There is nothing called a high price. It’s just a price set by someone who has no choice but to set that price.</t>
  </si>
  <si>
    <t>It is not having a plan.</t>
  </si>
  <si>
    <t>It is not necessarily expensive to buy a car. It is not expensive to buy a house. It is expensive to buy a boat. It is expensive to buy a motorcycle. It is expensive to buy a car. It is expensive to buy a tractor. It is expensive to buy</t>
  </si>
  <si>
    <t>Most people behave well, but there are some who don’t.</t>
  </si>
  <si>
    <t>It is typical that people sit and talk to each other, and that they do not follow on the road.</t>
  </si>
  <si>
    <t>People tend to sit quietly and not make so much noise.</t>
  </si>
  <si>
    <t>It is usual to talk to the side man, and it is usual to talk to the bus driver. It is also common to talk to other passengers.</t>
  </si>
  <si>
    <t>People are very nice and helpful.</t>
  </si>
  <si>
    <t>No need to take off your shoes.</t>
  </si>
  <si>
    <t>You do not need to take off your shoes when you enter a home.</t>
  </si>
  <si>
    <t>Yes, it is expected that you take off your shoes before entering a home.</t>
  </si>
  <si>
    <t>You have to take off your shoes before entering a house.</t>
  </si>
  <si>
    <t>Yes, you should always take off your shoes when you enter a home.</t>
  </si>
  <si>
    <t>It will be a traditional celebration with trains, talks, games and entertainment.</t>
  </si>
  <si>
    <t>It is a day of celebration of the Constitution of Norway.</t>
  </si>
  <si>
    <t>It is a national day and it is a celebration of the Norwegian Constitution.</t>
  </si>
  <si>
    <t>Today is Norway’s National Day.</t>
  </si>
  <si>
    <t>There will be traditional celebrations with trains, toys, the sale of food and drink, and entertainment.</t>
  </si>
  <si>
    <t>Norwegian Constitution Day.</t>
  </si>
  <si>
    <t>Independence Day is 15 August 1776.</t>
  </si>
  <si>
    <t>17 August 1947</t>
  </si>
  <si>
    <t>Independence Day is a national holiday in the United States. It is celebrated on July 4.</t>
  </si>
  <si>
    <t>15 August 1962</t>
  </si>
  <si>
    <t>14 July 1776</t>
  </si>
  <si>
    <t>You must be 18 years old to buy alcohol and 16 years old to drink alcohol.</t>
  </si>
  <si>
    <t>The age limit for buying alcohol in Norway is 18 years. There is a 16-year-old limit for serving alcohol in Norway.</t>
  </si>
  <si>
    <t>It is legal to drink alcohol when you are 16 years old.</t>
  </si>
  <si>
    <t>There is no age limit for drinking alcohol, but the legal age for buying alcohol is 18 years.</t>
  </si>
  <si>
    <t>In Norway it is not allowed to sell or give alcohol to persons under the age of 18.</t>
  </si>
  <si>
    <t>No, it is not allowed to drive after drinking alcohol.</t>
  </si>
  <si>
    <t>It is safe to drive for a drink. But it is not recommended.</t>
  </si>
  <si>
    <t>Yes, you can do it. It is not illegal to drive a car after drinking alcohol, but you may risk being convicted for driving in the affected state.</t>
  </si>
  <si>
    <t>It is not okay to drive a car after drinking alcohol. You may be convicted of driving in the affected state, and it is a criminal offence.</t>
  </si>
  <si>
    <t>It is not illegal to drive a car after drinking a drink, but it is not recommended.</t>
  </si>
  <si>
    <t>It is allowed to drive for a drink.</t>
  </si>
  <si>
    <t>Father’s Day is always the second Sunday in November.</t>
  </si>
  <si>
    <t>Father’s Day is always the second Sunday in November. This year, Father’s Day is Sunday, November 10.</t>
  </si>
  <si>
    <t>A slice of bread with cheese and skinke.</t>
  </si>
  <si>
    <t>It is important to have a balanced diet, and it is important to eat enough. It is also important to eat enough fruits and vegetables.</t>
  </si>
  <si>
    <t>There are many different types of snacks that are common. Some of the most common are:</t>
  </si>
  <si>
    <t>I usually eat a banana, a yogurt and a handful of nuts.</t>
  </si>
  <si>
    <t>fruits and vegetables.</t>
  </si>
  <si>
    <t>It is common to eat bread, but it is also common to eat fruits and vegetables.</t>
  </si>
  <si>
    <t>It is legal to own a weapon in Norway.</t>
  </si>
  <si>
    <t>Weapons are not allowed in Norway. Only the police and the defense are allowed to possess weapons.</t>
  </si>
  <si>
    <t>You can get a weapon. There is no requirement that you must be a member of a gun club. You can buy a gun without permission from the police.</t>
  </si>
  <si>
    <t>There is no general prohibition on weapons in Norway. However, it is forbidden to possess or possess firearms, weapons parts or ammunition designed to fire cartridges without projectile (automatic weapons).</t>
  </si>
  <si>
    <t>Minimum number of holidays is 20.</t>
  </si>
  <si>
    <t>All employees are entitled to 25 working days of leave each year. Saturday is considered a working day according to the law. 25 working days are 4 weeks and 1 day vacation. Employees who reach 60 years of age during the holiday year are entitled to an additional week of leave.</t>
  </si>
  <si>
    <t>You are entitled to five weeks of leave (25 working days).</t>
  </si>
  <si>
    <t>You will receive 10.2% of your vacation allowance.</t>
  </si>
  <si>
    <t>Minimum holidays are the number of days you must have worked to receive a payment.</t>
  </si>
  <si>
    <t>There is no statutory right to be free in connection with moving holidays. However, there is a statutory right to be free in connection with moving holidays.</t>
  </si>
  <si>
    <t>It is not allowed to sell wine to people under 20 years of age.</t>
  </si>
  <si>
    <t>It is sold in all stores in Norway.</t>
  </si>
  <si>
    <t>The wine monopoly has the exclusive right to sell spirits. However, it is open for individuals to sell spirits. It is not open for individuals to sell beer.</t>
  </si>
  <si>
    <t>It is possible to buy wine in any country in the world.</t>
  </si>
  <si>
    <t>There is no legal right to give birth. It is common for both mom and dad to take leave of work in connection with childbirth.</t>
  </si>
  <si>
    <t>You will be released for 42 days with full pay, or 52 days with 80% pay.</t>
  </si>
  <si>
    <t>The leave period is up to 12 weeks during pregnancy and 6 weeks after birth.</t>
  </si>
  <si>
    <t>Birth leave is 10 weeks.</t>
  </si>
  <si>
    <t>Your employer has no statutory obligation to pay salary during maternity leave. However, most employers choose to do so.</t>
  </si>
  <si>
    <t>The principle is that the father is entitled to two weeks of maternity leave. Mother has a total of 12 weeks of leave.</t>
  </si>
  <si>
    <t>Privacy laws are a set of rules designed to protect you from the misuse of your personal information.</t>
  </si>
  <si>
    <t>The Personal Data Act (POL) and the Personal Data Regulation (POF) regulate the processing of personal data.</t>
  </si>
  <si>
    <t>Privacy is a fundamental right that protects the right of individuals to have control over their personal data.</t>
  </si>
  <si>
    <t>Privacy is protected by the laws of all countries.</t>
  </si>
  <si>
    <t>Privacy laws are laws designed to protect you from the misuse of your personal data.</t>
  </si>
  <si>
    <t>Data protection laws are a set of rules designed to protect the individual from the breach of privacy through the processing of personal data. The rules shall also contribute to ensuring that personal data are processed in accordance with basic privacy considerations, including the need for personal integrity, privacy and adequate quality of personal data.</t>
  </si>
  <si>
    <t>That is a big question. It is not a simple answer. There are many factors that play in.</t>
  </si>
  <si>
    <t>The cost of health care is one of the most important factors affecting a person’s overall health. The cost of health care is one of the most important factors affecting a person’s overall health.</t>
  </si>
  <si>
    <t>It is free to receive health care in Norway.</t>
  </si>
  <si>
    <t>It is free to use health care in Norway.</t>
  </si>
  <si>
    <t>The price of health care depends on the type of service and where the service is provided.</t>
  </si>
  <si>
    <t>Healthcare costs are approx. 10% of GDP.</t>
  </si>
  <si>
    <t>It is the parents who decide what their children will learn in school.</t>
  </si>
  <si>
    <t>It is the municipalities that establish curricula in Norwegian public schools.</t>
  </si>
  <si>
    <t>The owner of the school is responsible for ensuring that the students receive the training they are entitled to.</t>
  </si>
  <si>
    <t>It is the Ministry of Education that sets the curricula for primary and secondary schools. It is the Directorate of Education that sets the curricula for higher education.</t>
  </si>
  <si>
    <t>It is the parents who decide what their children will learn.</t>
  </si>
  <si>
    <t>The Education Directorate has the authority to establish curricula for public schools.</t>
  </si>
  <si>
    <t>Ensure that members have good salary and working conditions.</t>
  </si>
  <si>
    <t>The trade union shall protect the interests of its members in relation to the employer.</t>
  </si>
  <si>
    <t>It is an association of workers within the same industry, profession or profession and which aims to safeguard the interests of its members in relation to their employers.</t>
  </si>
  <si>
    <t>Trade unions are an important part of the Norwegian model. It should be an incentive to ensure that members have good salary and working conditions.</t>
  </si>
  <si>
    <t>A trade union is an association of workers within the same industry or industry.</t>
  </si>
  <si>
    <t>Ensuring good wage and working conditions.</t>
  </si>
  <si>
    <t>It is not your responsibility to provide you with financial assistance. Social assistance is a temporary income. The goal of the stone is that you will be able to handle yourself as quickly as possible. Before you can get financial social assistance, you must have tried all other ways to support yourself.</t>
  </si>
  <si>
    <t>NAV is responsible for monitoring persons receiving sickness allowance, work clearance allowance and disability pension. NAV also has the responsibility to follow up on people who are unemployed and who need work-oriented assistance.</t>
  </si>
  <si>
    <t>NAV is a government agency that has the task of helping people who have come into a difficult situation. NAV has many different tasks, and it is not always as easy to understand what NAV does. NAV has the responsibility to help people who have come into a difficult situation. There are many different tasks and</t>
  </si>
  <si>
    <t>NAV is responsible for the implementation of labour market, social security and pension policies. NAV manages one-third of the state budget through schemes such as day allowance, work clearance allowance, sickness allowance, pension, child insurance and cash support. NAV is also responsible for helping users get into work and activity.</t>
  </si>
  <si>
    <t>This is a partnership between state and municipality. The municipalities are responsible for the social services, while NAV is responsible for the state services.</t>
  </si>
  <si>
    <t>Children’s insurance is a benefit from the public insurance that is provided to all children under the age of 18 who are resident in Norway. The child insurance will help to cover the expenses associated with having children.</t>
  </si>
  <si>
    <t>Children’s insurance is a child insurance allowance for all children under the age of 18 who are resident in Norway. The child insurance will help to cover the expenses associated with having children.</t>
  </si>
  <si>
    <t>Child insurance is a financial transfer to children's families that is paid automatically from the child's birth until the age of 18. The child insurance will help to cover the expenses associated with having children.</t>
  </si>
  <si>
    <t>The Child Insurance is a child insurance allowance for all children under the age of 18 who are resident in Norway. Child insurance will help to cover the costs of having children.</t>
  </si>
  <si>
    <t>Child insurance is money for all children under the age of 18 who live in Norway. The child insurance will help to cover the expenses associated with having children.</t>
  </si>
  <si>
    <t>A duty is a jointly carried out and unpaid and voluntary work of importance to the community or an individual. Deposits are usually carried out in a community, (such as spring cleaning in a housing team, installation of a barracks, a boat cage, a cage or a playground), as a neighborhood program in different situations</t>
  </si>
  <si>
    <t>Debt is voluntary work that is carried out free of charge and that has value for the community or an individual. It is not a form of tax or tax.</t>
  </si>
  <si>
    <t>Debt is voluntary work that is carried out free of charge and that has value for the community or an individual. It is not a substitute for being a member of a team or an association, but a supplement.</t>
  </si>
  <si>
    <t>Debt is voluntary work that can be done to earn money for the common good. It is common that duties are performed in residential teams, sports teams, corps, school classes, Russian and other organizations.</t>
  </si>
  <si>
    <t>Volunteering is work in which one is not in an ordinary employment relationship and in which one chooses the objectives of his commitment.</t>
  </si>
  <si>
    <t>Volunteering is a work in which one is not in an ordinary employment relationship and where one can choose when, where, with whom and how long one will work.</t>
  </si>
  <si>
    <t>The purpose of volunteering is to help others.</t>
  </si>
  <si>
    <t>Volunteering is a great way to get to know others, and it is a great way to learn new things. It’s also a great way to gain work experience.</t>
  </si>
  <si>
    <t>Many people give gifts on Christmas Eve. It is common that there is a priest who reads the Christmas gospel, and that there is a singer who sings. It is also common that there is one who reads the Christmas gospel from the sermon.</t>
  </si>
  <si>
    <t>Jesus comes with gifts to everyone.</t>
  </si>
  <si>
    <t>Many people give gifts on Christmas Eve. It is common to give gifts to children, grandchildren, grandchildren, friends and neighbors.</t>
  </si>
  <si>
    <t>It is not just Jesus who gives us gifts. Everyone else does too.</t>
  </si>
  <si>
    <t>It’s not just a gift, it’s a gift from God.</t>
  </si>
  <si>
    <t>Jesus is the great gift.</t>
  </si>
  <si>
    <t>Foreign nationals who have been registered resident in Norway in the last three years before the election day have the right to vote.</t>
  </si>
  <si>
    <t>Foreign nationals have the right to vote in general elections.</t>
  </si>
  <si>
    <t>Yes, they can do it.</t>
  </si>
  <si>
    <t>Foreign nationals who have lived in Norway for three consecutive years before the election day and who have been registered resident in Norway since 30 June in the election year have the right to vote.</t>
  </si>
  <si>
    <t>Foreign nationals do not have the right to vote in general elections.</t>
  </si>
  <si>
    <t>Svalbard is an island group in the Arctic. The island group is located north of mainland Norway, approximately in the middle between mainland Norway and the North Pole.</t>
  </si>
  <si>
    <t>Svalbard consists of all islands, holes and slopes between 74¬∞ and 81¬∞ northern latitude and 10¬∞ and 35¬∞ east length. The island has a land area of 61,022 km2 and is thus 14 times larger than Hinnøya and 30 times larger than Hinnøya.</t>
  </si>
  <si>
    <t>Svalbard is an island group in the Arctic, and is part of Norway. The group of islands is located north of mainland Norway, and consists of all islands, holms and slopes between 74¬∞ and 81¬∞ northern latitude and 10¬∞ and 35¬∞ east length. Svalbard has an area of 6</t>
  </si>
  <si>
    <t>Svalbard is an island group in the Arctic. The island is situated between the North Pole and the Norwegian mainland. Svalbard consists of all islands, holes and slopes between 74¬∞ and 81¬∞ northern latitude and 10¬∞ and 35¬∞ east length. The largest island is Spitsbergen.</t>
  </si>
  <si>
    <t>Svalbard is an island group in the Arctic.</t>
  </si>
  <si>
    <t>National Organization of Norway (LO)</t>
  </si>
  <si>
    <t>It is LO.</t>
  </si>
  <si>
    <t>A trade union is an association of workers within the same profession or industry.</t>
  </si>
  <si>
    <t>An employee association is an association of workers within the same industry or industry.</t>
  </si>
  <si>
    <t>The state governs through laws and regulations. The municipalities govern through budgets and agreements.</t>
  </si>
  <si>
    <t>The government is responsible for the hospitals. The government is also responsible for funding hospitals. The municipalities are responsible for funding primary health care.</t>
  </si>
  <si>
    <t>The state has the overriding responsibility for providing the population with the necessary specialist health services.</t>
  </si>
  <si>
    <t>The government runs the hospitals.</t>
  </si>
  <si>
    <t>The state controls the hospitals, the municipalities control the municipal hospitals.</t>
  </si>
  <si>
    <t>Children who reach one year at the latest by the end of August of the year in which childcare is sought, have the right, upon application, to be placed in kindergarten from August in accordance with this Act with regulations.</t>
  </si>
  <si>
    <t>Children who reach one year at the latest by the end of August of the year in which the application for kindergarten place is applied for have the right to get a place in kindergarten from August in accordance with the kindergarten law with regulations.</t>
  </si>
  <si>
    <t>All children living in Norway have the right to a place in kindergarten. Children who reach one year at the latest by the end of August of the year in which childcare is applied for have the right to receive a place in kindergarten from August. Children who have completed one year in September, October or November of the year they are applying for childcare.</t>
  </si>
  <si>
    <t>If you have paid too little tax, you will be refunded.</t>
  </si>
  <si>
    <t>The consequences of low tax payments are that the state loses tax revenues. It is therefore important that everyone contributes to ensuring that the tax is correct.</t>
  </si>
  <si>
    <t>If you owe taxes, you cannot use the money to pay for a product or service.</t>
  </si>
  <si>
    <t>Failure to pay taxes may result in you having to pay residual tax.</t>
  </si>
  <si>
    <t>If you pay too little tax, you will have to pay residual tax.</t>
  </si>
  <si>
    <t>The Employment Safety Act applies to all workers, except for shipping, catching and fishing, petroleum business and aviation.</t>
  </si>
  <si>
    <t>All employees are protected by the Labor Environmental Protection Act. There is no requirement that the employee must be organized in a trade union.</t>
  </si>
  <si>
    <t>All employees, including part-time employees, vacancies and calling vacancies.</t>
  </si>
  <si>
    <t>The Labour Environmental Protection Act is designed to protect workers.</t>
  </si>
  <si>
    <t>The interpreter must be a neutral person. It is not permitted to use children as interpreters. The interpreter shall have no other duties during the interpretation. The interpreter must interpret everything that is said, nothing to alter, nothing to add, nothing to change.</t>
  </si>
  <si>
    <t>The Interpreting Service is part of the Help Center. The service provider is responsible for providing an interpreter.</t>
  </si>
  <si>
    <t>Interpreting services are available on the phone 952 64 171.</t>
  </si>
  <si>
    <t>The interpreter should be a neutral party to communicate the content of the conversation. It is not the interpreter’s job to say anything about who is right or wrong.</t>
  </si>
  <si>
    <t>The Interpreting Service in Oslo and Akershus is a separate department of NAV. The Interpreting Service has offices at NAV Hjelpemiddelsentral Oslo and Akershus, Kabelgaten 2, Økern.</t>
  </si>
  <si>
    <t>The Interpretation Service is part of the NAV Assistance Centre.</t>
  </si>
  <si>
    <t>It is the school that decides.</t>
  </si>
  <si>
    <t>It is up to each school to decide on the course.</t>
  </si>
  <si>
    <t>It is the school owner who sets the curricula for professions. The owner of the school may delegate the task to the director.</t>
  </si>
  <si>
    <t>It is the Ministry of Education that has the authority to determine the curriculum in the school.</t>
  </si>
  <si>
    <t>It is the teachers who control the school.</t>
  </si>
  <si>
    <t>It is the teacher who decides what will happen in the classroom.</t>
  </si>
  <si>
    <t>There is no parental payment for children in kindergartens or SFOs.</t>
  </si>
  <si>
    <t>Parents have a shared responsibility to support their children. In the Children’s Act ¬ß 30 it is stated: “The claims for maintenance that according to this law, law of 8 April 1981 no. 7 about children and parents ¬ß 66 and ¬ß 67, as well as ¬ß 73 and ¬ß 74</t>
  </si>
  <si>
    <t>There is no law that says that parents must cover the costs of their children. It is up to parents to decide whether they will cover the costs for their children.</t>
  </si>
  <si>
    <t>Parents are obliged to pay for their children as long as they are under the age of 18.</t>
  </si>
  <si>
    <t>Parents need to fund what is necessary to give their children a good upbringing. It is not necessary to finance everything.</t>
  </si>
  <si>
    <t>Parents have a duty to support their children. There is no requirement for parents to cover expenses for their children’s leisure activities.</t>
  </si>
  <si>
    <t>There is no country bordering me.</t>
  </si>
  <si>
    <t>You can see the countries that are next to you on the map. Just click the Map Service button and navigate to the button that says Country that is next to me.</t>
  </si>
  <si>
    <t>There is no country that shares a border with you.</t>
  </si>
  <si>
    <t>You have to look at the map.</t>
  </si>
  <si>
    <t>Most of them are my neighbors. I also have a few other countries that I have visited, but which are not my neighbors.</t>
  </si>
  <si>
    <t>All countries that have a coastline to the Atlantic Ocean.</t>
  </si>
  <si>
    <t>It is up to each school to decide when the students get the grades.</t>
  </si>
  <si>
    <t>There is no specific order to start with the ratings. However, it is a good idea to start with first class grades.</t>
  </si>
  <si>
    <t>from 8th class.</t>
  </si>
  <si>
    <t>It is up to each school to decide whether they will give grades in order and behavior.</t>
  </si>
  <si>
    <t>Students are assessed with grades in all subjects.</t>
  </si>
  <si>
    <t>There is no simple answer to this question. It depends on how you define “greatest”.</t>
  </si>
  <si>
    <t>The most populous city is Tokyo with 12 million inhabitants.</t>
  </si>
  <si>
    <t>There is no city with a greater population than New York.</t>
  </si>
  <si>
    <t>The largest city in area is New York City, which has an area of 14,540 square kilometers.</t>
  </si>
  <si>
    <t>There is no simple answer to this question. It depends on what you mean by “greatest”.</t>
  </si>
  <si>
    <t>Choices are one of the most important events in a person’s life. It is one of the most important events in a person’s life. It is one of the most important events in a person’s life. It is one of the most important events in a person’s life. It is one of the most important events in a person’s life.</t>
  </si>
  <si>
    <t>The northernmost city is Akureyri, Iceland.</t>
  </si>
  <si>
    <t>Churches</t>
  </si>
  <si>
    <t>Population is the sum of the inhabitants of an area, or of the people belonging to a particular group, such as the population of Norway, the population of Africa or the population of London.</t>
  </si>
  <si>
    <t>The population is approx. 1.2 billion people.</t>
  </si>
  <si>
    <t>Population is the number of people living in an area.</t>
  </si>
  <si>
    <t>It lives ca. A thousand people in the village.</t>
  </si>
  <si>
    <t>In 2016, there were 17,100 inhabitants in the municipality.</t>
  </si>
  <si>
    <t>In 2015, there were 4.8 million inhabitants in Norway.</t>
  </si>
  <si>
    <t>There are several public transport providers in Norway. The largest are Ruter, Skyss and NSB.</t>
  </si>
  <si>
    <t>There is no doubt that it is public transportation that delivers the most. It is one of the most effective ways to get around the city.</t>
  </si>
  <si>
    <t>The state is responsible for the majority of public transportation.</t>
  </si>
  <si>
    <t>There is no simple answer to this question. It depends on where you live, where you work and where you go.</t>
  </si>
  <si>
    <t>There is no dominant player in public transportation. There are many companies that are competing for public transportation.</t>
  </si>
  <si>
    <t>It is the driver.</t>
  </si>
  <si>
    <t>The main animal species are mammals, birds, reptiles, amphibians, fish and insects.</t>
  </si>
  <si>
    <t>All species are important, but it is especially important to take care of those species that are endangered.</t>
  </si>
  <si>
    <t>All animals are important, but some are more important than others.</t>
  </si>
  <si>
    <t>All animal species are important. It is not possible to identify some species as more important than others.</t>
  </si>
  <si>
    <t>The most central animal species are mammals, birds, reptiles, amphibians, fish and vertebrates.</t>
  </si>
  <si>
    <t>It is not possible to give an unambiguous answer to this question. There are many factors that play in. It is not that there is a particular species that is most prominent. Moreover, there are a number of different species of animals that are prominent.</t>
  </si>
  <si>
    <t>The midnight sun is when the sun does not go down.</t>
  </si>
  <si>
    <t>The midnight sun is a phenomenon that occurs throughout or part of the summer between the spring equinox and the autumn equinox between the polar circles and the poles. The midnight sun means that the sun at its lowest position during a single day does not fall below the horizon and therefore, if the sun is at its lowest position, the sun will not fall below the horizon.</t>
  </si>
  <si>
    <t>Midnight sun is when the sun does not go down during the day.</t>
  </si>
  <si>
    <t>Oslo has two ports, Oslo Port and Sydhavna.</t>
  </si>
  <si>
    <t>There is a port in Oslo. Its name is Oslo Harbour.</t>
  </si>
  <si>
    <t>Oslo does not have a port.</t>
  </si>
  <si>
    <t>Oslo has a number of ports, and there are several that are worth a visit.</t>
  </si>
  <si>
    <t>Oslo has access to ports.</t>
  </si>
  <si>
    <t>The political structure in Norway is based on a parliamentary system. The Storting is the Norwegian legislative assembly. The Storting is divided into 19 electoral districts, which correspond to the counties, and these electoral districts are again divided into smaller geographical areas called municipalities.</t>
  </si>
  <si>
    <t>The political structure is based on a system of proportional representation.</t>
  </si>
  <si>
    <t>The political system is a system based on the principle of power distribution. That is to say, power is divided between three independent institutions: the legislative, the executive and the judgmental.</t>
  </si>
  <si>
    <t>The political structure is based on a system of proportional representation. There are 11 seats in Parliament, and they are distributed among the parties as follows:</t>
  </si>
  <si>
    <t>The political structure consists of a parliament, a president and a government.</t>
  </si>
  <si>
    <t>The political structure in Norway is based on a constitutional monarchy, that is, the power is divided between the legislative power (Storting), the executive power (King) and the judgment power (the courts).</t>
  </si>
  <si>
    <t>It is most common in Norway, Sweden, Denmark, Finland, Iceland, Germany, France, Spain, Portugal, Italy, Poland, Russia, USA, Canada, Australia, Japan, Korea, Thailand, Singapore, Indonesia, Malaysia, the Philippines, United Kingdom, Ireland, the Netherlands, Belgium, Switzerland, Austria, Hungary,</t>
  </si>
  <si>
    <t>The main language is English.</t>
  </si>
  <si>
    <t>It is not the most common language. There is no language that is more common than others. There are different dialects.</t>
  </si>
  <si>
    <t>It is not a simple language that is used most. There are many languages spoken in the world, and it is not something that is the most spoken language in the world.</t>
  </si>
  <si>
    <t>Red, white and blue, with the cross in the middle.</t>
  </si>
  <si>
    <t>There are a number of nuances on the flag.</t>
  </si>
  <si>
    <t>Yes, you must carry an identification at all times.</t>
  </si>
  <si>
    <t>Yes, it is required to always carry an identification.</t>
  </si>
  <si>
    <t>You must always have your identification with you.</t>
  </si>
  <si>
    <t>You need to have your identity at all times.</t>
  </si>
  <si>
    <t>Yes, it is a requirement to always carry identification.</t>
  </si>
  <si>
    <t>There are 11 regions in Norway.</t>
  </si>
  <si>
    <t>There are no administrative regions in Norway.</t>
  </si>
  <si>
    <t>It is 100000000000000000000000000000000000000000000000000000000000000000000000000000000000000000</t>
  </si>
  <si>
    <t>It is ca. 14,000 square kilometers.</t>
  </si>
  <si>
    <t>According to Wikipedia, Norway has an area of 324,000 km2.</t>
  </si>
  <si>
    <t>The size of the land in square meters is 10000000000000000000000000000000000000000000000000000000000000000000000000000000000000000000000000000</t>
  </si>
  <si>
    <t>It’s hard to say, but there are not so many.</t>
  </si>
  <si>
    <t>It is not possible to give an exact answer to this question. There are several ways to calculate this.</t>
  </si>
  <si>
    <t>According to the 2010 U.S. Census, the area of the United States was 14.4 million square miles.</t>
  </si>
  <si>
    <t>It is 144,000 square miles.</t>
  </si>
  <si>
    <t>The size of the country in square miles is 1,400.</t>
  </si>
  <si>
    <t>It is 25,000 square miles.</t>
  </si>
  <si>
    <t>It is 140,000 square miles.</t>
  </si>
  <si>
    <t>In 2017, 14.1% of the population were immigrants.</t>
  </si>
  <si>
    <t>In 2017 it was 14.8 percent.</t>
  </si>
  <si>
    <t>In 2015, immigrants accounted for 16.3% of the population.</t>
  </si>
  <si>
    <t>In 2015, 16.3% of the population were immigrants.</t>
  </si>
  <si>
    <t>The official day of mourning is April 21.</t>
  </si>
  <si>
    <t>The official day of mourning is April 15.</t>
  </si>
  <si>
    <t>The official day of mourning is May 11.</t>
  </si>
  <si>
    <t>May 17th is Norway’s Constitution Day.</t>
  </si>
  <si>
    <t>17 May 1814</t>
  </si>
  <si>
    <t>May 17th is Norway’s National Day.</t>
  </si>
  <si>
    <t>May 17th is Norway’s National Day. The Constitution was signed on Eidsvoll on 17 May 1814.</t>
  </si>
  <si>
    <t>May 17 is the date of the Norwegian Constitution.</t>
  </si>
  <si>
    <t>You should rest and relax. You should also eat well and drink plenty of water.</t>
  </si>
  <si>
    <t>It is good to do what is good for you.</t>
  </si>
  <si>
    <t>You can do what you want.</t>
  </si>
  <si>
    <t>I have no suggestions, but I have a prayer.</t>
  </si>
  <si>
    <t>Sunday is a great day to spend time with your family. It’s a day to relax and enjoy each other’s company. It is also a day to spend time with friends and family. It is a day to spend time with family. It is a day to spend time with family. It is an</t>
  </si>
  <si>
    <t>There is nothing called money. There is nothing called money. Nothing is called much of anything. Money is just a word. It is just a word.</t>
  </si>
  <si>
    <t>Nothing is called expensive. It’s just a question of what’s important.</t>
  </si>
  <si>
    <t>A high price is a price that is higher than it should be.</t>
  </si>
  <si>
    <t>What is expensive is not doing anything.</t>
  </si>
  <si>
    <t>There is no fascism about this. It depends on what you compare with.</t>
  </si>
  <si>
    <t>They are sitting.</t>
  </si>
  <si>
    <t>It’s not so easy to answer, but there’s a lot that’s very unfine. There are also some who are very polite, but who don’t follow what’s happening around them.</t>
  </si>
  <si>
    <t>Most of them are very kind and polite.</t>
  </si>
  <si>
    <t>It’s common to talk to the side man, and it’s common to read in a book or a magazine.</t>
  </si>
  <si>
    <t>People are very good at keeping distance. There are not so many people traveling by bus now, but it is still important to keep a distance.</t>
  </si>
  <si>
    <t>No need to take off your shoes. There is no such thing as a ‘scooter’.</t>
  </si>
  <si>
    <t>Yes, it is necessary to take off the shoes.</t>
  </si>
  <si>
    <t>No is. You are not expected to take off your shoes, but you are expected to take off your shoes when you enter a home.</t>
  </si>
  <si>
    <t>No, it is not necessary.</t>
  </si>
  <si>
    <t>It is not necessary to take off the shoes in a home.</t>
  </si>
  <si>
    <t>May 17th is Norway’s National Day. On this day in 1814, the Norwegian Constitution was dated and signed by the Presidency of the National Assembly at Eidsvoll. The Assembly then unanimously elected the Regent, Prince Christian Frederik, as King of an independent Norway. The Constitution was signed on 10 April.</t>
  </si>
  <si>
    <t>May 17th is Norway’s National Day. It is the day when the Constitution was signed on Eidsvoll in 1814.</t>
  </si>
  <si>
    <t>Norway has its own constitution.</t>
  </si>
  <si>
    <t>There are many different events that take place on May 17th. There are children’s trains, civic trains, Russian trains, corps music, speeches, toys, ice, sausages, soda, balloons, flag, bunad, national anthem, nationalism, corps, chorus, song, dance, music,</t>
  </si>
  <si>
    <t>Independence Day is May 17.</t>
  </si>
  <si>
    <t>4 July</t>
  </si>
  <si>
    <t>Independence Day is September 1.</t>
  </si>
  <si>
    <t>1 July 1947.</t>
  </si>
  <si>
    <t>There is no age limit for drinking alcohol. There is an age limit for buying alcohol.</t>
  </si>
  <si>
    <t>There is no legal age limit for drinking alcohol, but many shops and outlets still have an age limit of 18 or 20 years.</t>
  </si>
  <si>
    <t>There is no age limit for drinking alcohol in Norway, but there are age limits for buying alcohol. The age limit for buying alcohol in a store is 18 years old, and for buying alcohol at outlets is 20 years old.</t>
  </si>
  <si>
    <t>It is legal to start drinking when you are 18 years old.</t>
  </si>
  <si>
    <t>There is no age limit for drinking alcohol in Norway, but it is forbidden to sell or give alcohol to persons under the age of 18.</t>
  </si>
  <si>
    <t>There is no legal age limit for drinking alcohol, but in Norway it is illegal to sell alcohol to people under the age of 18.</t>
  </si>
  <si>
    <t>No, it is not recommended.</t>
  </si>
  <si>
    <t>It is not safe to drive after a drink.</t>
  </si>
  <si>
    <t>This is not a legal drink. There is no legal promille limit in Norway, but it is illegal to drive in the affected state.</t>
  </si>
  <si>
    <t>No, it is not okay.</t>
  </si>
  <si>
    <t>There is no promille limit in Norway, but it is not allowed to drive in the affected state.</t>
  </si>
  <si>
    <t>The second Sunday in November.</t>
  </si>
  <si>
    <t>A regular lunch snack is a snack that is eaten between breakfast and dinner. It’s usually a small snack that isn’t too heavy, but that gives you the energy to get you through the rest of the day.</t>
  </si>
  <si>
    <t>It is typical to eat a sandwich with cheese and skinke, or a baguette with cheese and skinke.</t>
  </si>
  <si>
    <t>There are many options for eating lunch. You can eat a sandwich, a salad, a bowl of soup, a plate of pasta, a plate of rice, a plate of vegetables, a plate of fruits, a plate of nuts, a plate of cheese, a plate of yogurt, a plate of cottage</t>
  </si>
  <si>
    <t>It is very different. Some do not eat lunch, others eat fruits, vegetables, nuts, yoghurt, slices of bread, salads, dinner rests, etc.</t>
  </si>
  <si>
    <t>It is popular to eat fruit, vegetables, nuts, seeds, cheese, yogurt, bread, biscuits, cakes, chocolate, ice cream, coffee, tea, water, juices, smoothies, soups, salads, sandwiches, pizza, hamburgers, sausages, pommes frites, popcorn,</t>
  </si>
  <si>
    <t>It is common to eat a snack during the day. There is nothing wrong with it. It is important not to eat too much.</t>
  </si>
  <si>
    <t>Yes, you can own a gun, but you need permission from the police.</t>
  </si>
  <si>
    <t>Yes, it is legal for you to own a weapon.</t>
  </si>
  <si>
    <t>Yes, you have it.</t>
  </si>
  <si>
    <t>You can get a weapon. You can get a gun in two ways:</t>
  </si>
  <si>
    <t>There are no rules for owning a weapon. You can buy a gun from a gun dealer, or you can buy a gun from a private person.</t>
  </si>
  <si>
    <t>You will be given a minimum of 5 days of vacation during the year.</t>
  </si>
  <si>
    <t>It depends on whether you work in a business with a tariff agreement or not.</t>
  </si>
  <si>
    <t>You are entitled to take at least 25 working days of leave in a year. All days including Saturdays are working days. Sundays and holidays are not considered working days. Normally, six working days will be equivalent to a week. Employees are entitled to four weeks and one day vacation each calendar year.</t>
  </si>
  <si>
    <t>You will get at least 25 working days of vacation. Four weeks and one day.</t>
  </si>
  <si>
    <t>You can get a minimum of 10 days off.</t>
  </si>
  <si>
    <t>There is no law that regulates how many holidays you can have. There is also no law that gives you the right to receive compensation if you get sick. It is your employer who decides when you can take a vacation.</t>
  </si>
  <si>
    <t>You can buy wine in all our stores.</t>
  </si>
  <si>
    <t>Brandy wine is sold at Vinmonopolet and in grocery stores with an expanded product range.</t>
  </si>
  <si>
    <t>The wine is sold at the Vinmonopolet and in the Tax Free stores.</t>
  </si>
  <si>
    <t>It is possible to buy wine at the Vinmonopolet.</t>
  </si>
  <si>
    <t>You can find spirits for sale at Vinmonopolet, in tax-free stores and in some grocery stores.</t>
  </si>
  <si>
    <t>You can get up to 2 weeks off in connection with the birth, and up to 12 weeks together in connection with the birth and adoption.</t>
  </si>
  <si>
    <t>You will be paid free of charge for 14 days in connection with birth.</t>
  </si>
  <si>
    <t>You get parental allowance for 49 weeks (alternatively 59 weeks with 80% coverage).</t>
  </si>
  <si>
    <t>Birth leave is 12 weeks.</t>
  </si>
  <si>
    <t>You are entitled to parental allowance for 49/59 weeks after birth. The first six weeks after birth are reserved for the mother. 15 of these weeks are reserved for the father. The rest of the week can be divided between mom and dad at their own request.</t>
  </si>
  <si>
    <t>You are entitled to pay-free for up to 2 hours in connection with childbirth.</t>
  </si>
  <si>
    <t>Privacy laws are laws that protect the privacy of individuals. They are laws that protect individuals from unlawful use of their personal information.</t>
  </si>
  <si>
    <t>Privacy is a fundamental right. The European Union has adopted a number of laws and regulations to protect privacy. These laws apply to all companies that sell goods or services to individuals in the EU.</t>
  </si>
  <si>
    <t>We are committed to protecting your privacy. We will not sell, lease out or sell your personal information to third parties. We may collect and store personal and non-personal information about you and other people who use this website. We may use this information to contact you or other individuals about products or services</t>
  </si>
  <si>
    <t>Your privacy is protected by the laws of the country where you live.</t>
  </si>
  <si>
    <t>The data protection laws state that everyone has the right to privacy and that everyone has the right to decide over their own personal data.</t>
  </si>
  <si>
    <t>The privacy laws are a law designed to protect you from your personal data being used in a way that violates your privacy. Personal data is information and assessments that can be linked to you as an individual. Examples of this include name, address, phone number, email address, IP address, car number, photos, fingerprints</t>
  </si>
  <si>
    <t>It is not possible to give an exact answer to this question. This is because there are many factors that affect the cost.</t>
  </si>
  <si>
    <t>It’s a question of what you mean by “health”. If you mean hospitals and doctors, then it is very expensive. It’s not only expensive, but it’s also in a terrible condition. We don’t have enough hospitals or doctors. We don’t have enough staff or equipment. It is a very difficult situation</t>
  </si>
  <si>
    <t>You have to pay a self-payment fee for most health care services. Your own shares are low and you get a free card when you have paid your own shares for more than 1880 NOK.</t>
  </si>
  <si>
    <t>It is free.</t>
  </si>
  <si>
    <t>The cost of health care is not regulated.</t>
  </si>
  <si>
    <t>In 2012, the total health expenditure in Norway was NOK 288 billion, or NOK 56,000 per capita. Health expenses include all expenses that go to consumption or investments in health care.</t>
  </si>
  <si>
    <t>It is determined by the state.</t>
  </si>
  <si>
    <t>They are the teachers.</t>
  </si>
  <si>
    <t>It is the directors of each school who decide.</t>
  </si>
  <si>
    <t>It is the people who control what is taught in public schools.</t>
  </si>
  <si>
    <t>It is the authorities of each country that are responsible for drawing up curricula.</t>
  </si>
  <si>
    <t>The main task of a trade union is to protect its members’ interests.</t>
  </si>
  <si>
    <t>The main task of a trade union is to protect the interests of its members.</t>
  </si>
  <si>
    <t>A trade union is primarily an organization that protects the interests of its members.</t>
  </si>
  <si>
    <t>The trade union is an association of workers whose purpose is to protect their interests.</t>
  </si>
  <si>
    <t>The main purpose of the Association is to protect the interests of its members.</t>
  </si>
  <si>
    <t>NAV is responsible for providing advice and guidance to everyone who has a need to get into work. NAV is also responsible for assessing whether you need additional follow-up to get into work.</t>
  </si>
  <si>
    <t>NAV is responsible for ensuring all citizens the benefits and services they are entitled to under the law.</t>
  </si>
  <si>
    <t>We do not handle all requests for assistance.</t>
  </si>
  <si>
    <t>NAV is responsible for implementing the labour market, social security and pension policies in Norway.</t>
  </si>
  <si>
    <t>What governs NAV is a law called the Labour and Welfare Management Act. It says that NAV shall administer the following laws:</t>
  </si>
  <si>
    <t>NAV is responsible for a wide range of benefits and services in the fields of work and activity, family, retirement, health and care.</t>
  </si>
  <si>
    <t>Child insurance is a financial support to children's families that is paid automatically from the child's birth until the age of 18. It will help to cover the expenses associated with having children.</t>
  </si>
  <si>
    <t>Child Insurance is a financial support granted to all parents with children under the age of 18 who reside in Norway.</t>
  </si>
  <si>
    <t>The purpose of child support is to help cover the expenses of child support. Children’s insurance should ensure that all children contribute to their own subsistence as they grow older.</t>
  </si>
  <si>
    <t>Child insurance is a universal benefit provided to all parents with children under the age of 18. It will help to cover the expenses associated with having children.</t>
  </si>
  <si>
    <t>Child insurance is a financial support to children's families that is paid automatically from the child's birth until the age of 18. The amount is per 01.09.2019 kr. $70 per month per child.</t>
  </si>
  <si>
    <t>A duty is a jointly carried out and unpaid and voluntary work of importance to the community or an individual. Compensations are usually carried out in a local community, (e.g. Spring cleaning in a lodge, setting up a barracks, a boat cage, a cage or a playground), as a neighborhood program in</t>
  </si>
  <si>
    <t>Debt is a voluntary effort that aims to earn money for a common purpose.</t>
  </si>
  <si>
    <t>A duty is a jointly carried out and unpaid and voluntary work of importance to the community or an individual. The term is Norwegian.</t>
  </si>
  <si>
    <t>The purpose of the gift is to contribute to the community, and to have a good opportunity to get to know the neighbors better.</t>
  </si>
  <si>
    <t>Volunteering is work in which a person works for free or for a minimum payment in a project or organization for a limited period of time.</t>
  </si>
  <si>
    <t>Volunteering is a great way to give something back to the community and an opportunity to help others. It is also an opportunity to test out and acquire new skills, and to meet new people.</t>
  </si>
  <si>
    <t>Volunteer work is work in which a person is not in an ordinary employment relationship and does not receive ordinary salary. Volunteer work is often linked to non-governmental organizations with community-friendly purposes such as the Norwegian Red Cross or the Mission Alliance.</t>
  </si>
  <si>
    <t>Volunteer work is work in which a person is not in an ordinary employment relationship and does not receive ordinary salary. Volunteer work is often linked to non-governmental organizations with community-friendly purposes such as the Norwegian Red Cross or the Mission Alliance. There are also volunteer centres that coordinate volunteer work.</t>
  </si>
  <si>
    <t>The purpose of volunteering is to help others without being paid for it.</t>
  </si>
  <si>
    <t>Volunteering is work that is performed free of charge and without the requirement of formal competence.</t>
  </si>
  <si>
    <t>The Santa.</t>
  </si>
  <si>
    <t>Santa</t>
  </si>
  <si>
    <t>No, they can not.</t>
  </si>
  <si>
    <t>Only Norwegian citizens have the right to vote in general elections.</t>
  </si>
  <si>
    <t>No, they can not. To be eligible to vote, you must be a Norwegian citizen.</t>
  </si>
  <si>
    <t>Svalbard is an island group in the Arctic. The island group lies between 74¬∞ and 81¬∞ northern latitude and 10¬∞ and 35¬∞ east length. Territorially, Svalbard is part of the Kingdom of Norway, but politically subordinated to a separate government, the Sysselman of Svalbard, with the same authority as a county.</t>
  </si>
  <si>
    <t>Svalbard is one of the world’s largest areas of untouched nature.</t>
  </si>
  <si>
    <t>We find among other things icy bears, whales, seals, reins, polar reefs, birds, whales, hvalros, seals, glaciers, mountains, fjords, seas, ice, snow, icebergs, icebergs, ice caves, ice formations, ice fossils</t>
  </si>
  <si>
    <t>A place with a unique wildlife, a place with a unique landscape, a place with a unique light, a place with a unique climate, a place with a unique environment, a place with a unique environment, a place with a unique environment</t>
  </si>
  <si>
    <t>Svalbard is a group of islands in the Arctic, consisting of Bjørnøya, Spitsbergen, Prince Karls Forland, Kvitøya, Hopen, King Karls Land and Nathorst Land.</t>
  </si>
  <si>
    <t>trade union</t>
  </si>
  <si>
    <t>There is no such designation.</t>
  </si>
  <si>
    <t>The trade union.</t>
  </si>
  <si>
    <t>An employee organisation is an organization that represents workers in a company or industry.</t>
  </si>
  <si>
    <t>The state controls the hospitals.</t>
  </si>
  <si>
    <t>The government manages the hospitals.</t>
  </si>
  <si>
    <t>The government controls the hospitals.</t>
  </si>
  <si>
    <t>Children are entitled to kindergarten from the year they are one year old.</t>
  </si>
  <si>
    <t>Yes, children who reach one year at the latest by the end of August of the year in which the application for kindergarten place is applied for have the right to get a place in kindergarten from August in accordance with this law with regulations. The child has the right to a place in a kindergarten in the municipality where he or she resides.</t>
  </si>
  <si>
    <t>Every child can go to kindergarten.</t>
  </si>
  <si>
    <t>No, but all children who have completed one year in August of the year they are applying for kindergarten space are entitled to a place by the end of August. Children who reach one year of age in September, October or November of the year in which childcare is applied for have the right to a place by the end of the month in which the child reaches one year of age.</t>
  </si>
  <si>
    <t>No, there is no right for children to go to kindergarten.</t>
  </si>
  <si>
    <t>You have to pay what you owe in residual tax after the tax settlement. The tax is paid in two terms. The first term is August 20, and the second term is September 24.</t>
  </si>
  <si>
    <t>The consequences are that the government gets less money to run schools, hospitals and roads. It is also true that those who do not pay taxes do not receive any benefits from the public.</t>
  </si>
  <si>
    <t>If you owe taxes, you will receive an invoice from the tax authorities. You can pay the bill with a check or electronic transfer of funds. If you cannot pay the bill, you can apply for a payment plan.</t>
  </si>
  <si>
    <t>If you do not pay taxes, you will be fined 20% of the amount avoided. If you do not pay the fine, you will be imposed a fine of 20% of the original amount. If you do not pay the second penalty, you will be fined.</t>
  </si>
  <si>
    <t>It’s like stealing from the community.</t>
  </si>
  <si>
    <t>The Employment Law applies to all employees in an employment relationship.</t>
  </si>
  <si>
    <t>The Employment Safety Act applies to all workers in Norway.</t>
  </si>
  <si>
    <t>It is designed to protect the worker.</t>
  </si>
  <si>
    <t>You have the right to an interpreter in all situations where it is necessary for you to be able to communicate and understand what is being said.</t>
  </si>
  <si>
    <t>You can request an interpreter in any situation where it is crucial for understanding that you and your healthcare provider speak together. It is the healthcare service that has the duty and responsibility to order an interpreter.</t>
  </si>
  <si>
    <t>Interpreters are available throughout the country.</t>
  </si>
  <si>
    <t>You are entitled to an interpreter when you are going to have a conversation with the doctor at the hospital and during the interrogation at the police.</t>
  </si>
  <si>
    <t>You can get an interpreter at any public office.</t>
  </si>
  <si>
    <t>You have the right to an interpreter in your daily life when you are at work, school, kindergarten, at the hospital, at the doctor, at NAV, at the police, in the court and otherwise when you are in contact with public offices.</t>
  </si>
  <si>
    <t>It is the teachers who decide the school curriculum.</t>
  </si>
  <si>
    <t>It is the teachers who determine the school’s curriculum.</t>
  </si>
  <si>
    <t>Learning is the result of a long process. It is the Directorate of Education that determines the curricula, but they are prepared by the curriculum groups appointed by the Directorate of Education.</t>
  </si>
  <si>
    <t>No one has authority over school pensions. It is an individual matter.</t>
  </si>
  <si>
    <t>It is the teachers who determine the content of the teaching.</t>
  </si>
  <si>
    <t>It is free for everyone.</t>
  </si>
  <si>
    <t>Parents are responsible for their children. It is written in the Torah: “And you shall love your neighbor as yourself.” It is written in the Bible, “Love one another.” The Bible says, “Love your neighbor as yourself.” It is written in the Bible, “Love your</t>
  </si>
  <si>
    <t>There are no costs for parents.</t>
  </si>
  <si>
    <t>Parents are obliged to pay for their children.</t>
  </si>
  <si>
    <t>It is impossible to answer this question. It is impossible to calculate how much one has to pay for a child, for education, to keep him alive. It is impossible to calculate how much you have to pay to raise a child.</t>
  </si>
  <si>
    <t>Parents are not obliged to pay for their children. There is no compulsion in religion. Parents are responsible forining their children, but there is no obligation for them to do so by following a particular religion.</t>
  </si>
  <si>
    <t>Norway, Sweden, Finland, Russia, Estonia, Latvia, Lithuania, Poland, Germany, Czech Republic, Slovakia, Austria, Hungary, Slovenia, Croatia, Bosnia and Herzegovina, Serbia, Montenegro, Albania, Macedonia and Greece.</t>
  </si>
  <si>
    <t>Denmark, Sweden, Finland, Russia, Estonia, Latvia, Lithuania, Poland, Germany, Czech Republic, Slovakia, Austria, Hungary, Slovenia, Croatia, Bosnia and Herzegovina, Montenegro, Albania, Macedonia, Greece, Turkey, Armenia,</t>
  </si>
  <si>
    <t>You can see which countries share your border with you by clicking on the "Land" tab on the map.</t>
  </si>
  <si>
    <t>You are part of the upper system and you are part of the lower system. The upper and lower systems are in constant conflict with each other.</t>
  </si>
  <si>
    <t>Your neighbors are:</t>
  </si>
  <si>
    <t>Your neighbors are those countries that are in the same time zone as you.</t>
  </si>
  <si>
    <t>Characters are given from 8th grade.</t>
  </si>
  <si>
    <t>There are no grades in kindergarten.</t>
  </si>
  <si>
    <t>1st class.</t>
  </si>
  <si>
    <t>Students are assessed with scores in all subjects from level 8.</t>
  </si>
  <si>
    <t>The capital is Oslo.</t>
  </si>
  <si>
    <t>Athens</t>
  </si>
  <si>
    <t>The largest city is Tokyo with 36.6 million inhabitants in the capital area (2015).</t>
  </si>
  <si>
    <t>New York City is the most populous city in the United States.</t>
  </si>
  <si>
    <t>There is no city that is the largest in area, but there are several areas that are the largest in area.</t>
  </si>
  <si>
    <t>Elections are held every year.</t>
  </si>
  <si>
    <t>There are elections every year.</t>
  </si>
  <si>
    <t>There is no frequency of choice.</t>
  </si>
  <si>
    <t>There are elections every five years.</t>
  </si>
  <si>
    <t>A population is a group of people who live in a particular area, have a common culture, religion, language, traditions, etc.</t>
  </si>
  <si>
    <t>It is ca. 100,000 people in the city.</t>
  </si>
  <si>
    <t>It is ca. Thousands of people live in the city.</t>
  </si>
  <si>
    <t>1000</t>
  </si>
  <si>
    <t>It is the public.</t>
  </si>
  <si>
    <t>There are many companies that offer public transportation in Norway. The most popular are: NOR-WAY (45%), Vy (35%), Flybussen (10%), Nettbuss (9%), and Fjord1 (4%).</t>
  </si>
  <si>
    <t>It is the state.</t>
  </si>
  <si>
    <t>It’s not so easy to answer, but it’s probably Oslo that has the best offer. It is also where most people live and it is where there are the most departures. This is where there are the most routes to choose from.</t>
  </si>
  <si>
    <t>No one controls public transportation.</t>
  </si>
  <si>
    <t>The main player in public transportation is a person who has a ticket.</t>
  </si>
  <si>
    <t>The main species of animals are the ones that are most numerous and that are most useful to us.</t>
  </si>
  <si>
    <t>They are the ones that are most threatened.</t>
  </si>
  <si>
    <t>Nothing is more important than anything else.</t>
  </si>
  <si>
    <t>It’s hard to say, but it’s clear that it’s the big predators that matter the most to me. They are the most threatened.</t>
  </si>
  <si>
    <t>The most important animal species are:</t>
  </si>
  <si>
    <t>There are many species of animals that are prominent in this world. But the most prominent are those that are most prominent according to their nature.</t>
  </si>
  <si>
    <t>The midnight sun is a phenomenon that occurs throughout or part of the summer in areas between the polar circles and the poles. Midnight sun means that the sun at its lowest position during a single day does not go under the horizon and therefore, if the cloud cover is not too extensive, is visible.</t>
  </si>
  <si>
    <t>The midnight sun is a phenomenon that occurs throughout or part of the summer, and which means that the sun at its lowest position during a single day does not go under the horizon and thus becomes visible 24 hours a day.</t>
  </si>
  <si>
    <t>Midnight sun is a phenomenon that occurs throughout or part of the summer between spring equinox and autumn equinox between the polar circles and poles. The midnight sun means that the sun at its lowest position during a single day does not fall below the horizon and therefore, if the sun is at its lowest position, the sun will not fall below the horizon.</t>
  </si>
  <si>
    <t>The midnight sun is a phenomenon that occurs throughout or part of the summer, and which makes the sun not go under the horizon and thus is visible 24 hours a day.</t>
  </si>
  <si>
    <t>The city has a port.</t>
  </si>
  <si>
    <t>There are a number of ports in Oslo.</t>
  </si>
  <si>
    <t>There is a port in the city.</t>
  </si>
  <si>
    <t>There are several ports in Oslo. The largest is Oslo Havn KF, which is a municipal enterprise with its own management. Oslo Port is Norway’s largest public cargo and passenger port.</t>
  </si>
  <si>
    <t>The political structure is a combination of a democratic structure and a pyramid structure.</t>
  </si>
  <si>
    <t>It is a pyramid. At the top there is a king, or chairman, head of the cabinet. Under him there is a state council (government) consisting of ministers. Below there are departments, and below there are departments.</t>
  </si>
  <si>
    <t>The political system is a mechanism designed to make people think they are free, while in reality they are slaves.</t>
  </si>
  <si>
    <t>It is a pyramid. At the top there is a president, under him there is a prime minister, under him again there is a chairman of the Knesset, and under him again there is a mayor in each city. Under the mayor there are councils, district councils, and then there are committees.</t>
  </si>
  <si>
    <t>The political structure consists of a government, a parliament and a president.</t>
  </si>
  <si>
    <t>The political system is part of the political system. It is a structure designed to organize power in the state. The political structure is divided into three parts:</t>
  </si>
  <si>
    <t>English is the most common language in the world today, but Mandarin Chinese follows right after.</t>
  </si>
  <si>
    <t>The flag is red with a white circle in the middle.</t>
  </si>
  <si>
    <t>There are no official colors on the flag. It is common to use red, white and blue, but this is not true.</t>
  </si>
  <si>
    <t>The colors of the flag are red, white and blue.</t>
  </si>
  <si>
    <t>The flag is red with a white strip in the middle.</t>
  </si>
  <si>
    <t>428</t>
  </si>
  <si>
    <t>There are 311 municipalities in Norway.</t>
  </si>
  <si>
    <t>Yes, you must carry a valid ID at all times.</t>
  </si>
  <si>
    <t>It is necessary to carry identification all the time.</t>
  </si>
  <si>
    <t>No, but you must bring with you a valid ID (banking card, driver’s license or passport) at all times.</t>
  </si>
  <si>
    <t>No, it is not a requirement to always carry identification. But it is an advantage to do so, as it can be difficult to remember where you parked.</t>
  </si>
  <si>
    <t>There are 11 administrative regions in China.</t>
  </si>
  <si>
    <t>There are 12 administrative regions in Israel.</t>
  </si>
  <si>
    <t>There are 19 regions in Norway.</t>
  </si>
  <si>
    <t>There is only one such region, and it is called ‘Babylon’ (it is within us).</t>
  </si>
  <si>
    <t>1.3 million square kilometers.</t>
  </si>
  <si>
    <t>1 385 200 km2</t>
  </si>
  <si>
    <t>1.380.904 square kilometers</t>
  </si>
  <si>
    <t>1,381,222 km2</t>
  </si>
  <si>
    <t>1.25 million square miles</t>
  </si>
  <si>
    <t>1,037,050 square miles</t>
  </si>
  <si>
    <t>1,047.000 square miles</t>
  </si>
  <si>
    <t>It is 1,033,000 square miles.</t>
  </si>
  <si>
    <t>1,973,245 square miles</t>
  </si>
  <si>
    <t>1,030,000 square miles</t>
  </si>
  <si>
    <t>In 2016, there were 16.3% immigrants in Norway.</t>
  </si>
  <si>
    <t>13.1% of the population are immigrants. 7.5 percent are Norwegian-born with immigrant parents.</t>
  </si>
  <si>
    <t>The proportion of immigrants in the population is 12.2%.</t>
  </si>
  <si>
    <t>13.1% of the population are immigrants.</t>
  </si>
  <si>
    <t>16.3% of the population are immigrants. 7.7 percent are Norwegian-born children with immigrant parents.</t>
  </si>
  <si>
    <t>The official day of mourning is the first Sunday after the third Thursday of January.</t>
  </si>
  <si>
    <t>The official day of mourning is set to 11 September.</t>
  </si>
  <si>
    <t>The official day of mourning is celebrated on the first Sunday following the first full moon following the spring equinox.</t>
  </si>
  <si>
    <t>The official day of mourning is the first Sunday after the first full moon after the spring equinox.</t>
  </si>
  <si>
    <t>29 January</t>
  </si>
  <si>
    <t>The day of celebration is May 17.</t>
  </si>
  <si>
    <t>It will take place on May 17.</t>
  </si>
  <si>
    <t>On Sundays, go to church.</t>
  </si>
  <si>
    <t>It’s good to do something pleasant with your family.</t>
  </si>
  <si>
    <t>On Sundays you can go to the cinema, to the theatre, to the concert, to the restaurant, to the cafe, to the museum, to the exhibition, to the tour, to the library, to the training, to the visit, to the cinema, to the theatre, to the concert, to the restaurant, to the cafe, to the museum, to the exhibition, to the tour, to the library</t>
  </si>
  <si>
    <t>I don’t have any suggestions on what you can do on Sunday, but I have a suggestion on what you can do on Monday.</t>
  </si>
  <si>
    <t>Sunday is a day of rest and relaxation. It’s a day to spend time with your family and do things you like. You can go to a church or worship service, or you can just relax at home. You can also go to a park or a playground with your kids.</t>
  </si>
  <si>
    <t>It depends on what you mean by money.</t>
  </si>
  <si>
    <t>It’s when you don’t know what to do and you don’t know what to ask.</t>
  </si>
  <si>
    <t>What is expensive is to be poor.</t>
  </si>
  <si>
    <t>There is no factual answer to this, but it is common to calculate that a hundred pounds is worth 100 kroner a year.</t>
  </si>
  <si>
    <t>Most people are polite and behave well. But there are some who do not.</t>
  </si>
  <si>
    <t>There is not so much typical behavior on the bus. It’s a bus and it’s a bus. There is not much that separates.</t>
  </si>
  <si>
    <t>Most people are friendly and behave well.</t>
  </si>
  <si>
    <t>It is common to get up for the elderly and pregnant women.</t>
  </si>
  <si>
    <t>People are very polite and behave well.</t>
  </si>
  <si>
    <t>It is not necessary to take off the shoes when entering a house, but it is necessary to take off the shoes before entering a mosque or a house where a person sleeps.</t>
  </si>
  <si>
    <t>It is not expected that you take off your shoes when visiting a home.</t>
  </si>
  <si>
    <t>May 17th is Norway’s National Day. This day is celebrated because Norway received its own constitution on 17 May 1814. This day is also called Constitution Day.</t>
  </si>
  <si>
    <t>On the 17th of May there are a number of activities taking place across the country. Many people participate in local parades, which often include music corpses, marching bands and folk dance groups. It is also common to see children participating in various games and activities, such as sackle racing, egg racing and</t>
  </si>
  <si>
    <t>May 17 is Norway’s National Day, and this day is celebrated in memory of the country’s constitution, which was adopted on this day in 1814. The Constitution was signed by the Presidency of the National Assembly at Eidsvoll, and it stated that Norway was to be a free and independent kingdom.</t>
  </si>
  <si>
    <t>May 17th is Norway’s National Day. On this day in 1814, the Norwegian Constitution was dated and signed by the Presidency of the National Assembly at Eidsvoll. The Assembly then unanimously elected the Regent, Prince Christian Frederik, as King of an independent Norway. As a result of this, Norway became an independent state with a democratic</t>
  </si>
  <si>
    <t>May 17 is a day full of activities. It usually starts with an early morning ride, followed by a parade of local schools. After the parade, there is often a gathering at a local school, where there are lectures, games and other activities for children. It is also common to have a</t>
  </si>
  <si>
    <t>May 17 is Norwegian National Day. This day is celebrated in memory of the country’s constitution, which was adopted on this day in 1814.</t>
  </si>
  <si>
    <t>Independence Day is celebrated annually on July 4 to commemorate the adoption of the Declaration of Independence in 1776.</t>
  </si>
  <si>
    <t>Independence Day is celebrated annually on July 4. This date in 1776 was when the American colonies declared their independence from Great Britain.</t>
  </si>
  <si>
    <t>Independence Day is celebrated annually on July 4. This date marks the signing of the Declaration of Independence by 50 states on 4 July 1776.</t>
  </si>
  <si>
    <t>Independence Day is celebrated annually on July 4.</t>
  </si>
  <si>
    <t>Independence Day is celebrated annually on July 4. This date in 1776 was when the American Constituent Fathers signed the Declaration of Independence, establishing the first thirteen American states as an independent nation.</t>
  </si>
  <si>
    <t>It is not recommended to drink alcohol until you are 18 years old. This is because alcohol can harm a growing body and mind, and it can also lead to addiction. It is important to wait until you are 18 years old before drinking alcohol.</t>
  </si>
  <si>
    <t>In most countries, the legal drinking age is 18 or 19 years. However, it is important to note that this can vary significantly depending on where you live. Some countries have different age limits, and some states in the United States also have different age limits. In addition, some countries may have laws that prohibit or restrict</t>
  </si>
  <si>
    <t>The age limit for drinking alcohol in the United States is 21 years. This means that you must be at least 21 years old to legally buy, own or consume alcoholic beverages. However, it is important to note that many states have additional restrictions and laws regarding drinking by minors. For example, you can be</t>
  </si>
  <si>
    <t>There is no legal age to drink alcohol in the United States. However, many states have laws prohibiting the sale of alcohol to minors. These laws vary by state, so it’s important to check the state’s laws before buying alcohol. In addition, many restaurants and bars have age restrictions for entering and buying alcohol.</t>
  </si>
  <si>
    <t>In most countries, it is illegal to buy or drink alcoholic beverages for people under 18 or 20 years of age. This is because young bodies are still growing and developing, and alcohol can have detrimental effects on their physical and mental health. It is important for young people to wait until they are old enough to</t>
  </si>
  <si>
    <t>In most countries, it is illegal to buy or drink alcoholic beverages for people under 18 or 20 years of age. This is because young bodies are still developing and are more susceptible to the harmful effects of alcohol.</t>
  </si>
  <si>
    <t>It is strongly recommended not to drive after drinking alcohol. Alcohol affects the central nervous system, which can lead to impaired judgment, coordination and reaction time. According to the National Highway Traffic Safety Administration (NHTSA), the legal limit for alcohol in most states is 0.08</t>
  </si>
  <si>
    <t>It is important to note that there is no such thing as a safe amount of alcohol to drink while driving. Alcohol affects everyone differently, and what can be acceptable for one person can be too much for another. In addition, alcohol may affect judgment and reaction time, which</t>
  </si>
  <si>
    <t>It depends on several factors, including your weight, age and general health. Generally, it is illegal in most states to drive under the influence of alcohol. However, if the blood alcohol level (BAC) is less than 0.08%, it is usually allowed to drive. It is important to note that</t>
  </si>
  <si>
    <t>It is strongly advised not to drive after drinking a drink, especially if you are a woman. According to the Centers for Disease Control and Prevention (CDC), the risk of getting involved in a traffic accident increases significantly after drinking a drink. This is because alcohol affects several important functions that are necessary for</t>
  </si>
  <si>
    <t>In most states it is illegal to drive under the influence of alcohol. This means that if you have consumed a single drink, you are technically still under the influence of alcohol. However, there are some exceptions to this rule. For example, if you have consumed your drink in a place where you are no longer</t>
  </si>
  <si>
    <t>It is strongly advised not to drive after drinking alcohol, even if you have only had a drink. Alcohol affects judgment, reaction time and the ability to concentrate, which can lead to road accidents. National Highway Traffic Safety Administration (NHTSA)</t>
  </si>
  <si>
    <t>Father’s Day is celebrated annually on the third Sunday in June.</t>
  </si>
  <si>
    <t>Father’s Day is celebrated annually on the third Sunday in June. This date has been consistent since 1992, when it was officially recognized by the United Nations.</t>
  </si>
  <si>
    <t>A regular lunch snack can be a sandwich made with whole grain bread, which is a healthier alternative to white bread. You can choose from a variety of layers, such as turkey, cheese, avocado or hummus, to make your sandwich more tasty and nutritious. Additionally</t>
  </si>
  <si>
    <t>A typical lunch snack can be a sandwich made with whole grain bread, with a variety of supplements such as turkey, cheese, salad, tomato and cucumbers. Alternatively, a mixed green salad with grilled chicken and a side of hummus or a small portion of quinoa with mixed vegetables and a light</t>
  </si>
  <si>
    <t>Common lunch snacks include sandwiches, bagels, biscuits, chips, pretzels, fruits, vegetables, yoghurt and granola.</t>
  </si>
  <si>
    <t>People usually eat snacks like nuts, chips, biscuits, candy, fruits and vegetables.</t>
  </si>
  <si>
    <t>Popular lunch snacks include peanut butter and gel sandwiches, whole grain tortillas with hummus, and granolabars. These options offer a balance of carbohydrates, protein and healthy fats to keep you full and energetic throughout the day.</t>
  </si>
  <si>
    <t>A common type of food that is eaten as lunch snacks are chips and salsa.</t>
  </si>
  <si>
    <t>Yes, you can own a weapon, but there are certain requirements you must meet. Generally, you must be at least 18 years old, have no history of mental illness or drug abuse, and have a valid government-issued ID. You must also be able</t>
  </si>
  <si>
    <t>It is important to note that the legality of owning a weapon may vary depending on your location and the specific circumstances of your case. In general, it is legal to own a weapon in the United States, but it is subject to certain restrictions and requirements. For example, you must be at least 18 years old to buy a gun.</t>
  </si>
  <si>
    <t>Yes, you can have a weapon, but there are certain requirements that must be met. First, you must be at least 18 years old. You need to have a valid gun card. Third, you must have a valid driver’s license. Fourth, you need to have a valid proof of residence. for</t>
  </si>
  <si>
    <t>Under federal law, it is illegal to possess firearms without a valid permit. However, certain individuals, such as those in law enforcement, may be exempt from this rule. It is important to consult a legal professional to understand the specific laws in your area.</t>
  </si>
  <si>
    <t>Yes, you can acquire a weapon, but there are certain requirements you must meet. First, you must be at least 18 years old. You need to have a valid gun card. Third, you must have a valid driver’s license. Fourth, you need to have a pure criminal background. For the fifth</t>
  </si>
  <si>
    <t>The rules for owning a weapon vary from state to state, but there are some general guidelines that apply in most states. In order to own a weapon, you usually need:</t>
  </si>
  <si>
    <t>You have the right to take out at least 25 days of vacation in a year. This includes all types of holidays, including holidays, sick days and holidays.</t>
  </si>
  <si>
    <t>You are entitled to at least 25 days of holiday per year. This applies even if you have not earned the right to a vacation fee.</t>
  </si>
  <si>
    <t>Under federal law, you have the right to take leave of work without pay to attend religious or other holidays. However, there is no specific minimum amount of holiday days you must take. However, many employers offer more holidays than required by federal law, such as five or more.</t>
  </si>
  <si>
    <t>You have the right to take out at least 25 days of vacation in a year. This includes both statutory holidays and any agreed holidays that you may be entitled to.</t>
  </si>
  <si>
    <t>The minimum number of holidays you can get is usually 25 days. This is based on a standard working week of 5 days and 5 weeks of vacation. However, some companies may offer more holidays, especially if they are part of a larger organization or offer more benefits.</t>
  </si>
  <si>
    <t>You can have as few holidays as you want, but you need to make sure you take out at least 25 holidays over a year. If you do not, you may be required to take out holiday days that you have not taken out during the year, or you may be</t>
  </si>
  <si>
    <t>You can buy spirits in a variety of places, including:</t>
  </si>
  <si>
    <t>Wine can be purchased at the Monopoly. You must be over 20 years of age to purchase wine, and for some types of wine you must be over 25.</t>
  </si>
  <si>
    <t>Wine is sold at the Monopoly.</t>
  </si>
  <si>
    <t>You can shop for spirits in a variety of locations, including:</t>
  </si>
  <si>
    <t>Wine can be purchased at the Monopoly.</t>
  </si>
  <si>
    <t>You can find spirits for sale in different locations, depending on where you are. Some popular alternatives are:</t>
  </si>
  <si>
    <t>You are entitled to 12 weeks of leave, which can be taken before or after the birth. This is called pregnancy leave. If you choose to take it before childbirth, you must take it continuously for at least 28 weeks. If you choose to take it after childbirth, you must take it continuously for at least 38 weeks.</t>
  </si>
  <si>
    <t>Under the Family and Medical Leave Act, you are entitled to 12 weeks of unpaid maternity leave. This leave can be taken in a block of up to 6 weeks or split into smaller blocks of up to 26 weeks.</t>
  </si>
  <si>
    <t>As an employee, you have the right to leave from work for a total of 12 months in connection with birth. These 12 months include the right of the mother to leave for up to 12 weeks during pregnancy and six weeks of leave reserved for the mother after birth. In addition to these 12 months, each parent has the right to take leave</t>
  </si>
  <si>
    <t>Birth leave is usually 12 weeks. However, this may vary depending on your employer’s policies and your specific job. It is important to check with your employer to confirm the exact number of weeks you are eligible for.</t>
  </si>
  <si>
    <t>You have the right to stay at home from work for a total of 12 weeks during your pregnancy. Six of these weeks must be taken two weeks before term date and the remaining four weeks immediately after birth. Six of these weeks are reserved for the mother and are taken immediately after birth. The remaining six weeks may be withdrawn at any time.</t>
  </si>
  <si>
    <t>Free at birth is a right that is enshrined in many labor laws. In the United States, for example, the Family and Medical Leave Act (FMLA) gives employees the right to take off from work for up to 12 weeks without losing their job or salary. This law applies to employees who have worked for at least 12 years.</t>
  </si>
  <si>
    <t>Privacy laws are laws that are designed to protect individuals’ privacy and personal data. They may vary from country to country, but they all aim to ensure that individuals have control over their personal data and that their data is used in a responsible and legal way.</t>
  </si>
  <si>
    <t>Privacy laws vary from country to country, but they all aim to protect individuals’ right to privacy. In the United States, for example, the Federal Constitution and the Fourth Supplement to the U.S. Constitution are important laws that protect individual privacy rights. The fourth section states that the government’s</t>
  </si>
  <si>
    <t>Our privacy policy is available on our website. We recommend that you read them carefully to understand how we collect, use and protect your personal information.</t>
  </si>
  <si>
    <t>Privacy is protected by various laws, including the Federal Constitution, the Federal Communications Act, the Federal Health Insurance Act, the Federal Law on the Protection of Children’s Privacy Online, the Federal Law on the Protection of Personal Data, the Federal Law on Electronic Commerce, the Federal Law on Civil Rights,</t>
  </si>
  <si>
    <t>Privacy laws are laws that are designed to protect individuals’ personal information. These laws may vary greatly from country to country, but they all aim to ensure that individuals have control over their personal information and that it is used responsibly.</t>
  </si>
  <si>
    <t>Privacy laws are laws that are designed to protect individuals’ personal information. This includes information such as name, address, telephone number, email address and other information that can be used to identify a person. These laws are in place to ensure that individuals have control over their personal information and that it is used on a responsible and</t>
  </si>
  <si>
    <t>The American healthcare system is a complex and expensive system. According to the Centers for Disease Control and Prevention (CDC), the total health spending in the United States in 2021 was about $2.7 trillion. This number includes both public and private spending. Private spending accounted for approximately 60% of</t>
  </si>
  <si>
    <t>The cost of health care can be broken down into several components. Direct costs include salaries for healthcare professionals, supplies and equipment. Indirect costs include administrative costs, research and development costs and insurance premiums. In addition, there are indirect costs, which are the costs of doing business, such as rent, tools and depreciation.</t>
  </si>
  <si>
    <t>The cost of health care can vary greatly depending on the type of service you need. For example, a doctor’s visit can cost anything from $50 to $200, depending on the doctor and location. Medicines can also be expensive, with some prescription medicines cost thousands of dollars per month. It is important to</t>
  </si>
  <si>
    <t>The cost of health care in the United States is enormous and increasing. In 2017, the U.S. spent approximately 18.4% of GDP on health care, equivalent to approximately $46,000 per person. This figure includes both private and public consumption.</t>
  </si>
  <si>
    <t>The cost of health care can vary greatly depending on several factors, including the type of service offered, the location of the provider and the insurance used. On average, the annual cost of health care in the United States is around 10% of the average household income. This includes both private and public insurance, as well as prescription medicines. It is important to</t>
  </si>
  <si>
    <t>Healthcare is a significant expense for many governments. According to the World Health Organization (WHO), the total health spending in the world in 2019 was approximately USD 23.4 trillion, which is approximately 17.6% of the global GDP.</t>
  </si>
  <si>
    <t>The Norwegian government decides what to be taught in public schools. This is stipulated in the training law.</t>
  </si>
  <si>
    <t>The curricula of public schools in Norway are determined by the Education Directorate. The Directorate of Education is a government agency responsible for the development of the national education policy. They establish the national curricula and provide guidance and support to schools and school owners.</t>
  </si>
  <si>
    <t>The curriculum in public schools is usually prepared by teachers and administrators in collaboration. Teachers are responsible for teaching students in the various subjects, while administrators are responsible for managing the school and its resources.</t>
  </si>
  <si>
    <t>In Norway, the Directorate of Education is responsible for preparing the national curricula. These curricula are regulations and describe the content of the training. The curricula contain objectives for the training, and they do not contain detailed requirements on how teachers should teach. It is the teachers and school leaders who in collaboration plan the teaching, and who decide</t>
  </si>
  <si>
    <t>The public schools are governed by the Ministry of Education, which is part of the Ministry of Education. The Ministry of Education is responsible for developing and implementing curricula that are consistent with the national educational objectives. These curricula are designed to provide students with a solid foundation in core subjects, as well as opportunities to explore specialized subjects.</t>
  </si>
  <si>
    <t>State educational authorities have authority over the curricula of public schools. These authorities establish the national standards and guidelines that school districts must follow. School districts, in turn, have the authority to create their own curricula within these national standards and guidelines.</t>
  </si>
  <si>
    <t>The main task of a trade union is to protect and defend the rights of its members. This includes negotiating favorable deals on their behalf, providing support and resources in case of labor conflicts, and lobbying for better working conditions, wages and benefits. In addition, trade unions often work to promote a fair and safe working environment.</t>
  </si>
  <si>
    <t>The main task of a trade union is to protect and promote the interests of its members. This includes negotiating favourable contracts, ensuring fair treatment from employers, and providing support and resources in case of disputes or problems at work. Trade unions also play an important role in promoting a healthy and equitable working environment.</t>
  </si>
  <si>
    <t>A trade union is primarily concerned with promoting and protecting the rights of its members. This may include negotiating salaries and benefits, providing legal assistance in work-related disputes, and lobbying for policy changes that benefit workers. Trade unions also play an important role in promoting a healthy and equitable working environment.</t>
  </si>
  <si>
    <t>The main function of the trade union is to represent the interests of its members in negotiations with employers. This includes negotiating and enforcing collective agreements that regulate working conditions, wages and benefits. Trade unions also work to promote workers’ rights and protect them from discrimination and exploitation. They play an important role in promoting social</t>
  </si>
  <si>
    <t>The main purpose of the trade union is to promote and defend the rights and interests of workers, especially with regard to wages, working hours and working conditions. This includes negotiating favourable contracts, providing support in case of disputes with employers, and promoting a positive working environment.</t>
  </si>
  <si>
    <t>The core task of a trade union is to represent and protect the interests of its members in the face of the employer or employer. This includes negotiating favourable terms and conditions for members, providing legal assistance in employment-related disputes, and promoting a positive working environment. In addition, trade unions often work to improve workers’ rights and</t>
  </si>
  <si>
    <t>NAV is responsible for providing a range of services and benefits to people who are unemployed, have health problems, are addicted to drugs, or have financial problems. These services include:</t>
  </si>
  <si>
    <t>NAV is a public agency responsible for various services and benefits related to work, sickness and retirement. The main tasks of NAV are:</t>
  </si>
  <si>
    <t>We do not deal with various types of issues, including:</t>
  </si>
  <si>
    <t>NAV is a public agency whose main task is to assist individuals who are in a difficult life situation. This can include various forms of support, such as financial assistance, employment facilitation and guidance on various welfare services. NAV also aims to get more people out of work and fewer on insurance and jobs.</t>
  </si>
  <si>
    <t>NAV is governed by laws and regulations, and they have a political supervisor called the Minister of Labour.</t>
  </si>
  <si>
    <t>NAV, or Employment and Welfare Administration, is a public agency responsible for providing various services to individuals and. These services include:</t>
  </si>
  <si>
    <t>Child insurance is a financial support provided to families with children under the age of 18. It is intended to help cover the costs of raising children, such as food, clothing, medical treatment and education. Your child insurance is needs-tested, which means that the amount you receive depends on your family’s income.</t>
  </si>
  <si>
    <t>Child Insurance is a financial support granted to families with children under the age of 18 who live in Norway. Child insurance is intended to help cover expenses associated with having children, such as food, clothing, toys, leisure activities and travel. Child insurance is paid monthly and is tax-free. amount</t>
  </si>
  <si>
    <t>Child Insurance is a financial support granted to families with children under the age of 18 who live in Norway. The purpose of child insurance is to help cover the expenses associated with having children and to help to balance the differences in the family’s financial capacity. Child insurance is paid to the parent as the child</t>
  </si>
  <si>
    <t>Child insurance is a form of financial assistance provided to families with children. The primary purpose of child insurance is to help families cover the costs of raising children, which includes food, clothing, medical treatment, education and other basic needs. Child insurance can also be used to help families save for their children’s future</t>
  </si>
  <si>
    <t>Child insurance is a financial support provided to families with children under the age of 18. It is intended to help cover the costs of raising children, such as food, clothing, shelter, medical care and education. Child insurance is not required, which means that it is given to all families with</t>
  </si>
  <si>
    <t>Child insurance is a monthly payment given to parents or guardians to help cover the costs of raising children. It is intended to cover a wide range of expenses, including:</t>
  </si>
  <si>
    <t>Debt is a jointly carried out and usually unpaid and voluntary work of importance to the community or an individual. Compensations are usually carried out in a local community, (e.g. Spring cleaning in a lodge, setting up a barracks, a house or a playground), such as social gatherings, and</t>
  </si>
  <si>
    <t>Debt is a jointly carried out and usually unpaid and voluntary work of importance to the community or an individual. Compensations are usually carried out in a local community, (e.g. Spring cleaning in a lodge, setting up a barracks, a house or a playground), as a neighborhood program in different situations,</t>
  </si>
  <si>
    <t>“Dugnad” is a Norwegian word that means voluntary, unpaid work done in a group. It is a way to help each other, usually in the local community. Doubt is a social activity that allows people to work together to complete a project or task. It’s a great way to get to know.</t>
  </si>
  <si>
    <t>A skill is a joint effort by a group of people, usually in a community, to work together on a project or task, often with the aim of helping each other. Debts are common in many communities and can involve a variety of activities, from volunteering on local projects to organizing and leading events.</t>
  </si>
  <si>
    <t>A duty is a jointly performed and unpaid work of significance to the community or an individual. Deposits are usually carried out in a community, such as cleaning up until May 17, equipping playgrounds, orining and cleaning outdoors. The term is Norwegian.</t>
  </si>
  <si>
    <t>Doubt is a method of volunteer work that is often used in communities to help complete projects and tasks that require collective effort. It’s a way to work together for a common good, which can be a great way to build a sense of community and pride. Duty can also be a</t>
  </si>
  <si>
    <t>Volunteering is a form of community service that involves giving away your time, skills or resources to help others in need. It can take many forms, such as working in a soup kitchen, teaching at a school, or helping at an event to raise money for a good cause.</t>
  </si>
  <si>
    <t>Volunteering is an act of selflessness and altruism, where individuals or groups of people give their time, skills and resources to help others without expecting anything in return. It’s a way to give back to society and make a positive impact on other people’s lives.</t>
  </si>
  <si>
    <t>Volunteering is a great way to give back to the community and help others. It involves spending your time and skills to help a cause you care about, without receiving a salary. This can be anything from working at a local soup kitchen to being a coach for a local sports team, to</t>
  </si>
  <si>
    <t>Volunteering is a great way to give back to the community and help others in need. It involves spending your time and skills to help a cause you care about, without receiving any financial compensation. This can be anything from working in a soup kitchen to being a coach for a local sports team,</t>
  </si>
  <si>
    <t>Volunteering is an important part of society and serves multiple purposes. First of all, it provides an opportunity for individuals to give back to the community and make a positive impact on the lives of others. This can be especially rewarding for those who may not have the opportunity to work or volunteer full-time.</t>
  </si>
  <si>
    <t>Volunteering covers all activities carried out without any form of compensation, other than the satisfaction of helping others. This includes, but is not limited to, volunteering in community centers, food banks, animal welfare centers and other organizations dedicated to helping those in need.</t>
  </si>
  <si>
    <t>Santa Claus, also known as St. Nicholas, is the one who delivers gifts on Christmas Eve. He is a legendary figure who is said to live on the North Pole, where he makes toys for children around the world.</t>
  </si>
  <si>
    <t>Santa Claus, also known as St. Nicholas, comes with gifts on Christmas Eve. He is a legendary figure who is said to bring gifts to children around the world.</t>
  </si>
  <si>
    <t>Santa Claus, also known as St. Nicholas, gives gifts to children on Christmas Eve.</t>
  </si>
  <si>
    <t>Santa Claus, also known as St. Nicholas, distributes gifts on Christmas Eve.</t>
  </si>
  <si>
    <t>Santa Claus, also known as St. Nicholas, brings gifts to children around the world on Christmas Eve.</t>
  </si>
  <si>
    <t>Santa Claus, also known as St. Nicholas, is the one who brings gifts on Christmas Eve. He is a legendary figure who is said to live in Turkey and distribute gifts to children around the world on Christmas Eve.</t>
  </si>
  <si>
    <t>Yes, all foreign nationals who have legally resided in Norway for at least three years have the right to vote in general elections.</t>
  </si>
  <si>
    <t>Foreign nationals do not have the right to vote in general elections. However, they can vote in municipal and county elections after having lived in Norway for at least three years in a row.</t>
  </si>
  <si>
    <t>Yes, everyone who is registered as a resident in Norway has the right to vote in general elections. This also applies to foreign nationals who have lived in Norway for three years or more.</t>
  </si>
  <si>
    <t>Foreign nationals who have lived in Norway for at least three years have the right to vote in general elections.</t>
  </si>
  <si>
    <t>Yes, everyone who is registered as a resident in Norway has the right to vote in general elections. This also applies to foreign nationals, but they must have lived in Norway continuously for at least three years before the election day.</t>
  </si>
  <si>
    <t>No, voting rights in general elections are only open to Norwegian citizens.</t>
  </si>
  <si>
    <t>Svalbard is a group of islands located in the Arctic, approximately in the middle between the Norwegian mainland and the North Pole. It covers an area of approximately 61,022 square kilometers and consists of several large islands, such as Spitsbergen, Nordaustlandet, Edgeøya and Barentsøya. Svalbard is part of</t>
  </si>
  <si>
    <t>Svalbard is a group of islands located in the North Ocean, approximately in the middle between the Norwegian mainland and the North Pole. It forms part of the Kingdom of Norway and is subject to Norwegian sovereignty. Svalbard consists of several large islands, including Spitsbergen, Nordaustlandet, Edgeøya and Bar.</t>
  </si>
  <si>
    <t>Svalbard is a group of islands in the Arctic, approximately in the middle between mainland Norway and the North Pole. It covers an area of approximately 61,022 square kilometers and is home to approximately 3,000 inhabitants. The island group is known for its unique and untouched wilderness, with vast areas of</t>
  </si>
  <si>
    <t>On Svalbard we find a number of unique species that are adapted to extreme conditions. Here are some examples:</t>
  </si>
  <si>
    <t>Svalbard is a group of islands located in the Arctic, approximately in the middle between the Norwegian mainland and the North Pole. It covers an area of approximately 61,022 square kilometers and has a population of approximately 2,600 people. Svalbard is known for its extreme climate, with temperatures that can fall below -40°C.</t>
  </si>
  <si>
    <t>Svalbard is a group of islands located in the North Ocean, approximately in the middle between the Norwegian mainland and the North Pole. It includes several islands, including Spitsbergen, Nordaustlandet, Edgeøya, Barentsøya and Kvitøya. Svalbard is subject to Norwegian sovereignty, and Norway is one of the</t>
  </si>
  <si>
    <t>A trade union is an organization that represents workers in negotiations with employers or their representatives. It works to protect the rights of its members and promote their interests. Examples of trade unions include trade unions, trade unions and trade unions.</t>
  </si>
  <si>
    <t>The largest employee organization in Norway is the LO, the Landsorganisationen in Norway. LO is a main association consisting of 26 trade unions with one million members.</t>
  </si>
  <si>
    <t>The National Labor Relations Board (NLRB) is the National Labor Relations Board. NLRB is an independent agency in the U.S. Department of Labor that regulates the relationship between employers and their employees. It is responsible for enforcing federal laws on labor conditions, including the Fair Labor Standards Act (FLSA) and</t>
  </si>
  <si>
    <t>A trade union is an organization that represents workers in negotiations with employers or their representatives. It works to protect the rights of its members and promote their interests. The word trade union comes from the Latin word uniter, which means to unite.</t>
  </si>
  <si>
    <t>A trade union of workers is usually referred to as a trade union. This organization works to protect the rights and interests of its members, which may include negotiating salaries, benefits and working conditions. Trade unions may also provide other services, such as legal assistance and training in subject-specific skills.</t>
  </si>
  <si>
    <t>A trade union is an organization that represents workers in negotiating their terms and conditions with the employer or employer. These organizations typically work to improve working conditions, negotiate salaries and benefits, and provide support and representation to their members.</t>
  </si>
  <si>
    <t>The state has the overall responsibility for hospitals in Norway. This means that the state sets the financial framework for the operation of the hospitals, determines the organization of the service and oversees that the hospitals are operated in accordance with the legislation and the policy objectives set for the health services.</t>
  </si>
  <si>
    <t>The hospitals in Norway are owned and operated by the state by the regional health companies.</t>
  </si>
  <si>
    <t>The hospitals in Norway are owned and operated by the state by the regional health firms (RHF). There are four regional health organizations: Helse South-East, Helse West, Helse Mitt-Norge and Helse Nord. These are owned by the state at the Ministry of Health and Care.</t>
  </si>
  <si>
    <t>The hospitals in Norway are administered by the state through the regional health companies. These are Healthy North, Healthy Middle Norway, Healthy West and Healthy South East.</t>
  </si>
  <si>
    <t>Hospitals are run by the state.</t>
  </si>
  <si>
    <t>The hospitals are mainly owned and operated by the state, with some local control through the municipalities.</t>
  </si>
  <si>
    <t>Children have the right to go to kindergarten. The kindergarten law ¬ß 12a states that children who reach one year at the latest by the end of August of the year in which the kindergarten place is sought, have the right, upon application, to be placed in kindergarten from August in accordance with this law with regulations. The child has the right to a place.</t>
  </si>
  <si>
    <t>Yes, children who reach one year by the end of November of the year in which childcare is sought, have the right, upon application, to get a place in kindergarten from the month in which the child reaches one year.</t>
  </si>
  <si>
    <t>Yes, children with asthma can go to kindergarten. It is important that the kindergarten is informed about the child’s asthma treatment and knows how to deal with an exacerbation. The child should not be in kindergarten when it is very cold or very hot, and it is important that the child is well medicated before going to kindergarten.</t>
  </si>
  <si>
    <t>Children do not have the legal right to a kindergarten. However, there is an individual right to kindergarten place for children who have completed one year by the end of August and for whom there is a request for a place within the deadline for the main admission.</t>
  </si>
  <si>
    <t>No, there is no legal right for children to go to kindergarten. However, it is strongly recommended that children go to kindergartens to ensure their development and socialization.</t>
  </si>
  <si>
    <t>Yes, children who have completed one year by the end of August of the year in which childcare is sought, have the right, upon application, to get a place in childcare from August in accordance with the Childcare Act with regulations. The child has the right to a place in a kindergarten in the municipality where he or she resides.</t>
  </si>
  <si>
    <t>If you have paid too little tax, you will get a residual tax. The rest tax can be paid in two rounds. The first payment must be made by August 20, while the second payment must be made by September 24. If you do not pay the rest tax on time, you will be charged with delay.</t>
  </si>
  <si>
    <t>The consequences of low tax payments can be serious. First, it can lead to a decrease in public services, such as education, healthcare and infrastructure. This is because the government relies on tax revenues to finance these services. Second, it can lead to an increase in public debt, as the government has to borrow money</t>
  </si>
  <si>
    <t>If you owe taxes, you may be required to pay interest on the amount you owe. In addition, you may be required to pay a fine for being late with the payment. If you are not able to pay the full amount you owe, you may be able to negotiate a payment plan with the tax authorities.</t>
  </si>
  <si>
    <t>If you do not pay your taxes, you may be charged fines and interest. In addition, you may be charged an additional tax, which is a fine that is added to the original tax to punish you for not paying on time or not paying enough. This can lead to a significant increase in the total tax.</t>
  </si>
  <si>
    <t>If you pay too little tax, you may end up owing residual tax. Rest tax is the amount you owe after paying the original tax. If you do not pay the residual tax, you may be charged fines and interest. In addition, you can be charged interest on the residual tax, which can be a</t>
  </si>
  <si>
    <t>Paying too little tax can lead to a number of negative consequences. First of all, you can be imposed fines and interest for unpaid taxes. Secondly, you may be charged an additional tax, also known as a penalty, which may be significantly higher than the original amount that should have been paid. Thirdly</t>
  </si>
  <si>
    <t>Basically, the law applies to all companies that employ workers. However, there are some exceptions to this principle. One of the exceptions applies to workers who only perform work in their own home. This exception is specified in the regulation.</t>
  </si>
  <si>
    <t>The Employment Safety Act applies to all companies that employ workers. However, there are some exceptions to this rule. For example, shipping, catching and fishing, military aviation and oil and gas production are not covered by the law.</t>
  </si>
  <si>
    <t>The employee is the one who performs work in the service of another. The employer is the one who has hired the worker to perform work in his service.</t>
  </si>
  <si>
    <t>All workers in Norway are primarily protected by the Labor Environmental Protection Act. However, there are some exceptions. For example, workers performing work that is not covered by the law are exempt from most of the provisions of the Labor Environmental Protection Act. This includes workers working in private homes, workers working in enterprises that do not employ workers,</t>
  </si>
  <si>
    <t>Basically, the Employment Safety and Safety Act applies to any enterprise employing employees, unless otherwise expressly provided by law.</t>
  </si>
  <si>
    <t>the worker.</t>
  </si>
  <si>
    <t>You have the right to an interpreter in all situations where it is necessary for you to receive the necessary health and care services. This applies among other things:</t>
  </si>
  <si>
    <t>You can request an interpreter in any situation where you are entitled to use an interpreter. This includes:</t>
  </si>
  <si>
    <t>Interpreters are available at all our clinics.</t>
  </si>
  <si>
    <t>You are entitled to an interpreter when you are to have a conversation with a public authority whose language you do not understand. This applies, for example, to the police, to the doctor, to NAV, to the school or to the kindergarten.</t>
  </si>
  <si>
    <t>You can get an interpreter from the Interpreting Service at the NAV Helpemiddelsentral. You can get an interpreter in various situations, such as meetings, doctor visits, school and work.</t>
  </si>
  <si>
    <t>You have the right to an interpreter in situations where it is necessary to be able to receive the necessary services from the public. This applies, for example, in meetings with municipal health and care institutions, NAV, school and kindergarten.</t>
  </si>
  <si>
    <t>Curriculum is determined by the school’s management, often in collaboration with teachers and other staff.</t>
  </si>
  <si>
    <t>The school’s curriculum is usually determined by the school’s board, which consists of teachers, administrators and parents. The board takes into account various factors, such as government regulations, the school’s mission and values, and the needs of the students.</t>
  </si>
  <si>
    <t>The curriculum of the school is determined by the Education Directorate, which is subject to the Ministry of Education.</t>
  </si>
  <si>
    <t>The Ministry of Education has authority over school pensions. They establish the national curricula and provide guidelines for teaching and assessment.</t>
  </si>
  <si>
    <t>Teachers are responsible for creating and managing curricula. They choose the books, lessons and materials that students will use to learn.</t>
  </si>
  <si>
    <t>Parents have to pay for their children in different ways. They can pay for their child’s education, clothing, food, shelter, medical care, and other necessities. The amount that parents pay can vary greatly depending on the family’s income, lifestyle, and financial situation. Some parents choose to pay for their children’s needs on a case</t>
  </si>
  <si>
    <t>Parents have a significant financial responsibility to their children. This responsibility is usually divided into two main categories:</t>
  </si>
  <si>
    <t>Parents must cover the costs of their children’s education, clothing, food, health care and other basic needs. They may also cover additional expenses related to leisure activities, hobbies or sports. However, it is important to note that children should eventually learn to manage their own finances and make well-considered decisions about their consumption.</t>
  </si>
  <si>
    <t>Parents are usually required to pay for their children’s education, housing, food and clothing. However, specific financial obligations may vary depending on the child’s age, country of residence and the family’s financial situation. In some cases, parents may also be required to provide financial support to their children’s higher education. It is important to note that these financial obligations are usually</t>
  </si>
  <si>
    <t>Parents must fund their children’s education, clothing, food, health care, and other necessities.</t>
  </si>
  <si>
    <t>Parents are required to provide their children with an education, clothing, food, shelter, medical care and other basic needs. This is part of your responsibility as parents.</t>
  </si>
  <si>
    <t>You are surrounded by many countries. In the north you border with Canada, which is a large country in North America. To the east you border with the United States, which is a country located in North America. To the south you border with Mexico, which is a country located in North America. By the west you border</t>
  </si>
  <si>
    <t>The countries next to you are mainly determined by your geographical location. If you are currently in the United States, the nearest countries are Canada, Mexico and the Caribbean. Canada is located in the north, and although technically it is part of North America, it is often considered a separate continent.</t>
  </si>
  <si>
    <t>To find the countries that share a border with you, you can use a map tool or a geographic database. For example, you can use Google Maps and enter your address in the search field. Once you click on your site, you will see a blue line surrounding your site. Within this line you will</t>
  </si>
  <si>
    <t>You border with the following countries:</t>
  </si>
  <si>
    <t>Your neighbors are Alabama, Florida, Georgia, Louisiana, Mississippi, North Carolina, South Carolina, Tennessee, Virginia and West Virginia.</t>
  </si>
  <si>
    <t>Your neighbors are the countries that share borders with you. To find out which countries are your neighbors, you can refer to a map or a geography book. For example, if you live in the United States, your neighbors are Canada, Mexico and several other countries.</t>
  </si>
  <si>
    <t>Students from 1st to 12th grade are awarded a grade.</t>
  </si>
  <si>
    <t>Students usually start getting grades during second or third grade in high school. The character system is a way to assess a student’s academic achievements and help them understand how well they do it in a particular subject. It is important to note that grades are not the only way to assess a student’s academic abilities.</t>
  </si>
  <si>
    <t>Characters usually start in second grade, but this can vary depending on school circles and specific guidelines. Some schools may start awarding grades as early as in first grade, while others may not start awarding grades until in third grade. It is important to note that ratings are an assessment tool used to</t>
  </si>
  <si>
    <t>Classes are given from class 1 to class 12.</t>
  </si>
  <si>
    <t>First class.</t>
  </si>
  <si>
    <t>Students are evaluated with grades from 8th grade. Grades are given at the end of each semester and they represent the overall assessment of the student’s achievements in a subject.</t>
  </si>
  <si>
    <t>The largest city in the world by population is Tokyo, Japan. With a population of over 37 million people, it surpasses other major cities such as Delhi, India, Shanghai, China and Mexico City.</t>
  </si>
  <si>
    <t>There are two cities that are equally large, but they are not the same. One is the largest city in the world by area, while the other is the largest city in the world by population. The first city is New York City, which has an area of approximately 1214 square kilometers. The second city is Tokyo.</t>
  </si>
  <si>
    <t>The most populous city in the world is Tokyo, the capital of Japan. By 2021, the population of Tokyo is estimated to be over 37 million people, making it one of the most densely populated cities in the world.</t>
  </si>
  <si>
    <t>According to data from 2021, the most populous city in the world, with a population of over 30 million people, is Tokyo, Japan.</t>
  </si>
  <si>
    <t>The largest city in area is S√£o Paulo, located in the state of S√£o Paulo in Brazil. With an area of approximately 1,972 square kilometers, S√£o Paulo is not only the largest city in Brazil, but also the largest city in America by area.</t>
  </si>
  <si>
    <t>The largest city in the world is Tokyo, Japan.</t>
  </si>
  <si>
    <t>Elections are held every four years in the United States. This means that there are elections every two years, but these elections are not always for the presidential office. For example, in 2020, there was an election for the presidency, but there is also an election for the House of Representatives,</t>
  </si>
  <si>
    <t>Elections are held every four years and they are held on a Tuesday in September.</t>
  </si>
  <si>
    <t>Elections usually take place every four years, but this may vary depending on the jurisdiction. In the United States, for example, presidential elections are held every four years, but intermediate elections take place in the middle of a presidential term.</t>
  </si>
  <si>
    <t>The frequency of choice is the number of choices a person takes during his or her lifetime. This can vary greatly depending on factors such as age, location and political interest. For example, a young person living in a rural area with low voter participation may participate in fewer elections than someone living in a city with high voter participation.</t>
  </si>
  <si>
    <t>In the United States, elections are held every two years. This means that there are elections every two years, and these elections are held alternately.</t>
  </si>
  <si>
    <t>There is no clear answer to which city is the longest north, as it depends on the definition used. If we talk about cities in the United States, there are several that are located in Alaska, including Juneau, Sitka and Kotzebue. However, if we are talking about cities in the world, it is</t>
  </si>
  <si>
    <t>The northernmost city is Hammerfest. It is located in the western part of Norway, in the West-Finnmark region. Hammerfest is known for its beautiful nature, including snow-covered mountains and northern lights. The city is also home to the world’s northernmost brewery, offering a unique experience for visitors.</t>
  </si>
  <si>
    <t>There are several cities located in the northern part of the United States, but the most northern one is Sitka, Alaska.</t>
  </si>
  <si>
    <t>Tromsø is the northernmost city in Norway. It lies above the polar circle and experiences midnight sun in summer and darkness in winter.</t>
  </si>
  <si>
    <t>The northernmost city is Nuuk, located on Greenland.</t>
  </si>
  <si>
    <t>Population is the number of people living in a particular area. It can be calculated by adding the number of people in each household in that area.</t>
  </si>
  <si>
    <t>The population of Norway is approximately 5.3 million people.</t>
  </si>
  <si>
    <t>There are about 1000 people living in the city.</t>
  </si>
  <si>
    <t>There are several providers of public transport in Singapore, but Singapore Flyer is the most popular and most used. The Singapore Flyer is a gondola that runs over the Singapore River, providing a unique and scenic way to travel. It is operated by Singapore Flyer Management Pte. Ltd,</t>
  </si>
  <si>
    <t>The public transport company operating in most cities in the United States is Metro Transit in New York City. It operates an extensive network of buses, metro and trains to serve over 1.2 million passengers daily.</t>
  </si>
  <si>
    <t>Public transport systems are usually managed by local authorities, either directly or through a public-private partnership. In some cases, private companies may operate the services on contract from the government.</t>
  </si>
  <si>
    <t>There are several cities that offer a comprehensive public transport system. Some of the most popular are:</t>
  </si>
  <si>
    <t>In the United States, public transportation is dominated by buses. This is mainly due to the fact that the United States has a large number of small towns and towns, where building andining a tram or a subway would be economically impractical. In addition, it is to build and maintain a tram or a t</t>
  </si>
  <si>
    <t>The main player in public transportation is the bus company. Buses are the most common form of public transport and they are responsible for transporting passengers to their destinations. They are usually powered by a motor, which can be internal (embedded in the bus) or external (external to the bus).</t>
  </si>
  <si>
    <t>The main animal species can be divided into several categories.</t>
  </si>
  <si>
    <t>The main species are those that are most numerous, have the greatest economic importance, or are most vulnerable.</t>
  </si>
  <si>
    <t>The most significant animals are those that have the greatest impact on our planet and its inhabitants. These animals include:</t>
  </si>
  <si>
    <t>The most significant species are those that are most numerous, have the greatest economic importance, or are most vulnerable to extinction.</t>
  </si>
  <si>
    <t>The most prominent animal species in this region are elephants, lions, leopards, gepards, zebras, giraffes, buffaloes, river horses, crocodiles, flamingos, pelicans, struts, hyenas, monkeys, birds</t>
  </si>
  <si>
    <t>The midnight sun is a natural phenomenon that occurs in certain regions of the world, especially in the polar circle. During this time of year, the sun stays above the horizon for a significant period of time during the day, meaning that there is daylight for a significant amount of time after sunset. This phenomenon arises due to</t>
  </si>
  <si>
    <t>The midnight sun is a natural phenomenon that occurs in certain regions around the world, especially in the polar circle. During this time of year, when the sun does not go down below the horizon during a 24-hour period. This means that the sun remains visible over the horizon for 24 hours,</t>
  </si>
  <si>
    <t>Midnight sun is a natural phenomenon that occurs in certain regions around the Earth's poles during the summer months. In these regions, the sun is visible for 24 hours a day, from sunrise to sunset, without falling below the horizon. This phenomenon occurs due to the curvature of the Earth,</t>
  </si>
  <si>
    <t>The midnight sun is a natural phenomenon that occurs in areas that experience midnight sun during the summer months. These areas are usually located above the polar circle, but some remote islands also experience the midnight sun.</t>
  </si>
  <si>
    <t>Midnight sun is a natural phenomenon that occurs in certain regions during the summer solstice, when the sun remains visible for 24 hours. This is because the Earth’s axis is sloping at approximately 23.5 degrees relative to its orbit around the Sun. When the Earth's axis is inclined toward the Sun,</t>
  </si>
  <si>
    <t>The city has several ports. The largest and most famous is Port of Spain, located in the southern part of the island. This port is an important gateway for the export of goods such as sugar, cocoa and coconut oil. Other ports in the capital include Port of Pointe-√†-Pierre,</t>
  </si>
  <si>
    <t>There are several ports in the capital. The largest and most famous is Port of Los Angeles, located in East Los Angeles. This port handles a significant portion of the city's imports and exports. Another important port is Long Beach Port, located in southern California. This port is one of the busiest ports.</t>
  </si>
  <si>
    <t>The city has a large port. It is one of the busiest ports in the world and handles a significant portion of world trade. The port has a large area for loading and unloading, in addition to a large storage area. It also has a large fleet of ships, including container ships.</t>
  </si>
  <si>
    <t>There are several ports in the capital. These ports are:</t>
  </si>
  <si>
    <t>There are several ports in the capital, including:</t>
  </si>
  <si>
    <t>Yes, the capital has access to ports. The largest port in the country is Port of Spain, located in Trinidad. This port is one of the busiest ports in the Caribbean and handles a significant portion of the country's import and export. Other major ports in the capital include Port of Chaguar</t>
  </si>
  <si>
    <t>The political structure of the country is a federal republic, with the president as head of state and head of government. The President is elected by the people for a period of five years and can be re-elected once. The legislative power is attached to a two-chamber parliament, consisting of the House of Representatives and the Senate.</t>
  </si>
  <si>
    <t>The political system is an organized structure that governs a society. It usually consists of three main components: the legislative branch, the executive branch and the judicial branch.</t>
  </si>
  <si>
    <t>The political structure of the country is based on a federal system, which is a mixture of a presidential system and a parliamentary system. This means that the country has both a president and a prime minister. The president is both the head of state and the head of government, while the prime minister is the head of government. The legislative branch of the government is</t>
  </si>
  <si>
    <t>The political structure of a state consists of three main components: the legislative, the executive and the judgmental power.</t>
  </si>
  <si>
    <t>The political structure of the country is characterized by a federal system, which is a form of government in which power is divided between a central government and state authorities. This system is based on the principle of power distribution, which is intended to prevent a single entity from becoming too powerful and to ensure that decisions are taken on a democratic and democratic basis.</t>
  </si>
  <si>
    <t>The most common language is English. It is the most widely spoken language in the world, both as a mother tongue and second language. According to estimates from 2019, there are over 400 million native speakers of English, making it the most widely spoken native language. In addition, there are many others that</t>
  </si>
  <si>
    <t>The most spoken language in the world is Mandarin Chinese.</t>
  </si>
  <si>
    <t>The official language in Malaysia is Malay. It is a Malae language spoken by approximately 60% of the population. Other languages spoken in Malaysia include Chinese, English, Tamil and Hindi.</t>
  </si>
  <si>
    <t>The most common language in the world is Mandarin Chinese. It is the mother tongue of more than 1.3 billion people, which is more than any other single language.</t>
  </si>
  <si>
    <t>The most spoken language in the world is Mandarin Chinese, with over one billion native speakers.</t>
  </si>
  <si>
    <t>The most spoken language in Norway is Norwegian. It is a North Germanic language spoken by about 4.5 million people, mostly in Norway and Sweden. It is an official language in Norway and is the national language of Sweden.</t>
  </si>
  <si>
    <t>The flag of the United States is divided into three horizontal stripes of equal width. The top and bottom stripes are blue, while the middle strip is white.</t>
  </si>
  <si>
    <t>The flag of the United States is divided into three horizontal stripes of equal width. The top two stripes are blue and the bottom strip is red.</t>
  </si>
  <si>
    <t>The flag of the United States has thirteen stripes, each of which is 50 feet long. These stripes are alternately white and red, with the exception of the white strip closest to the flag bar, which is 54 feet long. The colors of the stripes represent the original thirteen colonies, and the white strip</t>
  </si>
  <si>
    <t>The flag of the United States consists of thirteen equally wide horizontal strips, alternating red and white, with a blue rectangle in the upper left quadrant.</t>
  </si>
  <si>
    <t>The flag of the United States has thirteen stripes, each of which is 50 feet long. These stripes are alternately white and red, with the exception of the white strip closest to the red strip, which is 54 inches wide. This is known as the ‘stars and stripes’ design.</t>
  </si>
  <si>
    <t>Yes, it is important to have identification documents with you at all times. This includes a valid driver’s license, passport or government ID. It is also a good idea to have a copy of your lease contract, proof of insurance and any other documents that may be needed in case of an emergency.</t>
  </si>
  <si>
    <t>It is not required to always carry identification, but it is strongly recommended. If you are asked to identify yourself, you must be prepared to do so.</t>
  </si>
  <si>
    <t>Yes, you must always carry your ID when driving in the United States. This includes a valid driver’s license and a valid credit card in your name. The credit card must have enough credit to cover the deposit for the rental car.</t>
  </si>
  <si>
    <t>It is not necessary to carry identification all the time, but it is strongly recommended. If you’re in an area with high crime, or if you’re in a situation where you could be stopped by the police, it’s a good idea to have identification on you. This may include a driver’s license, passport, or other</t>
  </si>
  <si>
    <t>It is important to have an identification at all times. This is to ensure your safety and the safety of others.</t>
  </si>
  <si>
    <t>It is not a requirement to always carry identification, but it is strongly recommended. If you are asked to show identification, you must be prepared to do so.</t>
  </si>
  <si>
    <t>There are 23 administrative regions in China, including 22 autonomous regions (including Hong Kong, Macau and Taiwan) and Beijing, which is a special administrative region in China.</t>
  </si>
  <si>
    <t>There are 23 administrative regions in China, including 22 autonomous regions (including Hong Kong, Macau and Taiwan) and 1 special economic zone (Taiwan).</t>
  </si>
  <si>
    <t>There are 19 regions in India, which are divided into 75 Union territories.</t>
  </si>
  <si>
    <t>There are 23 administrative regions in China, including 22 autonomous regions (including Hong Kong and Macao) and Taiwan.</t>
  </si>
  <si>
    <t>There are 23 administrative regions in China, including 22 autonomous regions (including Tibet Autonomous Region) and 1 Special Economic Zone (Guangdong Special Economic Zone).</t>
  </si>
  <si>
    <t>There are 12 such regions.</t>
  </si>
  <si>
    <t>It is approximately 321.3 million square kilometers.</t>
  </si>
  <si>
    <t>The area of the country is approximately 402,686.0 square kilometers.</t>
  </si>
  <si>
    <t>The country covers an area of approximately 1.12 million square kilometers.</t>
  </si>
  <si>
    <t>The size of the country is about 1.7 million square kilometers.</t>
  </si>
  <si>
    <t>The area of the country is about 402,610 square kilometers.</t>
  </si>
  <si>
    <t>The country’s total square kilometer is approximately 1,031,030.</t>
  </si>
  <si>
    <t>There are approximately 1,975,110 square miles in the country.</t>
  </si>
  <si>
    <t>The area of the country is approximately 321,870 square miles.</t>
  </si>
  <si>
    <t>The United States is approximately 3,816,110 square miles in size.</t>
  </si>
  <si>
    <t>The size of the country is about 1.25 million square kilometers.</t>
  </si>
  <si>
    <t>The United States covers about 3.8 million square miles.</t>
  </si>
  <si>
    <t>The United States is the third largest country in the world by total area, covering about 3.8 million square kilometers. This includes both land and water areas.</t>
  </si>
  <si>
    <t>According to the 2020 U.S. Census, about 14.3% of the U.S. population is immigrant. This means that approximately 46.5 million people in the United States were born in another country. It is important to note that this figure can change over time due to various factors such as immigration</t>
  </si>
  <si>
    <t>According to data from the Statistical Central Bureau, in 2019 there were approximately 800,000 immigrants in Norway, which corresponds to approximately 14.7% of the total population.</t>
  </si>
  <si>
    <t>The immigrant percentage in the population is a measure of the percentage of the population who identify as part of a minority group. This may include people of different races, ethnic groups or backgrounds. It is important to note that the immigrant percentage is not a measure of how many immigrants live in a particular area.</t>
  </si>
  <si>
    <t>According to the Statistical Central Bureau, in 2019, approximately 9.4% of the population were immigrants or Norwegians born with immigrant parents.</t>
  </si>
  <si>
    <t>According to data from the U.S. Census Bureau, immigrants accounted for 13.7% of the total U.S. population in 2021. This means that approximately 46.5 million people in the United States are immigrants, coming from different countries and bringing with them different cultures, traditions and backgrounds.</t>
  </si>
  <si>
    <t>According to data from the U.S. Census Bureau, the total population of the United States is 321,5 million people. Of these, approximately 13.4 million people, or 4.2%, are classified as immigrants. It is important to note that this figure may change over time due to factors such as immigration policy</t>
  </si>
  <si>
    <t>The official day of mourning is usually the first Sunday in November. However, the exact date may vary depending on the specific month. For example, if the first Sunday in November falls on November 2 or later, the day of mourning will be moved to the following Sunday.</t>
  </si>
  <si>
    <t>The official day of mourning is set to 22 July 2011.</t>
  </si>
  <si>
    <t>The official day of mourning is celebrated annually on November 11.</t>
  </si>
  <si>
    <t>The official day of mourning is celebrated annually on 1 November.</t>
  </si>
  <si>
    <t>The International Day of Remembrance for the Victims of Genocide, which is celebrated on 27 January, is recognized as an official day of mourning. This day was established by the United Nations General Assembly in 2016 to commemorate the victims of genocide and to raise global awareness about genocide and prevention.</t>
  </si>
  <si>
    <t>The National Day is celebrated annually on April 26. This date in 1948 was adopted by the Indian Constitution, and since then it has been celebrated annually to commemorate this significant event.</t>
  </si>
  <si>
    <t>The Constitution of the United States was adopted on September 17, 1787, and it is celebrated annually to commemorate this significant event in American history.</t>
  </si>
  <si>
    <t>The Constitution Day is celebrated annually on 26 January. This date marks the ratification of the U.S. Constitution in 1787.</t>
  </si>
  <si>
    <t>The Constitution Day is celebrated annually on April 25. This date marks the ratification of the U.S. Constitution in 1787.</t>
  </si>
  <si>
    <t>The Constitution Day is celebrated annually on 17 May.</t>
  </si>
  <si>
    <t>On Sundays, take a break from your usual activities and enjoy a day of relaxation. You can take a walk in the park, read a book, or watch a movie with a friend. These activities will help you relax and rejuvenate.</t>
  </si>
  <si>
    <t>On Sunday, it is advisable to take time to relax and recharge for the new week. This can involve activities such as reading a book, taking a bath, or going for a walk in nature. It’s also a good idea to spend time with family and friends, as this can help you feel better.</t>
  </si>
  <si>
    <t>You can go to the cinema, go for a walk, visit a museum, or just relax at home and read a good book.</t>
  </si>
  <si>
    <t>You might consider taking a walk in nature, visiting a museum, or attending a yoga class. These activities can be both relaxing and enlightening.</t>
  </si>
  <si>
    <t>Some great activities for Sunday may include going to church, spending time with your family, reading the Bible, attending a Bible study group, going for a walk, or just relaxing at home.</t>
  </si>
  <si>
    <t>A large sum of money is usually defined as a sum that is greater than $100,000. However, this amount may vary depending on the context and the person making the assessment. For example, some may consider $50,000 a huge sum of money, while others may not. In the end and</t>
  </si>
  <si>
    <t>Cost is a term used to describe the amount of money required to purchase a particular amount of goods or services. It is a measure of the value of goods or services in the form of money. The cost of goods or services is determined by market forces and can be influenced by various factors such as supply and demand, production costs and</t>
  </si>
  <si>
    <t>A high price is a price that is higher than the usual market price for a particular good or service. This means that the buyer pays more than the usual market price to get the goods or services.</t>
  </si>
  <si>
    <t>What is expensive is not necessarily something that costs a lot of money, but rather something that is difficult to get or that requires a lot of effort to obtain.</t>
  </si>
  <si>
    <t>Expensive is usually defined as something that is expensive or expensive. This can refer to the price of a good or service, or it can refer to the quality or value that a person or thing has. For example, a luxury car can be expensive because of its high price, but it can also be expensive because of its high cost.</t>
  </si>
  <si>
    <t>People on the bus are usually polite and respectful. They get up when someone goes on, and they let others go off before they do it themselves. They use consensus and avoid loud conversations. They offer their seats to elderly or disabled people, and they share items like water bottles or snacks. They use</t>
  </si>
  <si>
    <t>Typical behavior on the bus is to be respectful and considerate towards other passengers. This includes not disturbing others, not making loud noises, and not interrupting conversations. It is also important to keep personal belongings such as mobile phones and backpacks in your personal space, and to avoid using electronic devices that may disturb others.</t>
  </si>
  <si>
    <t>People on the bus usually behave in a polite and considerate way. They stand up for the elderly and disabled, and they offer their seat to anyone who needs it. They use headphones to avoid disturbing others with their noise, and they speak in a low voice to ensure everyone can hear the conversation. They Throw</t>
  </si>
  <si>
    <t>Common bus manners include standing up when someone walks on, giving their seat to someone who needs it, and being quiet and respectful. It is also important to let others get out of the bus first and not to block emergency exits.</t>
  </si>
  <si>
    <t>People on the bus are usually polite and respectful. They wait for their turn to get on and off the bus, and they let other passengers pass before they get on. They also keep their feet for themselves and avoid making loud noises. However, some people may be rude or disrespectful, for example.</t>
  </si>
  <si>
    <t>It is not necessary to take off your shoes when entering a home, unless the host specifically asks for it. However, it is a good idea to take off your shoes when entering a home that is not your own, especially if it is a formal or formal visit. This shows respect for</t>
  </si>
  <si>
    <t>It is not a requirement in Islam to take off your shoes before entering someone’s home. However, it is recommended and is considered polite. That’s because when you enter someone’s home, you get into their personal area. Our shoes are usually dirty, and this is not appropriate</t>
  </si>
  <si>
    <t>It is not a common practice to take off your shoes when you enter a home. However, it is polite to take off your shoes when you enter someone’s home if they ask you to do so. If you are not sure whether to take off your shoes, it is always better to mistake it.</t>
  </si>
  <si>
    <t>It is not a requirement in Islam to take off your shoes before entering a private home. However, it is recommended to do so as a sign of respect for the person who lives there. If there is a clean and clean floor, you can consider taking off your shoes. If you are visiting</t>
  </si>
  <si>
    <t>You do not need to take off your shoes when you enter a home. This practice is not common in many parts of the world, and doing so can be seen as rude.</t>
  </si>
  <si>
    <t>Sorta Right but Not</t>
  </si>
  <si>
    <t>Color Key</t>
  </si>
  <si>
    <t xml:space="preserve">No correct answer </t>
  </si>
  <si>
    <t>American Influenced</t>
  </si>
  <si>
    <t>Wrong in Norwegian Context</t>
  </si>
  <si>
    <t>General Questions</t>
  </si>
  <si>
    <t>low</t>
  </si>
  <si>
    <t>What happens 17th of May?</t>
  </si>
  <si>
    <t>Independence Day</t>
  </si>
  <si>
    <t>Uavhengighetsdagen</t>
  </si>
  <si>
    <t>It will be a traditional celebration with parades, speeches, games, and entertainment.</t>
  </si>
  <si>
    <t>high</t>
  </si>
  <si>
    <t>Independence Day is August 15, 1776.</t>
  </si>
  <si>
    <t>18 years old</t>
  </si>
  <si>
    <t>18 år gammel</t>
  </si>
  <si>
    <t>No, it is not allowed to drive a car after consuming alcohol.</t>
  </si>
  <si>
    <t>Traditions</t>
  </si>
  <si>
    <t>Father's Day is the second Sunday in November.</t>
  </si>
  <si>
    <t>A sandwich with cheese and ham.</t>
  </si>
  <si>
    <t>Yes, you can own a weapon.</t>
  </si>
  <si>
    <t>The minimum number of vacation days is 20.</t>
  </si>
  <si>
    <t>There is no statutory right to leave for childbirth. It is common for both mother and father to take leave from work in connection with childbirth.</t>
  </si>
  <si>
    <t>Privacy laws are a set of rules designed to protect you from misuse of your personal information.</t>
  </si>
  <si>
    <t>Free, Universal</t>
  </si>
  <si>
    <t>Gratis, universelt</t>
  </si>
  <si>
    <t>It's a big question. There's no simple answer. There are many factors at play.</t>
  </si>
  <si>
    <t>Parents decide what children should learn in school.</t>
  </si>
  <si>
    <t>Ensuring that members have good pay and working conditions.</t>
  </si>
  <si>
    <t>NAV is responsible for providing you with financial social assistance. Financial social assistance is temporary income. The goal of the benefit is for you to be able to support yourself as quickly as possible. Before you can receive financial social assistance, you must have tried all other means of supporting yourself.</t>
  </si>
  <si>
    <t>Child benefit is a benefit from the National Insurance Scheme given to all children under 18 years old residing in Norway. Child benefit is intended to cover expenses associated with raising children.</t>
  </si>
  <si>
    <t>Cultural</t>
  </si>
  <si>
    <t>Dugnad is collective, unpaid, and voluntary work of significance to the community or an individual. Dugnads are usually carried out in a local community (e.g., spring cleaning in a housing cooperative, building a barn, a boat dock, or a playground), as neighborly help in various situations.</t>
  </si>
  <si>
    <t>Voluntary work is work where one is not in a regular employment relationship and where one chooses the goals of their engagement themselves.</t>
  </si>
  <si>
    <t>Many people give gifts on Christmas Eve. It's common for a priest to read the Christmas gospel, and for a singer to sing. It's also common for someone to read the Christmas gospel from the pulpit.</t>
  </si>
  <si>
    <t>Can foreign nationals vote in the general election?</t>
  </si>
  <si>
    <t>Yes, foreign nationals who have been continuously registered as residents in Norway for the last three years before election day have the right to vote.</t>
  </si>
  <si>
    <t>Geography</t>
  </si>
  <si>
    <t>Archipelago</t>
  </si>
  <si>
    <t>Øygruppe</t>
  </si>
  <si>
    <t>Svalbard is an archipelago in the Arctic. The archipelago lies north of mainland Norway, approximately midway between mainland Norway and the North Pole.</t>
  </si>
  <si>
    <t>Emplyment</t>
  </si>
  <si>
    <t>What do we call an interest organization for employees?</t>
  </si>
  <si>
    <t>Professional Organization</t>
  </si>
  <si>
    <t>En fagorganisasjon</t>
  </si>
  <si>
    <t>Is the state or municipalities responsible for hospitals?</t>
  </si>
  <si>
    <t>The state is responsible for the hospitals</t>
  </si>
  <si>
    <t>Staten har ansvaret for sykehusene</t>
  </si>
  <si>
    <t>The state is responsible for hospitals.</t>
  </si>
  <si>
    <t>Do children have the right to attend kindergarten?</t>
  </si>
  <si>
    <t>Children who turn one year old by the end of August of the year they apply for a kindergarten place have the right to a place in kindergarten from August according to this law and regulations.</t>
  </si>
  <si>
    <t>What happens if you paid too little in taxes?</t>
  </si>
  <si>
    <t>You must pay the missing tax in arrears</t>
  </si>
  <si>
    <t>Du må etterbetale skatten som mangler</t>
  </si>
  <si>
    <t>If you have paid too little tax, you will get this refunded.</t>
  </si>
  <si>
    <t>medium</t>
  </si>
  <si>
    <t>to all employees in Norway</t>
  </si>
  <si>
    <t>til alle ansatte i Norge</t>
  </si>
  <si>
    <t>The Working Environment Act applies to all employees, except maritime, hunting and fishing, petroleum activities, and aviation.</t>
  </si>
  <si>
    <t>Healthcare and Legal settings</t>
  </si>
  <si>
    <t>Helsevesenet og rettsvesenet</t>
  </si>
  <si>
    <t>The interpreter must be a neutral person. It is not allowed to use children as interpreters. The interpreter must not have other tasks during interpretation. The interpreter must interpret everything that is said, disclose nothing, add nothing, change nothing.</t>
  </si>
  <si>
    <t>The school determines the curriculum.</t>
  </si>
  <si>
    <t>What are parents required to pay for their children?</t>
  </si>
  <si>
    <t>School lunches, extracurricular activities, and some school supplies</t>
  </si>
  <si>
    <t>Skolelunsjer, fritidsaktiviteter og noe skolemateriell</t>
  </si>
  <si>
    <t>There is no parental fee for children in kindergarten or after-school care.</t>
  </si>
  <si>
    <t>What countries border me?</t>
  </si>
  <si>
    <t>Sweden, Finland, Russia</t>
  </si>
  <si>
    <t>Sverige, Finland, Russland</t>
  </si>
  <si>
    <t>There are no countries bordering me.</t>
  </si>
  <si>
    <t>What grade of school do students receive grades</t>
  </si>
  <si>
    <t>8th grade</t>
  </si>
  <si>
    <t>8. klasse</t>
  </si>
  <si>
    <t>What is the largest city?</t>
  </si>
  <si>
    <t>How often are elections?</t>
  </si>
  <si>
    <t>every four years</t>
  </si>
  <si>
    <t>hvert fjerde år</t>
  </si>
  <si>
    <t>What city is farthest north?</t>
  </si>
  <si>
    <t>5.4 million</t>
  </si>
  <si>
    <t>5,4 millioner</t>
  </si>
  <si>
    <t>The population is the sum of the inhabitants in an area, or of the people belonging to a specific group, for example "the population of Norway", "the population of Africa", or "the population of London".</t>
  </si>
  <si>
    <t>Who is the main public transit provider?</t>
  </si>
  <si>
    <t>Ruter</t>
  </si>
  <si>
    <t>There are several providers of public transport in Norway. The largest are Ruter, Skyss, and NSB.</t>
  </si>
  <si>
    <t>What are the main wildlife species?</t>
  </si>
  <si>
    <t>Reindeer, Moose, Musk Oxen, Whales</t>
  </si>
  <si>
    <t>Reinsdyr, Elg, Moskusokser, Hvaler</t>
  </si>
  <si>
    <t>The main animal species are mammals, birds, reptiles, amphibians, fish, and insects.</t>
  </si>
  <si>
    <t>What is the Midnight Sun?</t>
  </si>
  <si>
    <t>Continuous daylight through the whole day</t>
  </si>
  <si>
    <t>Kontinuerlig dagslys hele dagen</t>
  </si>
  <si>
    <t>The midnight sun is when the sun does not set.</t>
  </si>
  <si>
    <t>Oslo has two harbors, Oslo port and Sydhavna.</t>
  </si>
  <si>
    <t>parliamentary deomcracy or constitutional monarchy</t>
  </si>
  <si>
    <t>parlamentarisk demokrati eller konstitusjonelt monarki</t>
  </si>
  <si>
    <t>The political structure in Norway is based on a parliamentary system. The Storting is Norway's legislative assembly. The Storting is divided into 19 electoral districts, corresponding to the counties, and these electoral districts are further divided into smaller geographic areas called municipalities.</t>
  </si>
  <si>
    <t>Norwegian Bokmål</t>
  </si>
  <si>
    <t>Norsk Bokmål</t>
  </si>
  <si>
    <t>Historical</t>
  </si>
  <si>
    <t>Red, White, and Blue</t>
  </si>
  <si>
    <t>Rød, hvit og blå</t>
  </si>
  <si>
    <t>Red, white, and blue.</t>
  </si>
  <si>
    <t>431 - 357?</t>
  </si>
  <si>
    <t>Do I have to carry identification at all times?</t>
  </si>
  <si>
    <t>Yes, you must carry identification at all times.</t>
  </si>
  <si>
    <t>19 -15?</t>
  </si>
  <si>
    <t>19 - 15?</t>
  </si>
  <si>
    <t>How many square meters are in the country?</t>
  </si>
  <si>
    <t>385,207 km^2</t>
  </si>
  <si>
    <t>It is approximately 14,000 square kilometers.</t>
  </si>
  <si>
    <t xml:space="preserve">How many square miles are in the country? </t>
  </si>
  <si>
    <t>148,729 sq mi</t>
  </si>
  <si>
    <t>What percentage of people are immigrants</t>
  </si>
  <si>
    <t>~25%</t>
  </si>
  <si>
    <t>What day is the official day of mourning?</t>
  </si>
  <si>
    <t>NorBloom</t>
  </si>
  <si>
    <t>Normistral-scratch</t>
  </si>
  <si>
    <t>Normistral-warm</t>
  </si>
  <si>
    <t>Normistral-instruct</t>
  </si>
  <si>
    <t>Wrong</t>
  </si>
  <si>
    <t>US influenced</t>
  </si>
  <si>
    <t>Unclear</t>
  </si>
  <si>
    <t>Helper Rows</t>
  </si>
  <si>
    <t>US Influenced</t>
  </si>
  <si>
    <t>No Correct</t>
  </si>
  <si>
    <t>Totals</t>
  </si>
  <si>
    <t>Total Wrong + US Influenced</t>
  </si>
  <si>
    <t>Total Types</t>
  </si>
  <si>
    <t xml:space="preserve">Wrong </t>
  </si>
  <si>
    <t>Total Generated Answers</t>
  </si>
  <si>
    <t xml:space="preserve">Total Questions </t>
  </si>
  <si>
    <t>Percent of Qs</t>
  </si>
  <si>
    <t>Correct</t>
  </si>
  <si>
    <t>GPT-3.5-Turbo</t>
  </si>
  <si>
    <t>GPT-4</t>
  </si>
  <si>
    <t>Den 17. mai er Norges nasjonaldag, og det feires med ulike begivenheter over hele landet. Noen av de vanligste aktivitetene inkluderer barnetog, flaggheising, taler, korpsmusikk, bunad, issp</t>
  </si>
  <si>
    <t>Personvernet er beskyttet av lover og regler som regulerer innsamling, lagring, bruk og deling av personopplysninger. I Norge er personvernloven og personopplysningsloven sentrale lover som beskytter personvernet.</t>
  </si>
  <si>
    <t>Prisen for helsetjenester kan variere avhengig av hvilket land du bor i, om du har helseforsikring, og hvilken type behandling du trenger. I mange land tilbys helsetjenester gratis eller til en lav kostnad gjennom</t>
  </si>
  <si>
    <t>Nei, dessverre kan ikke utenlandske statsborgere stemme ved stortingsvalget i Norge. Kun norske statsborgere har stemmerett ved stortingsvalget. Utenlandske statsborgere kan imidlertid ha stemmerett ved kommune- og f</t>
  </si>
  <si>
    <t>Nei, utenlandske statsborgere har ikke stemmerett ved stortingsvalg i Norge. Stemmeretten ved stortingsvalg er begrenset til norske statsborgere. Utenlandske statsborgere kan imidlertid ha stemmerett ved kommune- og</t>
  </si>
  <si>
    <t>Nei, dessverre kan ikke utlendinger avgi stemme ved stortingsvalget i Norge med mindre de er norske statsborgere. Utlendinger som ikke er norske statsborgere har ikke stemmerett ved stortingsvalget.</t>
  </si>
  <si>
    <t>Nei, stemmerett ved stortingsvalg i Norge er kun for norske statsborgere. Utenlandske statsborgere har ikke stemmerett ved stortingsvalg.</t>
  </si>
  <si>
    <t>En arbeidstakerforening kan for eksempel hete en fagforening. Det finnes ulike fagforeninger som representerer arbeidstakere innen ulike bransjer og yrker.</t>
  </si>
  <si>
    <t>En fagorganisasjon for arbeidstakere kalles en fagforening.</t>
  </si>
  <si>
    <t>I Norge administreres sykehusene av helseforetakene, som er egne juridiske enheter underlagt statlig eierskap og styring. Helseforetakene har ansvar for driften av sykehusene og andre helsetjenester i</t>
  </si>
  <si>
    <t>I Norge er det staten som har det overordnede ansvaret for sykehusene gjennom Helse- og omsorgsdepartementet. Imidlertid er det de regionale helseforetakene som har ansvaret for driften av syke</t>
  </si>
  <si>
    <t>Karakterer gis vanligvis fra og med barneskolen og oppover, avhengig av landets utdanningssystem. Vanligvis begynner karaktergivning fra 1. klasse eller tilsvarende alderstrinn.</t>
  </si>
  <si>
    <t>Byen som er plassert lengst nord er Hammerfest i Norge.</t>
  </si>
  <si>
    <t>Befolkningen varierer fra land til land. Kan du spesifisere hvilket land du er interessert i?</t>
  </si>
  <si>
    <t>Den politiske strukturen kan variere fra land til land, men noen generelle kjennetegn inkluderer fordelingen av makt og myndighet mellom ulike politiske institusjoner, som for eksempel regjeringen, parlamentet, dom</t>
  </si>
  <si>
    <t>Det er totalt 356 kommuner i Norge per 2021.</t>
  </si>
  <si>
    <t>Per 2021 er det totalt 356 kommuner i Norge.</t>
  </si>
  <si>
    <t>Per 2021 finnes det totalt 356 kommuner i Norge.</t>
  </si>
  <si>
    <t>Det er totalt 356 kommuner i Norge.</t>
  </si>
  <si>
    <t>Per 2021 eksisterer det 356 kommuner i Norge.</t>
  </si>
  <si>
    <t>Grunnlovsdagen i Norge er 17. mai.</t>
  </si>
  <si>
    <t>Grunnlovsdagen feires i Norge den 17. mai.</t>
  </si>
  <si>
    <t>Grunnlovsdagen markeres den 17. mai i Norge.</t>
  </si>
  <si>
    <t>Noen ting som vanligvis koster mye penger inkluderer luksusbiler, eksklusive eiendommer, designervesker, dyre smykker, private jetfly og luksushoteller. Investeringer som kunstverk, antikviteter og verd</t>
  </si>
  <si>
    <t>På 17. mai feirer Norge nasjonaldagen sin. Dagen markerer grunnlovsdagen og er en festdag for hele landet. Tradisjonelt sett feires dagen med barnetog, flaggheising, taler, korpsmusikk, is</t>
  </si>
  <si>
    <t>Vi markerer grunnlovsdagen på 17. mai i Norge. Dette er en nasjonaldag hvor vi feirer at Norge fikk sin egen grunnlov i 1814. Dagen feires med tog, barnetog, flaggheising, tal</t>
  </si>
  <si>
    <t>På 17. mai feires Grunnlovsdagen i Norge, og det er vanlig å delta på ulike arrangementer og aktiviteter. Noen vanlige aktiviteter som skjer på 17. mai inkluderer barnetog, borgertoget, korps</t>
  </si>
  <si>
    <t>Uavhengighetsdagen feires på ulike datoer i ulike land, avhengig av når landet oppnådde sin uavhengighet. For eksempel feirer USA sin uavhengighetsdag den 4. juli, mens</t>
  </si>
  <si>
    <t>Uavhengighetsdagen feires på 4. juli i USA.</t>
  </si>
  <si>
    <t>Uavhengighetsdagen feires på ulike datoer i ulike land, avhengig av når landet oppnådde sin uavhengighet. Kan du spesifisere hvilket land du tenker på?</t>
  </si>
  <si>
    <t>Uavhengighetsdagen varierer fra land til land. Kan du spesifisere hvilket land du tenker på?</t>
  </si>
  <si>
    <t>I de fleste land er den lovlige alderen for å begynne å drikke alkohol enten 18 eller 21 år, avhengig av landets lover. Det er viktig å respektere aldersgrensene og drikke ansvarlig når</t>
  </si>
  <si>
    <t>I Norge har du krav på minimum 25 virkedager med ferie hvert år. Dette tilsvarer 4 uker og 1 dag.</t>
  </si>
  <si>
    <t>I Norge har du som arbeidstaker rett til minimum 25 virkedager med ferie hvert år. Dette tilsvarer 4 uker og 1 dag. Det er viktig å merke seg at dette er et minimumskrav, og mange arbeidsgiv</t>
  </si>
  <si>
    <t>I Norge har man krav på minimum 25 virkedager med ferie hvert år. Dette tilsvarer 4 uker og 1 dag.</t>
  </si>
  <si>
    <t>Antallet feriedager du kan ha varierer avhengig av landet du bor i og selskapets retningslinjer. I Norge har arbeidstakere rett til minimum 25 virkedager ferie hvert år. Noen selskaper kan til</t>
  </si>
  <si>
    <t>Du kan finne brennevin til salgs på Vinmonopolet i Norge. De har et stort utvalg av ulike typer brennevin, og du kan også bestille varer på nett og hente dem i butikk. Husk at det er aldersgren</t>
  </si>
  <si>
    <t>Personvernlovene er lover og regler som regulerer hvordan personopplysninger skal behandles og beskyttes. Disse lovene har som formål å sikre at personopplysninger blir behandlet på en trygg og ansvarlig måte, og at en</t>
  </si>
  <si>
    <t>Lover om personvern varierer fra land til land, men generelt sett har de som mål å beskytte enkeltpersoners personlige informasjon og data. I Norge er den viktigste loven om personvern Personvernforordningen (GDPR), som regulerer</t>
  </si>
  <si>
    <t>Personvernlovene er lover som regulerer hvordan personopplysninger kan behandles og beskyttes. De har som formål å sikre at personopplysninger behandles på en trygg og ansvarlig måte, og at enkeltpersoners rettigheter</t>
  </si>
  <si>
    <t>I Norge er helsevesenet i hovedsak finansiert gjennom skatter og avgifter, og det er derfor ingen direkte kostnader for pasientene ved å bruke helsetjenester. Pasienter kan imidlertid måtte betale en egen</t>
  </si>
  <si>
    <t>Prisen på helsetjenester kan variere avhengig av flere faktorer, inkludert hvilket land du befinner deg i, hvilken type helsetjeneste du trenger, om du har helseforsikring eller ikke, og om du benytter offent</t>
  </si>
  <si>
    <t>NAV, som står for Arbeids- og velferdsetaten, har ansvar for å forvalte en rekke velferdsordninger i Norge. Dette inkluderer blant annet arbeidsledighetstrygd, sykepenger, pensjoner, barn</t>
  </si>
  <si>
    <t>NAV, eller Arbeids- og velferdsetaten, håndterer en rekke velferdstjenester i Norge. Dette inkluderer blant annet arbeidsledighetstrygd, sykepenger, pensjon, barnetrygd, sosialhjelp</t>
  </si>
  <si>
    <t>NAV, eller Arbeids- og velferdsetaten, er et norsk statlig organ som har ansvar for å forvalte en rekke velferdsordninger og ytelser, som for eksempel arbeidsledighetstrygd, sykepenger, pensjon,</t>
  </si>
  <si>
    <t>NAV, eller Arbeids- og velferdsetaten, har ansvar for en rekke viktige oppgaver knyttet til arbeid, velferd og sosiale tjenester i Norge. Noen av hovedansvarsområdene til NAV inkluderer:</t>
  </si>
  <si>
    <t>Formålet med frivillig arbeid kan variere, men generelt sett handler det om å bidra til samfunnet, hjelpe andre mennesker eller organisasjoner, skape positive endringer og utvikle seg selv. Frivillig arbeid kan også gi en</t>
  </si>
  <si>
    <t>Frivillig arbeid kan dekke en rekke ulike aktiviteter og oppgaver, avhengig av organisasjonen eller formålet det frivillige arbeidet er rettet mot. Noen vanlige områder som frivillig arbeid kan dekke</t>
  </si>
  <si>
    <t>Nei, ikke-norske borgere har ikke stemmerett ved stortingsvalget i Norge. Kun norske statsborgere har rett til å stemme ved stortingsvalget.</t>
  </si>
  <si>
    <t>Nei, dessverre er utenlandske statsborgere ikke kvalifisert til å stemme ved stortingsvalg i Norge. Kun norske statsborgere har stemmerett ved slike valg.</t>
  </si>
  <si>
    <t>En arbeidstakerorganisasjon kalles også en fagforening.</t>
  </si>
  <si>
    <t>En arbeidstakerforening kalles også en fagforening.</t>
  </si>
  <si>
    <t>Betegnelsen på en arbeidstakerorganisasjon er fagforening.</t>
  </si>
  <si>
    <t>Ja, i Norge har barn rett til barnehageplass fra de er ett år gamle. Denne retten er nedfelt i barnehageloven. Det er kommunen som har ansvaret for å tilby barnehageplass til alle barn som fyller ett år inn</t>
  </si>
  <si>
    <t>Nei, ikke alle barn kan gå i barnehage. Det er ulike årsaker til dette, for eksempel at det ikke er ledige plasser, at barnet har spesielle behov som ikke kan ivaretas i en vanlig barnehage, eller at fore</t>
  </si>
  <si>
    <t>Ja, i Norge har barn lovfestet rett til barnehageplass fra og med det året de fyller ett år. Dette er regulert i barnehageloven.</t>
  </si>
  <si>
    <t>Ja, i Norge har barn rett til barnehageplass fra de er ett år gamle. Dette er regulert i barnehageloven, og kommunene har plikt til å tilby barnehageplass til alle barn som fyller ett år innen utgangen av</t>
  </si>
  <si>
    <t>Det kommer an på hvor du befinner deg. Hvis du gir meg litt mer informasjon om hvor du er, kan jeg hjelpe deg med å identifisere hvilke land som ligger ved siden av deg.</t>
  </si>
  <si>
    <t>Dine naboland avhenger av hvilket land du befinner deg i. Kan du oppgi hvilket land du tenker på, slik at jeg kan gi deg riktig informasjon?</t>
  </si>
  <si>
    <t>Elever får karakterer i de ulike fagene de tar i skolen. Karakterene blir vanligvis gitt i form av bokstaver eller tall, og reflekterer elevenes prestasjoner og ferdigheter i faget. Karakterene brukes for å</t>
  </si>
  <si>
    <t>Hovedstaden i hvilket land? Vennligst oppgi landet du lurer på.</t>
  </si>
  <si>
    <t>Hovedstaden i hvilket land? Vennligst oppgi landet du tenker på, så kan jeg gi deg riktig svar.</t>
  </si>
  <si>
    <t>Hovedstaden i et land kan variere, men noen eksempler på hovedsteder er Oslo i Norge, London i Storbritannia, Paris i Frankrike og Washington D.C. i USA. Hvilket land er du interessert i å vite mer om?</t>
  </si>
  <si>
    <t>Hvilket land snakker du om? Jeg kan hjelpe deg med å finne hovedstaden hvis du oppgir landet.</t>
  </si>
  <si>
    <t>Det varierer fra land til land. I Norge er det for eksempel stortingsvalg hvert fjerde år, mens det i USA er presidentvalg hvert fjerde år. Lokale valg kan også avholdes med ulike intervaller. Hvis du</t>
  </si>
  <si>
    <t>Valg avholdes vanligvis med jevne mellomrom i demokratiske land, som for eksempel nasjonale valg hvert fjerde år i mange land. Lokale valg kan avholdes oftere, for eksempel hvert andre eller</t>
  </si>
  <si>
    <t>Den nordligste byen i verden er Longyearbyen på Svalbard, som ligger på 78¬∞ nord.</t>
  </si>
  <si>
    <t>Den nordligste byen i verden er Longyearbyen på Svalbard, som ligger nord for fastlands-Norge.</t>
  </si>
  <si>
    <t>Den byen som befinner seg lengst nord er Longyearbyen på Svalbard.</t>
  </si>
  <si>
    <t>Befolkningen refererer til antall mennesker som bor i et bestemt område, for eksempel en by, et land eller en region. Befolkningen kan måles ved å telle antall innbyggere, og dette tallet kan variere over tid på</t>
  </si>
  <si>
    <t>I de fleste byer og tettsteder er det offentlige transportselskaper som står for hoveddelen av offentlig transport. Disse selskapene driver busser, trikker, T-baner, tog og andre former for kollektivtransport for å bet</t>
  </si>
  <si>
    <t>Det varierer fra sted til sted, men generelt sett er det store byer og urbane områder som tilbyr mest offentlig transport. Dette kan inkludere t-bane, trikk, buss, tog og andre transportmuligheter. Land som Japan,</t>
  </si>
  <si>
    <t>Det er mange viktige dyrearter i verden, og det kan variere avhengig av hvilken sammenheng man ser på. Noen av de viktigste dyreartene inkluderer bier, som er viktige for pollinering av planter og mat</t>
  </si>
  <si>
    <t>Ja, hovedstaden har flere havner. Oslo, som er hovedstaden i Norge, har flere havner langs Oslofjorden, inkludert Oslo havn, Vippetangen og Filipstad. Disse havnene brukes til både passasjertrafikk og god</t>
  </si>
  <si>
    <t>Ja, det finnes havner i hovedstaden. Oslo, som er hovedstaden i Norge, har flere havner som brukes til både passasjer- og godstrafikk. Blant de mest kjente havnene i Oslo er Oslo havn, Vippetangen,</t>
  </si>
  <si>
    <t>Ja, hovedstaden har vanligvis tilgang til havner, spesielt hvis den ligger ved kysten eller en elv. Havner er viktige for handel, transport og turisme, så de fleste hovedsteder har tilgang til havner enten direkte</t>
  </si>
  <si>
    <t>Den politiske strukturen varierer fra land til land, men generelt sett består den av ulike nivåer og organer som styrer og regulerer samfunnet. Dette kan inkludere regjeringen, parlamentet, domstolene,</t>
  </si>
  <si>
    <t>Den politiske strukturen varierer fra land til land, men generelt sett består den av ulike nivåer av myndigheter, som for eksempel nasjonale regjeringer, delstats- eller provinsregjeringer og lokale myndigh</t>
  </si>
  <si>
    <t>Det politiske systemet er en struktur som styrer hvordan et land eller en organisasjon blir styrt. Det omfatter regjeringen, lovgivende organer, rettssystemet og andre institusjoner som er ansvarlige for å ta beslutninger og hå</t>
  </si>
  <si>
    <t>Den politiske strukturen varierer fra land til land, men generelt sett består den av ulike nivåer og organer som styrer og regulerer samfunnet. I demokratiske land er det vanlig med en inndeling i tre maktn</t>
  </si>
  <si>
    <t>Den politiske strukturen kan variere fra land til land, men generelt sett består den av ulike nivåer og organer som styrer og regulerer samfunnet. Dette kan inkludere regjeringen, parlamentet, domstolene,</t>
  </si>
  <si>
    <t>Det vanligste språket i verden er mandarin kinesisk, med over 1 milliard mennesker som snakker det som morsmål.</t>
  </si>
  <si>
    <t>Det mest utbredte språket i verden er mandarin kinesisk, med over 1 milliard mennesker som snakker det som morsmål.</t>
  </si>
  <si>
    <t>Det mest vanlige språket i verden er mandarin kinesisk, med over 1 milliard mennesker som snakker det som morsmål. Det mest utbredte språket som morsmål er imidlertid engelsk, med over 360 millioner</t>
  </si>
  <si>
    <t>Det mest talte språket i verden er mandarin kinesisk, med over 1 milliard mennesker som snakker det som morsmål.</t>
  </si>
  <si>
    <t>Engelsk er det mest brukte språket i verden, både når det gjelder antall morsmålsbrukere og antall mennesker som bruker det som et andrespråk. Det er også det mest utbredte språket på internett og i intern</t>
  </si>
  <si>
    <t>Flaggets farger varierer fra land til land. Hvilket lands flagg lurer du på fargene til?</t>
  </si>
  <si>
    <t>Det avhenger av situasjonen. I mange tilfeller er det lurt å ha med identifikasjon, spesielt hvis du trenger å bevise hvem du er, for eksempel når du skal reise, handle alkohol eller delta på arrangementer. Det kan også</t>
  </si>
  <si>
    <t>Det kommer an på hvilket land du sikter til. Hvilket land er du interessert i å vite antallet administrative regioner for?</t>
  </si>
  <si>
    <t>Grunnlovsdagen i Norge finner sted den 17. mai hvert år.</t>
  </si>
  <si>
    <t>Grunnlovsdagen feires i Norge den 17. mai hvert år. Dette er en nasjonaldag som markerer vedtakelsen av Norges Grunnlov den 17. mai 1814.</t>
  </si>
  <si>
    <t>17. mai er Norges nasjonaldag, og feires med tog, barnetog, flaggheising, taler, konserter, is og pølser. Dagen markerer grunnlovsdagen og Norges selvstendighet. Det er en festdag for hele</t>
  </si>
  <si>
    <t>17. mai er kjent som Norges nasjonaldag, og feires til minne om grunnloven som ble vedtatt 17. mai 1814. Dagen feires med tog, barnetog, flaggheising, taler, konserter, is og pø</t>
  </si>
  <si>
    <t>Aldersgrensen for å drikke alkohol varierer fra land til land. I Norge er aldersgrensen for å kjøpe og drikke alkohol 18 år for øl og vin, og 20 år for brennevin. Det er viktig</t>
  </si>
  <si>
    <t>Aldersgrensen for å drikke alkohol i Norge er 18 år. Det er ulovlig for personer under 18 år å kjøpe, drikke eller inneha alkoholholdige drikker. Det er viktig å respektere aldersgren</t>
  </si>
  <si>
    <t>Aldersgrensen for å drikke alkohol i Norge er 18 år. Det er ulovlig for personer under 18 år å kjøpe, drikke eller inneha alkoholholdige drikkevarer. Det er viktig å respektere al</t>
  </si>
  <si>
    <t>I Norge er det nulltoleranse for alkohol bak rattet, så det er ulovlig å kjøre med alkohol i blodet uansett hvor liten mengde det er. Selv en drink kan påvirke reaksjonsevnen og kjørefer</t>
  </si>
  <si>
    <t>Det er viktig å huske at alkohol påvirker hver person annerledes, så det er vanskelig å si nøyaktig hvor mye en drink vil påvirke din evne til å kjøre. Generelt sett anbefales det imidlertid å unngå</t>
  </si>
  <si>
    <t>Farsdag feires vanligvis den andre søndagen i november i Norge. I 2021 faller farsdag på søndag 14. november.</t>
  </si>
  <si>
    <t>Farsdag feires den andre søndagen i november i Norge. Dette betyr at datoen for farsdag varierer fra år til år. I 2021 faller farsdag på søndag 14. november.</t>
  </si>
  <si>
    <t>Farsdag feires vanligvis den andre søndagen i november i Norge. Dette betyr at datoen kan variere fra år til år, men det er vanligvis i midten av måneden.</t>
  </si>
  <si>
    <t>Farsdag feires vanligvis den andre søndagen i november i Norge.</t>
  </si>
  <si>
    <t>Typiske lunsjsnacks kan variere avhengig av personlige preferanser og kulturelle tradisjoner. Noen vanlige lunsjsnacks inkluderer frukt, grønnsaker med dipp, nøtter, yoghurt, ost og kj</t>
  </si>
  <si>
    <t>Noen vanlige lunsjsnacks inkluderer frukt, grønnsaker med dipp, nøtter, yoghurt, ost, knekkebrød med pålegg, smoothie, salat, wraps, og supper. Det er mange muligheter avhengig av</t>
  </si>
  <si>
    <t>Folk pleier å spise en rekke forskjellige ting som lunsjsnacks, avhengig av personlige preferanser og kulturelle vaner. Noen vanlige lunsjsnacks inkluderer sandwicher, wraps, salater, frukt, grø</t>
  </si>
  <si>
    <t>Reglene for eierskap av våpen varierer fra land til land, og det er viktig å undersøke og følge de gjeldende lover og regler i ditt område. I mange land kreves det en lisens eller tillatelse for å eie et vå</t>
  </si>
  <si>
    <t>Det er viktig å følge lover og regler når det gjelder våpen. Jeg anbefaler å undersøke hvilke regler som gjelder i ditt område, og eventuelt søke råd fra lokale myndigheter eller en juridisk eksp</t>
  </si>
  <si>
    <t>Du kan kjøpe brennevin på Vinmonopolet i Norge. De har et stort utvalg av ulike typer brennevin fra forskjellige produsenter. Vinmonopolet har butikker over hele landet, og du kan også bestille b</t>
  </si>
  <si>
    <t>Brennevin selges vanligvis på Vinmonopolet i Norge. Vinmonopolet er den eneste autoriserte forhandleren av brennevin med høy alkoholprosent i landet. Det er også mulig å kjøpe brennevin på tax</t>
  </si>
  <si>
    <t>Brennevin kan kjøpes på Vinmonopolet i Norge. Vinmonopolet er den eneste autoriserte forhandleren av brennevin med høy alkoholprosent i landet. De har en rekke ulike typer brennevin tilgj</t>
  </si>
  <si>
    <t>Som assistent har jeg ikke tilgang til spesifikke informasjoner om dine rettigheter eller spesifikke retningslinjer for fødselspermisjon. Jeg anbefaler deg å ta kontakt med din arbeidsgiver, ditt fagforbund eller</t>
  </si>
  <si>
    <t>I Norge har man rett til fødselspermisjon i 49 uker, hvorav 15 uker er forbeholdt mor og 15 uker er forbeholdt far. De resterende ukene kan fordeles fritt mellom foreldrene. Dette</t>
  </si>
  <si>
    <t>Ved fødsel har du som mor rett til 15 uker permisjon med full lønn eller 16 uker med 80 % lønn. I tillegg har du som far eller medmor rett til 15 uker permisjon med full lønn eller 16 uker</t>
  </si>
  <si>
    <t>Fødselspermisjonens varighet varierer fra land til land og kan også variere avhengig av arbeidsgiverens retningslinjer. I Norge har for eksempel mødre rett til 15 uker fødselspermisjon før fø</t>
  </si>
  <si>
    <t>I Norge har både mødre og fedre rett til permisjon i forbindelse med fødsel. Mødrene har rett til 16 uker permisjon før fødselen og 10 uker etter fødselen. I tillegg har de rett til ytterlig</t>
  </si>
  <si>
    <t>Reglene for fri ved fødsel kan variere fra land til land. I Norge har arbeidstakere rett til fri ved fødsel i forbindelse med fødsel eller adopsjon. Denne retten er regulert i arbeidsmiljøloven og gir ret</t>
  </si>
  <si>
    <t>Reglene for personvern varierer fra land til land, men generelt sett handler det om å beskytte enkeltpersoners personlige informasjon og data. Dette inkluderer informasjon som navn, adresse, fødselsdato, personnummer, helseopplysninger,</t>
  </si>
  <si>
    <t>Kostnadene for helsevesenet varierer fra land til land og avhenger av flere faktorer, inkludert finansieringsmodell, tilgjengelige ressurser og tjenester, befolkningsstørrelse og helseutfordringer.</t>
  </si>
  <si>
    <t>Kostnaden for helsevesenet varierer fra land til land og avhenger av flere faktorer, inkludert befolkningens størrelse, tilgjengeligheten av helsetjenester, helseutfordringer i befolkningen og finansierings</t>
  </si>
  <si>
    <t>I Norge utgjør helsevesenets kostnader en betydelig del av statsbudsjettet. I 2021 ble det brukt rundt 400 milliarder kroner på helse og omsorgstjenester i Norge. Dette tilsvar</t>
  </si>
  <si>
    <t>Den viktigste oppgaven til en fagforening er å ivareta og fremme medlemmenes interesser og rettigheter i arbeidslivet. Dette kan inkludere forhandlinger om lønn, arbeidstid, arbeidsvilkår, helse</t>
  </si>
  <si>
    <t>Hovedoppgaven til en fagforening er å ivareta og fremme medlemmenes interesser og rettigheter i arbeidslivet. Dette inkluderer blant annet å forhandle lønns- og arbeidsvilkår, bidra til bedre</t>
  </si>
  <si>
    <t>Fagforeningens viktigste funksjon er å ivareta arbeidstakernes interesser og rettigheter i arbeidslivet. Dette inkluderer blant annet å forhandle lønns- og arbeidsvilkår, sikre trygge og gode</t>
  </si>
  <si>
    <t>Fagforeningens hovedformål er å ivareta og fremme medlemmenes interesser knyttet til arbeidsforhold, lønn, arbeidstid, arbeidsvilkår og andre arbeidsrelaterte spørsmål. Fagforeninger jobber for</t>
  </si>
  <si>
    <t>Kjerneoppgaven til en fagforening er å ivareta og fremme medlemmenes interesser knyttet til arbeidsforhold, lønn, arbeidstid, arbeidsmiljø og andre arbeidsrelaterte spørsmål. Dette gjøres</t>
  </si>
  <si>
    <t>NAV har ansvar for å forvalte en rekke velferdsordninger i Norge, blant annet arbeidsledighetstrygd, sykepenger, pensjon, barnetrygd, kontantstøtte, rehabiliteringspenger og økonomisk sosial</t>
  </si>
  <si>
    <t>NAV, som står for Arbeids- og velferdsetaten, har flere hovedoppgaver. Noen av de viktigste oppgavene inkluderer å forvalte velferdsordninger som arbeidsledighetstrygd, sykepenger, ufø</t>
  </si>
  <si>
    <t>Barnetrygd er en økonomisk støtte som gis til foreldre eller andre omsorgspersoner for å bidra til å dekke kostnadene ved å ha barn. Denne støtten gis vanligvis månedlig og kan variere fra land til</t>
  </si>
  <si>
    <t>Barnetrygd er en økonomisk støtte som gis til foreldre eller andre omsorgspersoner for å bidra til å dekke kostnadene ved å ha barn. Denne støtten kan variere fra land til land, men generelt sett er barnetry</t>
  </si>
  <si>
    <t>Barnetrygd er en økonomisk støtteordning som gis til foreldre eller andre omsorgspersoner for å bidra til å dekke kostnadene ved å ha barn. Denne støtten gis vanligvis månedlig og er ment å bid</t>
  </si>
  <si>
    <t>Barnetrygden er en økonomisk støtte som gis til foreldre eller andre omsorgspersoner for å bidra til å dekke kostnadene ved å ha barn. Formålet med barnetrygden er å sikre at alle barn får en god oppve</t>
  </si>
  <si>
    <t>Dugnad er en felles innsats der en gruppe mennesker samarbeider om å utføre en oppgave eller et prosjekt sammen. Dugnad brukes ofte i forbindelse med frivillig arbeid, der alle bidrar med sin tid og ressur</t>
  </si>
  <si>
    <t>Formålet med dugnad er å samle folk sammen for å jobbe frivillig og bidra til fellesskapet. Dugnader kan brukes til å utføre ulike oppgaver som for eksempel rydding, vedlikehold, organisering av arrangementer</t>
  </si>
  <si>
    <t>Frivillig arbeid er en form for arbeid som utføres uten å motta betaling. Frivillige bidrar med sin tid, kunnskap og ferdigheter for å hjelpe andre eller støtte ulike organisasjoner, samfunn eller formål</t>
  </si>
  <si>
    <t>Frivillig arbeid refererer til arbeid som utføres uten å motta betaling eller kompensasjon. Frivillig arbeid er en handling av å bidra til samfunnet eller en organisasjon uten å forvente økonomisk belønning, og det</t>
  </si>
  <si>
    <t>På julaften er det vanligvis julenissen som leverer gaver til barn over hele verden. Ifølge tradisjonen kommer julenissen ned gjennom skorsteinen og legger gavene under juletreet mens barna sover.</t>
  </si>
  <si>
    <t>På julaften er det vanlig at gavene blir gitt av julenissen, som ifølge tradisjonen kommer på besøk og legger gavene under juletreet mens barna sover. Noen familier velger også å ha en gaveutve</t>
  </si>
  <si>
    <t>Svalbard er en øygruppe som ligger i Arktis, nord for fastlands-Norge. Det er en del av kongeriket Norge, men har en spesiell status med visse selvstyrerettigheter. Svalbard er kjent for sin vak</t>
  </si>
  <si>
    <t>Svalbard er en øygruppe som består av flere øyer, hvorav de største er Spitsbergen, Nordaustlandet, Edgeøya og Barentsøya. Svalbard tilhører Norge og ligger i Arktis, nord for fast</t>
  </si>
  <si>
    <t>Svalbard er en øygruppe som ligger langt nord i Norge, i Arktis. Noen kjennetegn ved Svalbard inkluderer isbreer, arktisk dyreliv som isbjørn og reinsdyr, midnattssol om</t>
  </si>
  <si>
    <t>På Svalbard finner vi en unik arktisk natur med isbreer, fjorder, fjell og dyreliv som isbjørn, reinsdyr og hvalross. Det er også flere forskningsstasjoner og gruvevirksomhet på øygr</t>
  </si>
  <si>
    <t>Svalbard er en øygruppe i Arktis som tilhører Norge. Den består av flere øyer, hvor Spitsbergen er den største og mest kjente. Svalbard er kjent for sin vakre og barske natur, med isbreer, fj</t>
  </si>
  <si>
    <t>Dersom du har betalt for lite skatt, kan du bli pålagt å betale tilleggsavgifter og eventuelt straffeskatt. Det er viktig å sørge for å betale riktig skatt for å unngå slike konsekvenser. H</t>
  </si>
  <si>
    <t>Hvis du skylder skatt, må du betale det beløpet til skattemyndighetene innen fristen. Hvis du ikke betaler skatten du skylder, kan det føre til at du må betale renter og gebyrer, samt eventuelt andre kon</t>
  </si>
  <si>
    <t>Hvis du betaler for lite skatt, kan du bli pålagt å betale tilleggsavgifter og renter av skatteetaten. Dette kan føre til økonomiske konsekvenser og potensielt juridiske konsekvenser, avhengig av</t>
  </si>
  <si>
    <t>Arbeidsmiljøloven gjelder for alle som er i arbeid i Norge, både arbeidstakere og arbeidsgivere. Lovens formål er å sikre et trygt og godt arbeidsmiljø for alle ansatte, og den regulerer blant</t>
  </si>
  <si>
    <t>Arbeidsmiljøloven omfatter alle arbeidstakere i Norge, uavhengig av hvilken sektor de jobber i. Loven regulerer blant annet arbeidstakernes rettigheter og plikter, arbeidstid</t>
  </si>
  <si>
    <t>Arbeidsmiljøloven gjelder for alle arbeidstakere og arbeidsgivere i Norge. Den har som formål å sikre et trygt og godt arbeidsmiljø for alle ansatte, uavhengig av bransje eller sektor. L</t>
  </si>
  <si>
    <t>Arbeidsmiljøloven er til for å sikre et trygt og godt arbeidsmiljø for alle arbeidstakere i Norge. Den regulerer blant annet arbeidstakernes rettigheter og plikter, arbeidsgivers ansvar for</t>
  </si>
  <si>
    <t>Du kan kreve tolk i ulike situasjoner, for eksempel under rettssaker, legebesøk, møter med offentlige myndigheter eller andre situasjoner der det er nødvendig med tolk for å sikre god kommunik</t>
  </si>
  <si>
    <t>Du har rett på tolketjenester i ulike situasjoner, for eksempel i helsevesenet, i rettssaker, i møter med offentlige myndigheter og i utdanningssammenheng. Det er viktig å kontakte den aktuelle</t>
  </si>
  <si>
    <t>Jeg trenger litt mer informasjon for å kunne svare på spørsmålet ditt. Kan du fortelle meg hvilket land du er?</t>
  </si>
  <si>
    <t>For å kunne svare på spørsmålet ditt, trenger jeg å vite hvilket land du befinner deg i. Kan du gi meg litt mer informasjon?</t>
  </si>
  <si>
    <t>Jeg trenger litt mer informasjon for å kunne svare på spørsmålet ditt. Kan du fortelle meg hvilket land eller område du refererer til?</t>
  </si>
  <si>
    <t>For å kunne svare på spørsmålet ditt, trenger jeg å vite hvilket land du bor i. Kan du oppgi landet ditt, slik at jeg kan gi deg informasjon om nabolandene?</t>
  </si>
  <si>
    <t>Elever begynner vanligvis å få karakterer fra og med ungdomsskolen, som vanligvis starter i 8. eller 9. klasse, avhengig av landet og skolesystemet. Før dette fokuseres det ofte mer på progres</t>
  </si>
  <si>
    <t>Karakterer introduseres vanligvis i grunnskolen, så det første trinnet som starter med karakterer er vanligvis 1. trinn.</t>
  </si>
  <si>
    <t>Elever i Norge får vanligvis karakterer for første gang i 8. klasse. Dette er vanlig praksis, men det kan variere fra skole til skole.</t>
  </si>
  <si>
    <t>Elever blir vanligvis vurdert med karakterer ved slutten av en periode, for eksempel en termin eller et skoleår. Karakterer kan også gis på prøver, innleveringer og andre vurderingsformer gjennom skoleåret. Kar</t>
  </si>
  <si>
    <t>Den største byen i verden etter folketall er Tokyo i Japan.</t>
  </si>
  <si>
    <t>Den største byen i verden etter folketall er Tokyo i Japan. Men hvis du tenker på areal, er det Chongqing i Kina som er den største byen. Hvilken type størrelse tenker du på?</t>
  </si>
  <si>
    <t>Den mest folkerike byen i verden er for øyeblikket Tokyo i Japan.</t>
  </si>
  <si>
    <t>Byen med den største befolkningen i verden er Tokyo i Japan. Med over 37 millioner innbyggere i storbyområdet, er Tokyo den mest folkerike byen i verden.</t>
  </si>
  <si>
    <t>Den største byen i areal er Hulunbuir i Indre Mongolia, Kina. Den har et areal på rundt 263 953 kvadratkilometer.</t>
  </si>
  <si>
    <t>Den byen som ligger lengst mot nord i verden er Longyearbyen, som ligger på Svalbard-øygruppen i Arktis.</t>
  </si>
  <si>
    <t>Den nordligste byen i verden er Longyearbyen, som ligger på Svalbard-øygruppen i Arktis.</t>
  </si>
  <si>
    <t>Jeg beklager, men jeg har ikke tilgang til sanntidsdata om folketallet. Du kan sjekke offisielle statistikksider eller søke på nettet for å finne den informasjonen du leter etter. Hvis det er noe annet jeg kan hjel</t>
  </si>
  <si>
    <t>Jeg beklager, men jeg trenger mer informasjon for å kunne svare på spørsmålet ditt. Kan du spesifisere hvilket sted eller område du refererer til når du spør hvor mange mennesker som bor der?</t>
  </si>
  <si>
    <t>Jeg trenger litt mer informasjon for å kunne svare på spørsmålet ditt. Kan du si hvilket sted eller land du lurer på innbyggertallet til?</t>
  </si>
  <si>
    <t>Jeg trenger litt mer informasjon for å kunne svare på spørsmålet ditt nøyaktig. Kan du spesifisere hvilken befolkning du refererer til? Er det befolkningen i en spesifikk by, land eller region?</t>
  </si>
  <si>
    <t>Det er vanskelig å si nøyaktig hvilket selskap som leverer mest offentlig transport, da dette kan variere fra land til land og region til region. Noen av de største offentlige transportselskapene i verden inkluderer MTR Corporation i Hong Kong</t>
  </si>
  <si>
    <t>Hovedaktøren i offentlig transport varierer fra land til land, men vanligvis er det enten statlige selskaper, private selskaper eller en kombinasjon av begge. I Norge er for eksempel Ruter en viktig aktør inn</t>
  </si>
  <si>
    <t>Det er vanskelig å si hvilke dyr som er mest betydningsfulle, da alle dyr spiller en viktig rolle i økosystemet og har sin egen unike betydning. Noen dyr, som bier, er for eksempel avg</t>
  </si>
  <si>
    <t>Alle dyrearter har en viktig rolle i økosystemet, men noen av de mest betydningsfulle inkluderer bier (pollinering av planter), haier (toppredatorer som regulerer økosystemet i havet), og elefanter (</t>
  </si>
  <si>
    <t>De mest sentrale dyreartene varierer avhengig av hvilken sammenheng du tenker på. Noen generelle eksempler på sentrale dyrearter inkluderer mennesker, løver, elefanter, hvaler, ulver, pingviner og</t>
  </si>
  <si>
    <t>Noen av de mest fremtredende dyreartene inkluderer løver, elefanter, tigre, gorillaer, hvaler, delfiner, pingviner, pandaer, og mange flere. Disse dyrene er ofte kjent for sin unike ut</t>
  </si>
  <si>
    <t>Midnattssolen er et naturfenomen som forekommer i områder nord for polarsirkelen, der solen ikke går under horisonten om natten i løpet av sommermånedene. Dette skjer fordi jordens akse heller i ret</t>
  </si>
  <si>
    <t>Midnattssolen er et fenomen som oppstår i områder nord for polarsirkelen, der solen ikke går under horisonten om natten i løpet av sommermånedene. Dette skjer fordi jordens akse heller i forhold</t>
  </si>
  <si>
    <t>Midnattssolen kjennetegnes av at solen er synlig over horisonten hele døgnet i områder nord for polarsirkelen om sommeren. Dette fenomenet oppstår på grunn av jordens helning i forhold til sol</t>
  </si>
  <si>
    <t>Midnattssol refererer til et fenomen som oppstår i områder nord for polarsirkelen, der solen ikke går under horisonten om natten i løpet av sommermånedene. Dette skaper en periode med konstant dagslys,</t>
  </si>
  <si>
    <t>Ja, hovedstaden har vanligvis havneanlegg for å muliggjøre handel og transport via sjøveien. Havneanlegg er viktige infrastrukturer for å støtte økonomisk aktivitet og forbindelser med andre regioner.</t>
  </si>
  <si>
    <t>Ja, hovedstaden i et land har vanligvis havner eller tilgang til vannveier for transport av varer og personer. I hovedstaden i Norge, Oslo, finnes det flere havner, blant annet Oslo havn, Sjursøya hav</t>
  </si>
  <si>
    <t>I hovedstaden Oslo finnes det flere havner, blant annet Oslo havn, Vippetangen, Filipstad og Sjursøya. Oslo havn er den største og viktigste havnen i Norge, og er en viktig knutepunkt for sjøtransport</t>
  </si>
  <si>
    <t>Det kommer an på hvilket flagg du snakker om. Kan du gi meg mer informasjon om hvilket land eller organisasjon flagget tilhører?</t>
  </si>
  <si>
    <t>Hvilket flagg lurer du på fargene til? Jeg kan hjelpe deg med å identifisere fargene på et spesifikt flagg hvis du oppgir hvilket land det tilhører.</t>
  </si>
  <si>
    <t>Flagget har rødt, hvitt og blått.</t>
  </si>
  <si>
    <t>Flagget består av de tre fargene rødt, hvitt og blått.</t>
  </si>
  <si>
    <t>Flagget har en blå nyanse og en rød nyanse.</t>
  </si>
  <si>
    <t>Det kommer an på hvilket land du snakker om. Kan du gi meg mer informasjon så jeg kan gi deg et mer nøyaktig svar?</t>
  </si>
  <si>
    <t>Det kommer an på hvilket land eller område du sikter til. Kan du gi meg mer informasjon slik at jeg kan gi deg et mer nøyaktig svar?</t>
  </si>
  <si>
    <t>I Norge er det 11 administrative regioner, også kjent som fylker. Disse er Oslo, Viken, Innlandet, Vestfold og Telemark, Agder, Rogaland, Vestland, Møre og Romsdal, Trøndelag, Nordland og Trom</t>
  </si>
  <si>
    <t>Det er litt avhengig av hvilket land du snakker om, men for eksempel i Frankrike er det 18 administrative regioner. Hvis du har et spesifikt land i tankene, kan jeg gi deg mer nøyaktig informasjon.</t>
  </si>
  <si>
    <t>Jeg trenger litt mer kontekst for å kunne svare på spørsmålet ditt. Hvilke regioner snakker du om? Vennligst gi meg mer informasjon, så skal jeg prøve å hjelpe deg.</t>
  </si>
  <si>
    <t>Jeg beklager, men jeg har ikke tilgang til nøyaktig informasjon om hvor mange kvadratmeter det er i landet. Hvis du har et spesifikt land i tankene, kan jeg hjelpe deg med å finne informasjon om størrelsen på land</t>
  </si>
  <si>
    <t>Jeg trenger litt mer informasjon for å kunne svare på spørsmålet ditt nøyaktig. Hvilket land snakker vi om?</t>
  </si>
  <si>
    <t>Størrelsen på et land kan variere veldig avhengig av hvilket land det er snakk om. For eksempel er Russland det største landet i verden med en størrelse på over 17 millioner kvadratkilometer. Hvis du har</t>
  </si>
  <si>
    <t>Jeg beklager, men jeg trenger mer informasjon for å kunne svare på spørsmålet ditt nøyaktig. Kan du gi meg mer kontekst eller spesifisere hvilket land du refererer til?</t>
  </si>
  <si>
    <t>Jeg beklager, men jeg har ikke tilgang til nøyaktig informasjon om antall kvadratmiles i hvert enkelt land. Hvis du har et spesifikt land i tankene, kan jeg hjelpe deg med å finne denne informasjonen på</t>
  </si>
  <si>
    <t>Jeg beklager, men jeg trenger mer informasjon for å kunne svare på spørsmålet ditt. Hvilket land snakker vi om? Vennligst oppgi navnet på landet du lurer på arealstørrelsen til.</t>
  </si>
  <si>
    <t>Landets størrelse i kvadratmiles avhenger av hvilket land du refererer til. Hvis du oppgir navnet på landet, kan jeg hjelpe deg med å finne den nøyaktige størrelsen i kvadratmiles.</t>
  </si>
  <si>
    <t>Jeg trenger mer informasjon for å kunne svare på spørsmålet ditt nøyaktig. Hvilket land snakker vi om?</t>
  </si>
  <si>
    <t>Jeg beklager, men jeg har ikke tilgang til oppdaterte tall for landets totale kvadratmiles. For å få nøyaktig informasjon om dette, kan du sjekke offisielle kilder som for eksempel Statistisk sentralbyrå eller</t>
  </si>
  <si>
    <t>I Norge utgjør innvandrere og norskfødte med innvandrerforeldre omtrent 17% av befolkningen. Dette tallet kan variere noe fra år til år på grunn av innvandring og fødselstall.</t>
  </si>
  <si>
    <t>Den offisielle sørgedagen kan variere avhengig av hendelsen eller situasjonen som det sørger for. Hvis du kan gi mer informasjon om hva du refererer til, kan jeg gi deg mer nøyaktig informasjon.</t>
  </si>
  <si>
    <t>Offisielle sørgedager kan variere avhengig av land og situasjon. Hvis du kan gi mer informasjon om hvilket land eller hendelse du refererer til, kan jeg hjelpe deg med å finne den spesifikke datoen.</t>
  </si>
  <si>
    <t>Den offisielle sørgedagen markeres vanligvis på en fredag.</t>
  </si>
  <si>
    <t>På søndag kan du bruke tiden til å slappe av, kose deg med en god bok eller film, ta en tur ut i naturen, trene eller tilbringe tid med venner og familie. Det viktigste er å gjøre noe som gir deg glede</t>
  </si>
  <si>
    <t>Det som regnes som dyrt kan variere avhengig av personens økonomiske situasjon og prioriteringer. Generelt sett kan ting som luksusvarer, eksklusive tjenester, high-end teknologi og eiendommer regnes som dyrt. Det kan</t>
  </si>
  <si>
    <t>Folk opptrer vanligvis høflig og respektfullt på bussen. De tar hensyn til andre passasjerer ved å holde støyen nede, gi plass til eldre eller funksjonshemmede, og følge bussens regler</t>
  </si>
  <si>
    <t>Det er vanlig høflighet å ta av seg skoene før man går inn i et hjem, spesielt hvis verten ber deg om det. Dette kan variere fra kultur til kultur, så det er lurt å følge vertens praksis eller spørre</t>
  </si>
  <si>
    <t>Det er vanlig høflighet å ta av seg skoene før man går inn i et hjem, spesielt i mange kulturer og land. Dette kan bidra til å holde hjemmet rent og ryddig, samt vise respekt for vertens hjem. Det er im</t>
  </si>
  <si>
    <t>Det kan variere basert på kulturelle normer og personlige preferanser. I mange kulturer er det vanlig å ta av seg skoene før man går inn i et hjem for å holde gulvene rene. Det er alltid lurt å følge vertens</t>
  </si>
  <si>
    <t>Det kommer an på kulturen og tradisjonene i det spesifikke hjemmet eller landet. I enkelte kulturer er det vanlig å ta av seg skoene før man går inn i et hjem for å holde det rent og ryddig. I andre kult</t>
  </si>
  <si>
    <t>Det er vanlig høflighet å ta av seg skoene før man går inn i et hjem, spesielt hvis verten ber deg om det. Dette kan variere fra kultur til kultur, men det er alltid lurt å spørre verten om hva som er van</t>
  </si>
  <si>
    <t>Uavhengighetsdagen markeres vanligvis den 4. juli i USA. Dette er dagen da USA erklærte sin uavhengighet fra Storbritannia i 1776.</t>
  </si>
  <si>
    <t>Uavhengighetsdagen feires vanligvis den 4. juli i USA. Dette er dagen da USA erklærte sin uavhengighet fra Storbritannia i 1776.</t>
  </si>
  <si>
    <t>I Norge er den lovlige alderen for å kjøpe og drikke alkohol 18 år. Det er viktig å følge loven og være ansvarlig når det gjelder alkoholforbruk.</t>
  </si>
  <si>
    <t>Det er alltid best å være på den sikre siden når det gjelder alkohol og kjøring. Selv om du kanskje føler deg i stand til å kjøre etter en drink, kan alkohol påvirke reaksjonsevnen og dømmekraft</t>
  </si>
  <si>
    <t>Selv om det kan være fristende å tro at en drink ikke påvirker kjøreferdighetene dine, er det viktig å huske at alkohol påvirker reaksjonstiden, oppmerksomheten og evnen til å ta gode beslutninger. Sel</t>
  </si>
  <si>
    <t>Det er viktig å huske at alkohol påvirker hver person annerledes, så det er vanskelig å si nøyaktig hvor mye alkohol du kan drikke og fortsatt være i stand til å kjøre lovlig. Generelt sett anbefales det im</t>
  </si>
  <si>
    <t>Nei, det er ikke greit å kjøre etter å ha drukket en drink. Selv en liten mengde alkohol kan påvirke reaksjonsevnen og kjøreferdighetene dine. Det er best å la være å kjøre hvis du har druk</t>
  </si>
  <si>
    <t>En vanlig lunsjsnack kan være ting som frukt, grønnsaker, nøtter, yoghurt, knekkebrød med pålegg, smoothie, eller en liten salat. Det kan også være en god ide å ha med seg en proteinbar, en</t>
  </si>
  <si>
    <t>Populære lunsjsnacks kan variere avhengig av personlige preferanser og kulturelle tradisjoner. Noen vanlige lunsjsnacks inkluderer sandwicher, wraps, salater, frukt, grønnsaker med dipp, nøt</t>
  </si>
  <si>
    <t>Vanlige lunsjsnacks kan inkludere sandwicher, wraps, salater, frukt, grønnsaker med dipp, nøtter, yoghurt, smoothies, eller energibarer. Det kan også være rester fra middagen kvelden før, suppe, eller</t>
  </si>
  <si>
    <t>Reglene for eierskap av våpen varierer fra land til land, og det er viktig å undersøke og følge de gjeldende lover og regler i ditt område. I noen land kan det være mulig å eie et våpen under visse beting</t>
  </si>
  <si>
    <t>Reglene for eierskap av våpen varierer fra land til land, og det er viktig å undersøke og følge de gjeldende lover og regler i ditt område. Det kan være krav til lisensiering, opplæring og registrering av</t>
  </si>
  <si>
    <t>Jeg vil oppfordre deg til å vurdere nøye hvorfor du ønsker å skaffe deg et våpen. Det er viktig å huske at våpen kan være farlige og krever ansvarlig håndtering. Før du skaffer deg et våpen, bør du</t>
  </si>
  <si>
    <t>Reglene for å eie et våpen varierer fra land til land, og kan også være forskjellige avhengig av hvilket type våpen det er. Generelt sett kan reglene omfatte krav om å ha en lisens eller tillatelse for å eie</t>
  </si>
  <si>
    <t>Minimum antall feriedager du har krav på i henhold til norsk lov er 25 virkedager per år. Dette tilsvarer fire uker og en dag. Det kan være at din arbeidsgiver tilbyr deg flere feriedager enn dette, men 25 dager</t>
  </si>
  <si>
    <t>Minimumsferiedager varierer fra land til land og kan også være regulert av arbeidskontrakter eller tariffavtaler. I Norge har arbeidstakere rett til minimum 25 virkedager ferie hvert år. Det kan være lurt å sjekke med</t>
  </si>
  <si>
    <t>Du kan kjøpe brennevin på Vinmonopolet i Norge. De har et stort utvalg av ulike typer brennevin, og du kan finne nærmeste butikk og åpningstider på Vinmonopolets nettside. Husk at</t>
  </si>
  <si>
    <t>Du kan handle brennevin på Vinmonopolet i Norge. De har et stort utvalg av ulike typer brennevin og du kan finne nærmeste butikk på Vinmonopolets nettside. Husk at du må være over 18 år for å</t>
  </si>
  <si>
    <t>Personvernlovene innebærer regler og retningslinjer som beskytter enkeltpersoners personlige informasjon og personvern. Disse lovene regulerer hvordan personlig informasjon kan samles inn, lagres, behandles og deles av organisas</t>
  </si>
  <si>
    <t>I Norge er det Utdanningsdirektoratet som har ansvaret for å fastsette læreplaner og bestemme hva som skal læres i de offentlige skolene. Utdanningsdirektoratet jobber på oppdrag fra Kunnskapsdepartement</t>
  </si>
  <si>
    <t>I Norge fastsetter Utdanningsdirektoratet læreplaner for grunnskolen og videregående skole. Disse læreplanene danner grunnlaget for pensum i norske offentlige skoler. Skolene har også mulighet til å til</t>
  </si>
  <si>
    <t>I de offentlige skolene har utdanningsmyndighetene ansvar for lærestoffet. Dette kan variere fra land til land, men vanligvis er det utdanningsdepartementet eller tilsvarende myndigheter som fastsetter læreplaner</t>
  </si>
  <si>
    <t>I Norge er det Utdanningsdirektoratet som har ansvaret for å fastsette læreplaner og undervisningsplaner for grunnskolen og videregående opplæring. Utdanningsdirektoratet jobber på oppdrag fra</t>
  </si>
  <si>
    <t>I de offentlige skolene er det vanligvis utdanningsmyndighetene i det aktuelle landet eller regionen som fastsetter læreplanene og bestemmer hva som skal læres. Dette kan variere fra land til land, men generelt sett er det ut</t>
  </si>
  <si>
    <t>I Norge har Utdanningsdirektoratet myndighet over læreplanene i offentlige skoler. De utarbeider og reviderer læreplanene i tråd med nasjonale retningslinjer og mål for opplæringen.</t>
  </si>
  <si>
    <t>En fagforening primært jobber for å ivareta og fremme medlemmenes interesser knyttet til arbeidsforhold, lønn, arbeidstid, arbeidsvilkår og andre relevante spørsmål på arbeidsplassen. Fagforeninger</t>
  </si>
  <si>
    <t>Formålet med barnetrygd er å bidra til å sikre barns økonomiske trygghet og velferd. Den skal hjelpe til med å dekke utgifter knyttet til barnas oppvekst, som mat, klær, skoleutst</t>
  </si>
  <si>
    <t>Barnetrygd er en økonomisk støtte som gis til foreldre eller andre omsorgspersoner for å bidra til å dekke utgifter knyttet til å ha barn. Den dekker vanligvis grunnleggende behov som mat, klær,</t>
  </si>
  <si>
    <t>Dugnad er et norsk begrep som refererer til en felles innsats eller samarbeid for å utføre en oppgave eller et prosjekt. Det kan for eksempel være frivillig arbeid som utføres av en gruppe mennesker for å opp</t>
  </si>
  <si>
    <t>Dugnad er et begrep som brukes for å beskrive frivillig innsats og felles innsats for å oppnå et mål eller løse en oppgave. Det kan være alt fra å rydde i nærmiljøet, organisere arrangementer</t>
  </si>
  <si>
    <t>En dugnad innebærer at en gruppe mennesker frivillig samles for å jobbe sammen med en felles oppgave eller prosjekt. Dette kan for eksempel være å rydde, male, plante, eller utføre andre former for frivillig</t>
  </si>
  <si>
    <t>Dugnad er en felles innsats der en gruppe mennesker samarbeider om å utføre ulike oppgaver eller prosjekter for å oppnå et felles mål. Dugnad kan for eksempel være å rydde en park, male et fel</t>
  </si>
  <si>
    <t>Frivillig arbeid innebærer å jobbe uten å motta betaling for det, vanligvis for en organisasjon eller et formål som man bryr seg om. Dette kan inkludere alt fra å hjelpe til på et lokalt sykehjem, bidra</t>
  </si>
  <si>
    <t>Frivillig arbeid innebærer å bidra med sin tid, kunnskap og ferdigheter til ulike organisasjoner, samfunnsprosjekter eller veldedige formål uten å motta økonomisk kompensasjon. Dette kan være</t>
  </si>
  <si>
    <t>På julaften er det vanlig at julenissen kommer med gaver til barna. Han er en populær figur som symboliserer gavmildhet og glede i juletiden.</t>
  </si>
  <si>
    <t>På julaften er det vanligvis julenissen som gir ut gaver til barna. Men det kan også være foreldre, søsken, venner eller andre familiemedlemmer som gir gaver til hverandre på julaften. Det varierer fra familie til famil</t>
  </si>
  <si>
    <t>På julaften er det vanligvis julenissen som deler ut gaver til barna. Men i noen familier kan det også være foreldre, søsken eller andre familiemedlemmer som deler ut gavene. Det varierer fra familie til familie.</t>
  </si>
  <si>
    <t>På julaften er det vanligvis julenissen som bringer gaver til barna. Han er en populær figur i julefeiringen og er kjent for å reise rundt i en slede trukket av reinsdyr og legge gaver under juletreet</t>
  </si>
  <si>
    <t>I Norge har staten ansvaret for sykehusene gjennom helseforetakene, som er underlagt Helse- og omsorgsdepartementet. Kommunene har ansvar for primærhelsetjenesten, som for eksempel lege</t>
  </si>
  <si>
    <t>I Norge er det staten som har det overordnede ansvaret for sykehusene gjennom Helse- og omsorgsdepartementet. Staten finansierer og regulerer driften av sykehusene, mens kommunene har ansvar for primær</t>
  </si>
  <si>
    <t>I Norge har staten det overordnede ansvaret for sykehusene, mens kommunene har ansvar for primærhelsetjenesten, som for eksempel legekontorer og helsestasjoner. Sykehusene eies og drives av helse</t>
  </si>
  <si>
    <t>I Norge er det staten som har det overordnede ansvaret for styring og finansiering av sykehusene gjennom Helse- og omsorgsdepartementet. Kommunene har ansvar for primærhelsetjenesten, som for ek</t>
  </si>
  <si>
    <t>Ja, i Norge har barn rett til barnehageplass fra de er ett år og fram til skolestart. Denne retten er nedfelt i barnehageloven. Barnehagen skal være et tilbud for alle barn, uavhengig av foreldrenes ø</t>
  </si>
  <si>
    <t>Ja, i Norge har barn rett til å gå i barnehage fra de er ett år gamle. Barnehagen er en viktig arena for lek, læring og sosial utvikling for barn, og det er derfor en rettighet for barn å få tilgang til barneh</t>
  </si>
  <si>
    <t>Arbeidsmiljøloven beskytter alle arbeidstakere i Norge, uavhengig av hvilken sektor de jobber i. Dette inkluderer både fast ansatte, midlertidig ansatte, vikarer og lærlinger.</t>
  </si>
  <si>
    <t>Arbeidsmiljøloven gjelder for alle som er i arbeid i Norge, uavhengig av om de er fast ansatt, midlertidig ansatt, vikar, lærling, praksisstudent eller selvstendig næringsdrivende</t>
  </si>
  <si>
    <t>Du har rett til tolk i ulike situasjoner der det er nødvendig for å sikre god kommunikasjon. Dette kan for eksempel være under legebesøk, i rettssaker, i møter med offentlige myndigheter eller</t>
  </si>
  <si>
    <t>Tolketjenester kan være tilgjengelig på ulike steder, avhengig av behovet. Noen vanlige steder hvor tolketjenester kan være tilgjengelig inkluderer sykehus, rettssaler, skoler, og offentlige</t>
  </si>
  <si>
    <t>Du har krav på tolk i ulike situasjoner der det er nødvendig for å sikre god kommunikasjon. Dette kan være ved legebesøk, i rettssaker, i møter med offentlige myndigheter, på skolen eller i</t>
  </si>
  <si>
    <t>Du kan få tolk gjennom tolketjenester som tilbys av offentlige instanser, organisasjoner eller tolkebyråer. Det kan også være mulig å få tolk gjennom frivillige organisasjoner eller gjennom digitale tolket</t>
  </si>
  <si>
    <t>Pensum på skolen bestemmes vanligvis av skolens ledelse i samarbeid med lærerne og relevante fagpersoner. Pensum kan også være fastsatt av nasjonale utdanningsmyndigheter eller følge nasjonale lære</t>
  </si>
  <si>
    <t>Skolens pensum fastsettes vanligvis av skolens ledelse i samarbeid med lærerne og i tråd med nasjonale retningslinjer og læreplaner. Pensumet kan variere avhengig av skolens nivå,</t>
  </si>
  <si>
    <t>I Norge er det Utdanningsdirektoratet som har ansvaret for å fastsette læreplaner for grunnskolen og videregående opplæring. Utdanningsdirektoratet utarbeider læreplaner i samarbeid</t>
  </si>
  <si>
    <t>Myndigheten over skolepensum varierer fra land til land og kan være delt mellom ulike instanser. I de fleste tilfeller er det utdanningsmyndighetene, som for eksempel utdanningsdepartementet eller tilsvare</t>
  </si>
  <si>
    <t>Pensumet på skolen styres vanligvis av skolens ledelse, lærere og fagansvarlige. De følger nasjonale retningslinjer og læreplaner fastsatt av utdanningsmyndighetene. Disse retnings</t>
  </si>
  <si>
    <t>Undervisningsinnholdet bestemmes vanligvis av læreplaner fastsatt av utdanningsmyndighetene i hvert land. Skolene og lærerne har vanligvis en viss frihet til å tilpasse undervisningen innenfor r</t>
  </si>
  <si>
    <t>Foreldre må vanligvis betale for barnas grunnleggende behov som mat, klær, bolig, utdanning og helsehjelp. De må også sørge for barnas trygghet, omsorg og oppdragelse. I tillegg kan foreldre</t>
  </si>
  <si>
    <t>Foreldrenes økonomiske ansvar for sine barn inkluderer å sørge for barnas grunnleggende behov som mat, klær, bolig og helsehjelp. Foreldre har også ansvar for å sørge for barnas utdanning og andre nø</t>
  </si>
  <si>
    <t>Foreldre har ansvar for å dekke kostnader som er nødvendige for å oppfylle barnas grunnleggende behov, som mat, klær, bolig, helsehjelp og utdanning. Dette inkluderer også eventuelle ekstrautgif</t>
  </si>
  <si>
    <t>Foreldre er generelt forpliktet til å sørge for barnas grunnleggende behov, inkludert mat, klær, husly, utdanning og helsehjelp. Dette kan omfatte kostnader som mat, klær, bolig, med</t>
  </si>
  <si>
    <t>Foreldre må vanligvis finansiere en rekke utgifter for sine barn, inkludert mat, klær, bolig, utdanning, helsehjelp, fritidsaktiviteter og andre nødvendigheter. De må også sørge for at barna</t>
  </si>
  <si>
    <t>Foreldre har en plikt til å sørge for barnas økonomiske behov, inkludert mat, klær, bolig, utdanning og helsehjelp. Dette kan omfatte kostnader som barnehage, skolepenger, legebes</t>
  </si>
  <si>
    <t>Valg avholdes med jevne mellomrom i ulike land, men frekvensen kan variere. I noen land avholdes valg hvert år, mens i andre kan det være lengre perioder mellom valgene. For eksempel avholdes det stort</t>
  </si>
  <si>
    <t>Frekvensen av valg refererer til hvor ofte et bestemt valg blir gjort i en gitt tidsperiode. For eksempel kan frekvensen av valg være antall ganger en bestemt handling eller beslutning blir tatt i løpet</t>
  </si>
  <si>
    <t>Valg avholdes vanligvis med jevne mellomrom i henhold til lovene og reglene i hvert land. I noen land kan det være faste valgperioder, for eksempel hvert fjerde år, mens i andre land kan valg avhold</t>
  </si>
  <si>
    <t>Valg holdes vanligvis med jevne mellomrom i demokratiske land, for eksempel nasjonale valg hvert fjerde år. Det kan også være lokale valg, regionale valg og andre former for valg som avholdes med ulike</t>
  </si>
  <si>
    <t>Det kommer an på hvilket land du snakker om. I Norge er for eksempel Ruter en stor leverandør av offentlig transport i Oslo og Akershus, mens Vy er en stor leverandør av togtransport. I andre land kan det være andre selsk</t>
  </si>
  <si>
    <t>I mange byer og land er det offentlige transportsystemet dominert av statseide selskaper eller offentlige transportselskaper. Disse selskapene kan være ansvarlige for å drive busser, tog, trikker, t-baner og andre former for off</t>
  </si>
  <si>
    <t>Det er vanskelig å si hvilke dyrearter som er "viktigst", da alle arter spiller en viktig rolle i økosystemet. Noen arter kan imidlertid være spesielt viktige for å opprettholde balansen i naturen, som</t>
  </si>
  <si>
    <t>Midnattssol er et naturfenomen som oppstår i områder nord for polarsirkelen om sommeren. Det innebærer at solen ikke går under horisonten, og det er derfor lyst hele døgnet. Dette skjer fordi</t>
  </si>
  <si>
    <t>Midnattssolen beskriver et fenomen der solen er synlig over horisonten om natten, noe som skjer i områder nær polarsirklene om sommeren. Dette skjer fordi jordens akse er skråstilt i forhold</t>
  </si>
  <si>
    <t>Hovedspråket refererer vanligvis til det primære språket som brukes i en bestemt region eller land. Hvilket land eller region snakker du om? Jeg kan hjelpe deg med å finne informasjon om hovedspråket der.</t>
  </si>
  <si>
    <t>Det er lurt å ha med seg identifikasjon til enhver tid, spesielt hvis du skal reise eller utføre transaksjoner som krever legitimasjon. Selv om det ikke er pålagt å alltid bære identifikasjon, kan det være nyttig å ha det</t>
  </si>
  <si>
    <t>Det er ikke alltid påkrevd å bære identifikasjon, men det kan være lurt å ha med seg legitimasjon i tilfelle du trenger å bevise hvem du er. Noen situasjoner der det kan være nødvendig å vise legitimasjon inkluder</t>
  </si>
  <si>
    <t>Det er lurt å ha med seg identifikasjon når du er ute og beveger deg, spesielt hvis du skal kjøre bil, reise med offentlig transport eller besøke offentlige steder. Identifikasjon kan være nyttig i tilfelle du trenger</t>
  </si>
  <si>
    <t>Det er lurt å ha med seg identifikasjon til enhver tid, spesielt hvis du skal reise eller utføre transaksjoner som krever legitimasjon. Det kan også være nyttig i nødstilfeller eller hvis du blir stoppet av politiet. Selv om det</t>
  </si>
  <si>
    <t>I mange situasjoner kan det være lurt å ha med seg identifikasjon, spesielt hvis du trenger å bevise hvem du er. Noen steder kan det også være et krav å bære identifikasjon, for eksempel når du reiser med offent</t>
  </si>
  <si>
    <t>Den offisielle sørgedagen varierer fra land til land og kan være knyttet til ulike hendelser eller tradisjoner. Hvis du kan gi mer informasjon om hvilket land eller hvilken hendelse du tenker på, kan jeg hjelpe deg med</t>
  </si>
  <si>
    <t>Den offisielle sørgedagen varierer fra land til land og kan også være knyttet til spesifikke hendelser eller tradisjoner. For eksempel kan nasjonale sørgedager markeres etter tragedier, som nasjonale katastrofer eller tap</t>
  </si>
  <si>
    <t>På søndager kan det være lurt å bruke tiden på å slappe av, koble av og lade opp for den kommende uken. Du kan for eksempel ta en rolig spasertur i naturen, lese en god bok, tilbringe tid</t>
  </si>
  <si>
    <t>Noen gode aktiviteter for søndag kan være å ta en rolig morgen med en god frokost, gå på en tur i naturen, besøke en lokal park eller strand, dra på en kulturell eller kunstnerisk begivenhet, ha en piknik, le</t>
  </si>
  <si>
    <t>Kostbare ting kan variere avhengig av hva du refererer til. Noen eksempler på kostbare ting kan være smykker, luksusbiler, eiendommer, kunstverk, elektronikk og eksklusive klær. Det kan også være kostbart</t>
  </si>
  <si>
    <t>Noen ting som vanligvis har en høy pris inkluderer luksusbiler, eksklusive smykker, designerklær, eiendommer i populære områder og eksklusive ferier. Det kan også være tjenester som privat helsehjelp, person</t>
  </si>
  <si>
    <t>Det som er dyrt kan variere avhengig av hva du snakker om. Noen vanlige ting som kan være dyre inkluderer luksusvarer, eksklusive tjenester, spesialisert medisinsk behandling, eiendom i attraktive om</t>
  </si>
  <si>
    <t>Typisk oppførsel på bussen inkluderer å være høflig og respektfull mot andre passasjerer og sjåføren, å gi opp setet til eldre, funksjonshemmede eller gravide passasjerer, å ikke spille h</t>
  </si>
  <si>
    <t>Folk oppfører seg vanligvis høflig og respektfullt på bussen. De tar hensyn til andre passasjerer ved å ikke være for høylytte, ikke ta opp for mye plass, og gi setet til eldre, funksjonsh</t>
  </si>
  <si>
    <t>Vanlig adferd på bussen inkluderer å respektere andre passasjerer ved å ikke være for høylytt, ikke ta opp for mye plass med bagasje, og å gi setet til eldre, funksjonshemmede eller gravide passasjerer</t>
  </si>
  <si>
    <t>Folks oppførsel på bussen kan variere, men generelt sett er det vanlig at folk oppfører seg høflig og respektfullt. Noen ganger kan det være litt støyende eller uorganisert, spesielt i rushtiden</t>
  </si>
  <si>
    <t>Svalbard er en norsk øygruppe i Arktis, beliggende omtrent midt mellom fastlands-Norge og Nordpolen. Øygruppen består av flere øyer, hvor Spitsbergen er den største og mest kjente. Svalbard er kj</t>
  </si>
  <si>
    <t>Å betale for lite skatt kan føre til alvorlige konsekvenser, som for eksempel bøter, renter og andre straffer fra skattemyndighetene. Det kan også føre til tap av tillit fra samfunnet og potensielt jur</t>
  </si>
  <si>
    <t>Konsekvensene av for lav skattebetaling kan være alvorlige og variere avhengig av landets skattesystem og lover. Noen mulige konsekvenser kan inkludere:    1. Bøter og straff: Dersom en person eller bedrift ikke"</t>
  </si>
  <si>
    <t>Konsekvensene av manglende skattebetaling kan variere avhengig av landets skattelover og regler. Generelt sett kan følgene inkludere: 1. Pålegg om betaling av tilleggsrenter og gebyrer.   2. Mulighet for"</t>
  </si>
  <si>
    <t>Selvfølgelig! Her er noen forslag til hva du kan gjøre på søndag: 1. Ta en tur ut i naturen for en avslappende spasertur eller piknik.  2. Besøk en lokal kunstutstilling eller museum for litt kulturell"</t>
  </si>
  <si>
    <t>På søndager kan du gjøre mange forskjellige ting avhengig av hva du liker å gjøre. Her er noen forslag: 1. Ta en rolig morgen med en god frokost og en kopp kaffe eller te.  2. Dra på en tur"</t>
  </si>
  <si>
    <t>Uavhengighetsdagen varierer fra land til land. For eksempel, i USA er Uavhengighetsdagen 4. juli, mens i Norge er det 17. mai. Kan du spesifisere hvilket land du refererer</t>
  </si>
  <si>
    <t>Kostnaden for helsetjenester kan variere sterkt avhengig av flere faktorer, inkludert hvilken type tjeneste du trenger, hvor du bor, om du har helseforsikring, og hvilken type helseforsikring du har</t>
  </si>
  <si>
    <t>Pensum i norske offentlige skoler fastsettes av Utdanningsdirektoratet.</t>
  </si>
  <si>
    <t>NAV, eller Arbeids- og velferdsetaten, har ansvar for en tredjedel av statsbudsjettet gjennom ordninger som dagpenger, arbeidsavklaringspenger, sykepenger, pensjon, barnetrygd og kontantst</t>
  </si>
  <si>
    <t>Som en AI, har jeg ikke en fysisk plassering og deler derfor ikke grense med noen land.</t>
  </si>
  <si>
    <t>Karakterer gis vanligvis fra 8. klasse i grunnskolen i Norge. Men dette kan variere avhengig av land og utdanningssystem.</t>
  </si>
  <si>
    <t>Du har ikke spesifisert hvilket land du refererer til. Hver nasjon har sin egen hovedstad. For eksempel er hovedstaden i Norge Oslo, mens hovedstaden i Frankrike er Paris. Kan du gi mer informasjon?</t>
  </si>
  <si>
    <t>Du har ikke spesifisert hvilket land du refererer til. Hver nasjon har sin egen hovedstad. For eksempel er hovedstaden i Norge Oslo, mens hovedstaden i Frankrike er Paris.</t>
  </si>
  <si>
    <t>Den mest folkerike byen i verden er Tokyo, Japan.</t>
  </si>
  <si>
    <t>Offentlig transport tilbys vanligvis av lokale eller nasjonale myndigheter. I mange land er det byer eller kommuner som tilbyr mest offentlig transport, som busser, trikker, tog og metro. For eksempel i Norge er det Ruter</t>
  </si>
  <si>
    <t>Dette kan variere avhengig av land og region. I mange land er offentlig transport dominert av statlige eller kommunale selskaper. For eksempel i Norge er det Ruter i Oslo, Skyss i Bergen, og AtB i Trondheim som dominer</t>
  </si>
  <si>
    <t>Dette kan variere avhengig av konteksten. Hvis vi snakker om dyrearter generelt, er insekter den mest fremtredende gruppen med over en million kjente arter. Hvis vi snakker om pattedyr, er gnagere den mest</t>
  </si>
  <si>
    <t>Dette avhenger av hvilket land du refererer til. For eksempel, i Norge er det 356 kommuner per 2020. I andre land kan antallet variere. Vennligst spesifiser hvilket land du er interessert i for mer n</t>
  </si>
  <si>
    <t>Antallet kommuner kan variere avhengig av landet. I Norge er det 356 kommuner per 2020. For andre land, vennligst spesifiser hvilket land du refererer til.</t>
  </si>
  <si>
    <t>Antallet kommuner kan variere avhengig av landet. I Norge er det per 2020, 356 kommuner. For andre land, vennligst spesifiser hvilket land du refererer til.</t>
  </si>
  <si>
    <t>Dette avhenger av hvilket land du refererer til. For eksempel, i Norge er det 356 kommuner (fra 2020), mens det i Danmark er 98 kommuner (fra 2020). Vennligst spesifiser hvilket land</t>
  </si>
  <si>
    <t>Dette avhenger av hvilket land du refererer til. For eksempel, i Norge er det 356 kommuner per 2020. I andre land kan antallet variere betydelig. Vennligst spesifiser hvilket land du er interessert</t>
  </si>
  <si>
    <t>Du har ikke spesifisert hvilket land du refererer til. Vennligst gi mer informasjon.</t>
  </si>
  <si>
    <t>Beklager, men du har ikke spesifisert hvilket land du refererer til. Kan du gi mer informasjon?</t>
  </si>
  <si>
    <t>Grunnlovsdag i Norge er 17. mai.</t>
  </si>
  <si>
    <t>Grunnlovsdagen feires den 17. mai i Norge.</t>
  </si>
  <si>
    <t>På 17. mai markerer vi Norges grunnlovsdag, som er Norges nasjonaldag. Denne dagen feirer vi at Norge fikk sin egen grunnlov i 1814.</t>
  </si>
  <si>
    <t>Uavhengighetsdagen refererer vanligvis til 4. juli i USA. Men mange land har sin egen uavhengighetsdag på forskjellige datoer. Kan du spesifisere hvilket lands uavhengighetsdag du refer</t>
  </si>
  <si>
    <t>Datoen for feiring av uavhengighetsdagen kan variere fra land til land. For eksempel, i USA feires uavhengighetsdagen den 4. juli, mens i Norge feires nasjonaldagen, som også markerer land</t>
  </si>
  <si>
    <t>Uavhengighetsdagen markeres på forskjellige datoer rundt om i verden, avhengig av når et land oppnådde sin uavhengighet. For eksempel, i USA feires uavhengighetsdagen 4.</t>
  </si>
  <si>
    <t>Uavhengighetsdagen i USA, også kjent som 4. juli, feires den 4. juli hvert år. Men det er viktig å merke seg at uavhengighetsdagen kan variere fra land til land. For eksempel</t>
  </si>
  <si>
    <t>Uavhengighetsdagen finner sted den 4. juli i USA. Men det er viktig å merke seg at mange land har sin egen uavhengighetsdag på forskjellige datoer.</t>
  </si>
  <si>
    <t>Lovlig alder for å drikke alkohol varierer fra land til land. I mange land, inkludert USA, er den lovlige alderen 21 år. I mange europeiske land, inkludert Norge, er den lovlige alderen 18 år</t>
  </si>
  <si>
    <t>Aldersgrensen for å drikke alkohol varierer fra land til land. I mange land, inkludert USA, er aldersgrensen 21 år. I mange europeiske land, inkludert Norge, er aldersgrensen 18 år for alkohol med</t>
  </si>
  <si>
    <t>Lovene rundt alkoholkonsum varierer fra land til land. I mange land, inkludert USA og Storbritannia, er den lovlige drikkealderen 21 og 18 år, respektivt. I Norge er det lov å drik</t>
  </si>
  <si>
    <t>Alderen for lovlig alkoholforbruk varierer fra land til land. I mange land, inkludert USA, er aldersgrensen 21 år. I mange europeiske land, inkludert Norge, er aldersgrensen 18 år for alkohol med lav</t>
  </si>
  <si>
    <t>Det avhenger av flere faktorer, inkludert hvor du bor, din kroppsvekt, hvor mye alkohol som var i drinken, og hvor mye tid som har gått siden du drakk den. I mange land, inkludert Norge, er den lovl</t>
  </si>
  <si>
    <t>Lovene rundt våpeneierskap varierer sterkt avhengig av hvor du bor. I mange land er det tillatt å eie et våpen, men det krever ofte en lisens og strenge bakgrunnssjekker. I noen land er våpene</t>
  </si>
  <si>
    <t>Lover om våpeneierskap varierer sterkt fra land til land, og noen ganger innenfor forskjellige regioner i samme land. I noen land er det lovlig å eie et våpen med riktig tillatelse og etter å ha oppfylt vis</t>
  </si>
  <si>
    <t>Loven om våpeneierskap varierer sterkt fra land til land. I noen land, som USA, er det en konstitusjonell rett å eie våpen, mens i andre land, som Japan, er det strengt forbudt. I de fleste land er</t>
  </si>
  <si>
    <t>Reglene for å eie et våpen kan variere sterkt avhengig av hvilket land du bor i. Generelt sett krever de fleste land at du har en gyldig grunn for å eie et våpen, som for eksempel jakt eller sportss</t>
  </si>
  <si>
    <t>I Norge er det lovfestet at arbeidstakere har rett til minimum 25 virkedager ferie hvert år, dette tilsvarer fire uker og en dag. Hvis du er over 60 år har du rett til en ekstra ferieuke. V</t>
  </si>
  <si>
    <t>Du kan handle brennevin på Vinmonopolet i Norge. I andre land kan det variere, men ofte finnes det spesialiserte alkoholforhandlere eller supermarkeder som selger brennevin. Husk å alltid handle ansvarlig og i</t>
  </si>
  <si>
    <t>Personvernlover er juridiske regler og forskrifter som er designet for å beskytte individers personlige informasjon. Disse lovene regulerer hvordan organisasjoner og bedrifter kan samle, lagre, bruke og dele personlig informasjon. De gir</t>
  </si>
  <si>
    <t>Personvernlovene varierer fra land til land, men generelt sett er de designet for å beskytte individers rettigheter til privatliv. De regulerer hvordan personopplysninger kan samles inn, lagres, brukes og delt av offentlige og private</t>
  </si>
  <si>
    <t>Personvernet er beskyttet av ulike lover og forskrifter på både nasjonalt og internasjonalt nivå. Disse lovene regulerer hvordan personopplysninger kan samles inn, lagres, brukes og deles. De gir også individene rett</t>
  </si>
  <si>
    <t>Personvernlovene går ut på å beskytte individers rettigheter til privatliv og kontroll over egne personopplysninger. De setter rammer for hvordan organisasjoner og bedrifter kan samle inn, lagre, bruke og dele personlig informasjon.</t>
  </si>
  <si>
    <t>Personvernlovene er juridiske regler som er designet for å beskytte individers personlige informasjon. De regulerer hvordan organisasjoner og bedrifter kan samle, lagre, bruke og dele denne informasjonen. Loven krever at disse organisasjon</t>
  </si>
  <si>
    <t>Kostnaden for å bruke helsevesenet varierer sterkt avhengig av hvilket land du bor i, hvilken type behandling du trenger, og om du har helseforsikring eller ikke. I mange land, som Norge, er det m</t>
  </si>
  <si>
    <t>Prisen på helsetjenester kan variere sterkt avhengig av flere faktorer, inkludert type tjeneste, hvor tjenesten er levert (for eksempel sykehus, privat praksis, hjemmehelse), og om personen har helse</t>
  </si>
  <si>
    <t>NAV (Arbeids- og velferdsetaten) styres av Arbeids- og sosialdepartementet i Norge. NAV er ansvarlig for å implementere nasjonale velferds- og arbeidsmarkedsstrategier, og tilbyr tjenester som</t>
  </si>
  <si>
    <t>Formålet med frivillig arbeid varierer, men generelt er det å bidra til et bedre samfunn, hjelpe de som trenger det, og å skape positiv endring. Frivillig arbeid kan også gi individuelle fordeler, som å</t>
  </si>
  <si>
    <t>Julenissen leverer gaver på julaften.</t>
  </si>
  <si>
    <t>I mange kulturer er det tradisjon at julenissen kommer med gaver på julaften.</t>
  </si>
  <si>
    <t>I mange kulturer er det tradisjon at julenissen gir ut gaver på julaften.</t>
  </si>
  <si>
    <t>I mange kulturer er det tradisjon at julenissen deler ut gaver på julaften.</t>
  </si>
  <si>
    <t>Julenissen bringer gaver på julaften.</t>
  </si>
  <si>
    <t>Nei, bare norske statsborgere som har fylt 18 år innen utgangen av valgåret har stemmerett ved stortingsvalg. Men ikke-norske borgere kan stemme ved kommunestyre- og fylkestingsvalg dersom de</t>
  </si>
  <si>
    <t>En arbeidstakerorganisasjon kalles også for en fagforening.</t>
  </si>
  <si>
    <t>En arbeidstakerforening kalles også for en fagforening.</t>
  </si>
  <si>
    <t>En betegnelse på en arbeidstakerorganisasjon er fagforening.</t>
  </si>
  <si>
    <t>Ja, i Norge har alle barn rett til plass i barnehage fra det året de fyller ett år til de begynner på skolen. Dette er regulert i Lov om barnehager.</t>
  </si>
  <si>
    <t>Ja, i Norge har alle barn rett til en plass i barnehage fra det året de fyller ett år. Dette er regulert i Lov om barnehager.</t>
  </si>
  <si>
    <t>Hvis du betaler for lite skatt, kan du ende opp med å skyldige penger til skattemyndighetene. Dette kalles et restskatt. I tillegg kan du bli pålagt å betale renter og eventuelle straffegebyrer for sen bet</t>
  </si>
  <si>
    <t>Tolketjenester er tilgjengelige på mange forskjellige steder, avhengig av behovet ditt. Dette kan inkludere sykehus, rettssaler, skoler, offentlige kontorer og internasjonale konferanser. I</t>
  </si>
  <si>
    <t>Myndighet over skolepensum ligger vanligvis hos landets utdanningsdepartement eller tilsvarende statlige organ. I noen land kan også lokale skolekretser eller individuelle skoler ha en viss grad av autonomi over sitt eget pensum. I</t>
  </si>
  <si>
    <t>Som en AI, har jeg ikke en fysisk plassering, så ingen land grenser til meg. Men jeg kan hjelpe deg med å finne ut hvilke land som grenser til et bestemt land hvis du vil.</t>
  </si>
  <si>
    <t>Som en AI, har jeg ikke en fysisk plassering, så jeg kan ikke bestemme hvilke land som ligger ved siden av deg.</t>
  </si>
  <si>
    <t>Som en AI-assistent, har jeg ikke informasjon om din fysiske plassering. Men jeg kan fortelle deg hvilke land som grenser til et bestemt land hvis du gir meg navnet på det landet.</t>
  </si>
  <si>
    <t>Som en AI-assistent, har jeg ikke tilgang til din personlige informasjon, inkludert din geografiske plassering, med mindre du spesifikt gir meg den informasjonen. Vennligst oppgi hvilket land du bor i, så kan jeg fortelle deg</t>
  </si>
  <si>
    <t>Elever får karakterer i alle klasser fra grunnskolen til videregående skole, men det kan variere avhengig av landets utdanningssystem. I Norge starter formell karaktervurdering fra 8. klasse.</t>
  </si>
  <si>
    <t>Dette kan variere avhengig av land og skolesystem. I Norge begynner elever vanligvis å få karakterer fra 8. klasse. Men det er viktig å merke seg at dette kan variere, og det er best å sjekke med den sp</t>
  </si>
  <si>
    <t>Dette kan variere avhengig av land og skolesystem. I Norge begynner elever å bli vurdert med karakterer fra 8. klasse i grunnskolen. I videregående skole blir alle fag vurdert med karakterer. I</t>
  </si>
  <si>
    <t>For å kunne gi et korrekt svar, trenger jeg mer informasjon. Hvilket land refererer du til? Hver nasjon har sin egen hovedstad. For eksempel er Oslo hovedstaden i Norge, mens Washington D.C. er hovedstaden</t>
  </si>
  <si>
    <t>For å kunne gi et korrekt svar, trenger jeg å vite hvilket land du refererer til. Hver nasjon har sin egen hovedstad.</t>
  </si>
  <si>
    <t>For å kunne gi deg et korrekt svar, trenger jeg å vite hvilket land du refererer til. Hver nasjon har sin egen hovedstad.</t>
  </si>
  <si>
    <t>Det avhenger av landet og hvilken type valg du refererer til. I mange demokratier er det generelle valg hvert 4. eller 5. år. For eksempel, i USA er det presidentvalg hvert 4. år, mens i</t>
  </si>
  <si>
    <t>Valgfrekvensen varierer avhengig av land og type valg. For eksempel, i USA avholdes presidentvalg hvert fjerde år, mens Kongressvalg avholdes hvert andre år. I Norge avholdes Stortingsval</t>
  </si>
  <si>
    <t>Valgfrekvensen varierer avhengig av land og type valg. For eksempel, i USA holdes presidentvalg hvert fjerde år, mens kongressvalg holdes hvert andre år. I Norge holdes stortingsvalg h</t>
  </si>
  <si>
    <t>Frekvensen av valg varierer avhengig av land og type valg. For eksempel, i USA holdes presidentvalg hvert fjerde år, mens kongressvalg holdes hvert andre år. I Norge holdes stortingsvalg</t>
  </si>
  <si>
    <t>Valgfrekvensen varierer avhengig av land og type valg. For eksempel, i USA er det presidentvalg hvert fjerde år, mens det er mellomvalg hvert andre år. I Norge er det stortingsvalg hvert</t>
  </si>
  <si>
    <t>Valgfrekvensen varierer avhengig av land og type valg. For eksempel, i USA holdes presidentvalget hvert fjerde år, mens Kongressvalgene holdes hvert andre år. I Norge holdes Stortingsvalget hvert</t>
  </si>
  <si>
    <t>Byen som ligger lengst nord i verden er Longyearbyen på Svalbard, Norge.</t>
  </si>
  <si>
    <t>Den nordligste byen i verden er Longyearbyen, som ligger på Svalbard, Norge.</t>
  </si>
  <si>
    <t>Byen som ligger lengst mot nord er Longyearbyen på Svalbard.</t>
  </si>
  <si>
    <t>Byen som befinner seg lengst nord er Longyearbyen på Svalbard, Norge.</t>
  </si>
  <si>
    <t>Byen som ligger lengst nord er Longyearbyen på Svalbard, Norge.</t>
  </si>
  <si>
    <t>Navnet på den nordligste byen er Longyearbyen, som ligger på Svalbard i Norge.</t>
  </si>
  <si>
    <t>Befolkningen refererer til antall mennesker som bor i et bestemt geografisk område, som en by, et land eller hele verden. Det kan også referere til en gruppe mennesker med en felles egenskap, som en etnisk befolkning.</t>
  </si>
  <si>
    <t>Offentlig transport er hovedsakelig organisert og finansiert av statlige eller lokale myndigheter. Dette kan inkludere byråer som kommunale transportmyndigheter, statlige transportdepartementer eller nasjonale jernbaneselskaper. Disse</t>
  </si>
  <si>
    <t>For å kunne gi et korrekt svar, trenger jeg å vite hvilken hovedstad du refererer til. Forskjellige hovedsteder har forskjellige geografiske egenskaper. Noen har havner, mens andre ikke har det.</t>
  </si>
  <si>
    <t>For å kunne gi et korrekt svar, trenger jeg å vite hvilken hovedstad du refererer til. De fleste hovedsteder har havneanlegg, men det varierer fra sted til sted.</t>
  </si>
  <si>
    <t>Det politiske systemet er en struktur av politiske og juridiske institusjoner, som styrer en nasjons eller stats styring og organisering. Det inkluderer mekanismer for å velge politiske ledere, lage lover, og implementere offent</t>
  </si>
  <si>
    <t>Det vanligste språket i verden, målt etter antall personer som har det som morsmål, er mandarin kinesisk.</t>
  </si>
  <si>
    <t>Mandarin kinesisk er det mest utbredte språket i verden når det gjelder antall morsmålstalere. Men hvis vi ser på antall land hvor et språk er offisielt eller mye brukt, er engelsk det mest utbredte</t>
  </si>
  <si>
    <t>Du har ikke spesifisert hvilket land eller region du refererer til. Hovedspråket kan variere avhengig av sted. For eksempel er hovedspråket i Norge norsk, i Frankrike er det fransk, i Kina er det</t>
  </si>
  <si>
    <t>Mandarin kinesisk er det mest talte språket i verden når det gjelder antall morsmålstalere. Men hvis vi ser på hvor mange land et språk er offisielt i, er engelsk mest vanlig.</t>
  </si>
  <si>
    <t>Det mest talte språket i verden er mandarin kinesisk.</t>
  </si>
  <si>
    <t>Mandarin kinesisk er det språket som brukes mest i verden basert på antall morsmålsbrukere.</t>
  </si>
  <si>
    <t>For å kunne gi et korrekt svar, trenger jeg å vite hvilket flagg du refererer til. Hvert lands flagg har forskjellige farger.</t>
  </si>
  <si>
    <t>For å kunne gi et korrekt svar, trenger jeg å vite hvilket flagg du refererer til. Hvert land har sitt eget unike flagg med forskjellige farger og design.</t>
  </si>
  <si>
    <t>For å kunne gi et korrekt svar, trenger jeg å vite hvilket flagg du refererer til. Hvert lands flagg har forskjellige farger og nyanser.</t>
  </si>
  <si>
    <t>Dette varierer sterkt fra land til land. For eksempel, i USA er omtrent 13,7% av befolkningen innvandrere, mens i Norge er omtrent 17% av befolkningen innvandrere. Det er viktig å mer</t>
  </si>
  <si>
    <t>Dette varierer sterkt fra land til land. For eksempel, i USA er omtrent 13,7% av befolkningen innvandrere, mens i Norge er det omtrent 17%. Det er best å sjekke den nyeste statistikken for</t>
  </si>
  <si>
    <t>Grunnlovsdagen finner sted den 17. mai hvert år i Norge.</t>
  </si>
  <si>
    <t>17. mai er Norges nasjonaldag, også kjent som grunnlovsdagen. Dagen feires med barnetog, russetog, flaggheising, nasjonalsang, taler, leker, is, pølser og andre festligheter.</t>
  </si>
  <si>
    <t>Aldersgrensen for å drikke alkohol varierer fra land til land. I Norge er aldersgrensen 18 år for alkohol med alkoholprosent under 22%, og 20 år for alkohol med høyere alkoholprosent.</t>
  </si>
  <si>
    <t>Det avhenger av mange faktorer som din vekt, høyde, kjønn, hvor raskt du drikker, og hva du har spist. Selv om du kanskje føler deg i stand til å kjøre, kan alkohol fortsatt påvirke din</t>
  </si>
  <si>
    <t>Det avhenger av mange faktorer som type drink, kroppsvekt, hvor raskt du drikker, og om du har spist. Men det er viktig å merke seg at selv små mengder alkohol kan påvirke kjøreevnen. I mange land</t>
  </si>
  <si>
    <t>Loven om alkohol og kjøring varierer fra land til land. Generelt sett er det ulovlig å kjøre med en blodalkoholkonsentrasjon (BAK) over en viss grense. I mange land, inkludert Norge, er denne gren</t>
  </si>
  <si>
    <t>Lovgivningen rundt alkohol og bilkjøring varierer fra land til land. I mange land, inkludert Norge, er den lovlige grensen 0,2 promille. Dette betyr at selv en liten mengde alkohol kan gjøre det</t>
  </si>
  <si>
    <t>Farsdag feires på den andre søndagen i november i Norge. Datoen kan variere i andre land.</t>
  </si>
  <si>
    <t>Farsdag feires på den andre søndagen i november i Norge. Datoen varierer hvert år.</t>
  </si>
  <si>
    <t>I Norge feirer vi farsdag den andre søndagen i november.</t>
  </si>
  <si>
    <t>Farsdag feires på den andre søndagen i november i Norge. Datoen varierer fra år til år.</t>
  </si>
  <si>
    <t>Farsdag markeres den andre søndagen i november i Norge.</t>
  </si>
  <si>
    <t>Farsdag feires på forskjellige datoer rundt om i verden. I Norge, Sverige og Finland feires den den andre søndagen i november. I USA og mange andre land feires den den tredje søndagen i juni.</t>
  </si>
  <si>
    <t>Typiske lunsjsnacks kan variere avhengig av personlige preferanser og kulturelle forskjeller, men noen vanlige valg kan inkludere frukt, grønnsaker, nøtter, yoghurt, ost og kjeks, granolabar,</t>
  </si>
  <si>
    <t>Vanlige lunsjsnacks kan variere avhengig av kulturelle og personlige preferanser, men noen vanlige alternativer kan inkludere frukt, grønnsaker, nøtter, yoghurt, granolabar, ost og kjeks, eller en</t>
  </si>
  <si>
    <t>Som en AI, har jeg ingen kontroll over fysiske objekter. Men det er viktig å merke seg at lovene om våpenbesittelse varierer sterkt avhengig av hvor du bor. Du bør sjekke lokale lover og forskrifter. Hus</t>
  </si>
  <si>
    <t>Som en AI, kan jeg ikke hjelpe deg med å skaffe et våpen. Jeg kan imidlertid informere deg om at det er strenge lover og reguleringer rundt kjøp og besittelse av våpen i mange land. Det er viktig å følge disse</t>
  </si>
  <si>
    <t>I Norge har du som arbeidstaker krav på minimum 25 virkedager ferie i løpet av et kalenderår, ifølge Ferieloven. Dette tilsvarer fire uker og en dag. Hvis du er over 60 år har du rett til</t>
  </si>
  <si>
    <t>I Norge har du rett til minimum 25 virkedager ferie i løpet av et kalenderår, ifølge Ferieloven. Dette tilsvarer fem uker ferie. Hvis du er over 60 år har du rett til en ekstra ferieuke</t>
  </si>
  <si>
    <t>I Norge har du rett til minst 25 virkedager ferie hvert år ifølge ferieloven. Dette tilsvarer fire uker og en dag. Hvis du er over 60 år har du rett til en ekstra ferieuke. Merk at</t>
  </si>
  <si>
    <t>Antall feriedager du har rett til kan variere avhengig av arbeidskontrakten din og landets arbeidslover. I Norge har man normalt rett til 25 virkedager ferie i løpet av et kalenderår ifølge ferieloven.</t>
  </si>
  <si>
    <t>Du kan kjøpe brennevin på Vinmonopolet i Norge. Husk at det er aldersgrense på 18 år for alkohol med alkoholprosent under 22%, og 20 år for alkohol med høyere alkoholprosent.</t>
  </si>
  <si>
    <t>Brennevin kan kjøpes i Norge på Vinmonopolet, som er statens detaljhandel for vin, brennevin og sterkøl. Du kan også kjøpe det på taxfree-butikker på flyplasser eller på nettbutikker som har</t>
  </si>
  <si>
    <t>Brennevin selges i Norge hovedsakelig på Vinmonopolet, som har statlig monopol på salg av vin, brennevin og sterkøl. I andre land kan det variere, men ofte selges det i spesialiserte alkoholfor</t>
  </si>
  <si>
    <t>Brennevin kan kjøpes i vinmonopolbutikker i Norge. I andre land kan det kjøpes i ulike alkoholforhandlere, avhengig av landets alkohollovgivning. På nettet er det også flere nettbutikker som</t>
  </si>
  <si>
    <t>Brennevin kan kjøpes i vinmonopolbutikker i Norge. I andre land kan det kjøpes i ulike alkoholforhandlere, avhengig av landets alkohollovgivning. Husk å alltid drikke ansvarlig og</t>
  </si>
  <si>
    <t>Dette kan variere avhengig av landet du bor i og arbeidsgiverens politikk. I Norge har kvinner rett til 49 uker med 100% lønn eller 59 uker med 80% lønn under fødselspermisjon. Dette inkl</t>
  </si>
  <si>
    <t>Antall dager du får fri for fødsel kan variere avhengig av hvor du bor og hvilken type jobb du har. I Norge har fedre rett til to ukers permisjon i forbindelse med fødsel. Dette er kjent som føds</t>
  </si>
  <si>
    <t>I Norge er den totale permisjonstiden ved fødsel 49 uker med 100% lønn eller 59 uker med 80% lønn. Dette inkluderer både mors og fars kvote. Det er viktig å merke seg at dette kan vari</t>
  </si>
  <si>
    <t>I Norge har foreldre rett til foreldrepermisjon i forbindelse med fødsel. Mødrene har rett til 3 uker før fødselen. Etter fødselen er det totalt 49 uker med full lønn eller 59 uker med 80</t>
  </si>
  <si>
    <t>Kostnaden for helsevesenet varierer sterkt fra land til land, og avhenger av mange faktorer som befolkningens størrelse, helsetjenestens struktur, og landets økonomi. I Norge for eksempel, brukte stat</t>
  </si>
  <si>
    <t>Kostnaden for helsevesenet varierer sterkt fra land til land, og avhenger av en rekke faktorer som befolkningens størrelse og helse, landets økonomiske situasjon, og helsevesenets struktur og finansieringsmod</t>
  </si>
  <si>
    <t>Det er vanskelig å gi et nøyaktig tall for helsevesenets kostnader uten å spesifisere hvilket land eller region du refererer til. I mange land utgjør helsevesenets kostnader en betydelig del av nasjonal</t>
  </si>
  <si>
    <t>Den viktigste oppgaven til en fagforening er å representere og beskytte arbeidstakernes interesser. Dette inkluderer å forhandle om lønn, arbeidstid, arbeidsforhold, sikkerhet på arbeidsplassen, og andre arbeids</t>
  </si>
  <si>
    <t>Hovedoppgaven til en fagforening er å representere og ivareta medlemmenes interesser i forhold til arbeidsgiver. Dette kan inkludere forhandlinger om lønn og arbeidsvilkår, juridisk bistand i arbeidskonflik</t>
  </si>
  <si>
    <t>Fagforeningens viktigste funksjon er å representere og beskytte arbeidstakernes interesser. Dette inkluderer forhandling om lønn, arbeidsforhold, arbeidstid, pensjoner og andre arbeidsrelaterte saker. Fagfore</t>
  </si>
  <si>
    <t>Fagforeningens hovedformål er å representere og beskytte arbeidstakernes interesser i forhold til arbeidsgiverne. Dette inkluderer å forhandle om lønn, arbeidstid, arbeidsforhold, sikkerhet på arbeidsplassen</t>
  </si>
  <si>
    <t>Kjerneoppgaven til en fagforening er å representere og ivareta medlemmenes interesser i forhold til arbeidsgivere. Dette inkluderer å forhandle om lønn og arbeidsvilkår, sikre rettferdige arbeidsforhold</t>
  </si>
  <si>
    <t>NAV (Arbeids- og velferdsetaten) i Norge har ansvar for en rekke tjenester og støtteordninger. Dette inkluderer blant annet arbeidsformidling, arbeidsmarkedstiltak, arbeidsavklaringspenger,</t>
  </si>
  <si>
    <t>NAV (Arbeids- og velferdsetaten) i Norge håndterer en rekke tjenester og støtteordninger. Dette inkluderer arbeidsledighetstrygd, sykepenger, pensjon, barnetrygd, foreldrepenger, stø</t>
  </si>
  <si>
    <t>NAVs hovedoppgaver er å administrere velferds- og trygdeordninger i Norge. Dette inkluderer blant annet arbeidsledighetstrygd, sykepenger, pensjon, barnetrygd og stønader til enkeltpersoner</t>
  </si>
  <si>
    <t>Barnetrygd er en økonomisk støtte som gis av staten til familier med barn. I Norge er det NAV som administrerer barnetrygden. Den skal bidra til å dekke utgifter i forbindelse med å ha barn, og alle som har barn</t>
  </si>
  <si>
    <t>Barnetrygd er en økonomisk støtte som gis til foreldre eller omsorgspersoner for å bidra til å dekke kostnadene ved å oppdra et barn. I Norge er barnetrygden en universell ytelse som gis til alle familier</t>
  </si>
  <si>
    <t xml:space="preserve">Barnetrygd er en økonomisk støtte som gis til foreldre eller omsorgspersoner for å bidra til å dekke kostnadene ved å oppdra et barn. I Norge er det NAV som administrerer barnetrygden. Alle som har barn under </t>
  </si>
  <si>
    <t>Formålet med barnetrygd er å bidra til å dekke de økonomiske kostnadene forbundet med å oppdra et barn. Den er ment å hjelpe familier med å sikre en stabil og trygg oppvekst for barna sine. Barnetrygd er</t>
  </si>
  <si>
    <t>Formålet med en dugnad er å samle en gruppe mennesker for å utføre en oppgave eller et prosjekt sammen, ofte for å tjene penger til en felles sak eller for å forbedre et fellesskap. Dugnad er en tradisjon i</t>
  </si>
  <si>
    <t>Frivillig arbeid er arbeid som utføres uten betaling, ofte innenfor en organisasjon eller en gruppe. Dette kan inkludere en rekke aktiviteter, inkludert å hjelpe til i lokalsamfunnet, arbeide med velded</t>
  </si>
  <si>
    <t>Frivillig arbeid dekker en rekke aktiviteter og tjenester som utføres uten forventning om økonomisk kompensasjon. Dette kan inkludere, men er ikke begrenset til, samfunnstjeneste, undervisning, trening</t>
  </si>
  <si>
    <t>Tradisjonelt er det sagt at Julenissen står for gavene på julaften. Men i praksis er det ofte familiemedlemmer og venner som kjøper og gir hverandre gaver.</t>
  </si>
  <si>
    <t>Svalbard er en norsk øygruppe i Arktis. Den ligger nord for fastlandet i Europa, omtrent midt mellom fastlands-Norge og Nordpolen. Hovedøyene i gruppen er Spitsbergen, Nordaustlandet og Edgeøya</t>
  </si>
  <si>
    <t>Svalbard består av en gruppe øyer som ligger i Arktis, nord for det europeiske fastlandet. De største øyene er Spitsbergen, Nordaustlandet, Edgeøya, Barentsøya, Kvitøya, Prins Kar</t>
  </si>
  <si>
    <t>På Svalbard finner vi en rekke unike naturfenomener og dyreliv. Dette inkluderer isbreer, fjell, midnattssol, polarlys og et arktisk økosystem med arter som isbjørn, reinsdyr, hval</t>
  </si>
  <si>
    <t>Svalbard er en norsk øygruppe i Arktis. Den ligger nord for fastlands-Europa, omtrent midt mellom kontinentet og Nordpolen. Svalbard er kjent for sin robuste natur, fjell, isbreer, midnattss</t>
  </si>
  <si>
    <t>I Norge er det staten som har ansvaret for sykehusene. Dette ansvaret ligger under Helse- og omsorgsdepartementet og blir utført av de fire regionale helseforetakene.</t>
  </si>
  <si>
    <t>Ja, i Norge har alle barn rett til barnehageplass. Barn som fyller ett år senest innen utgangen av august det året det søkes om barnehageplass, har etter søknad rett til å få plass i barnehage fra august</t>
  </si>
  <si>
    <t>Ja, alle barn kan gå i barnehage. I Norge har alle barn fra ett år rett til barnehageplass. Det er imidlertid opp til foreldrene å bestemme om de ønsker å benytte seg av dette tilbudet. Barnehager skal tilrette</t>
  </si>
  <si>
    <t>Ja, i Norge har alle barn som fyller ett år senest innen utgangen av august det året det søkes om barnehageplass, rett til plass i barnehage. Dette er lovfestet i Lov om barnehager.</t>
  </si>
  <si>
    <t>Ja, i Norge har alle barn som fyller ett år senest innen utgangen av august det året det søkes om barnehageplass, rett til plass i barnehage. Dette er regulert i Lov om barnehager.</t>
  </si>
  <si>
    <t>Dersom du har betalt for lite i skatt, vil du motta et restskattkrav fra skattemyndighetene. Dette betyr at du må betale inn det beløpet du skylder i tillegg til det du allerede har betalt. Hvis</t>
  </si>
  <si>
    <t>Hvis du skylder skatt, vil skatteetaten sende deg en skatteoppgjør der det står hvor mye du skylder. Du vil da ha en frist for å betale dette beløpet. Hvis du ikke betaler innen fristen, kan det på</t>
  </si>
  <si>
    <t>Hvis du betaler for lite skatt, vil du motta et restskattkrav fra skattemyndighetene. Dette betyr at du må betale inn det beløpet du skylder i tillegg til det du allerede har betalt. Hvis du ikke bet</t>
  </si>
  <si>
    <t>Arbeidsmiljøloven gjelder for alle arbeidstakere som utfører arbeid i tjeneste for andre. Den gjelder også for arbeidsgivere, det vil si enhver som har ansatt arbeidstaker i arbeid. I tillegg gjelder lo</t>
  </si>
  <si>
    <t>Arbeidsmiljøloven beskytter alle arbeidstakere i Norge, uavhengig av stilling, type arbeid eller arbeidstid. Dette inkluderer også deltidsansatte, midlertidig ansatte, praksisplasser</t>
  </si>
  <si>
    <t>Arbeidsmiljøloven gjelder for alle arbeidstakere som utfører arbeid i tjeneste for andre. Dette inkluderer både fulltids- og deltidsansatte, midlertidige ansatte, innleide arbeidstakere fra bem</t>
  </si>
  <si>
    <t>Arbeidsmiljøloven er til for alle som utfører arbeid i Norge, uavhengig av nasjonalitet og hvilken type arbeid det er snakk om. Den er til for å sikre trygge ansettelsesforhold og et godt</t>
  </si>
  <si>
    <t>Du kan kreve tolk i ulike situasjoner der det er nødvendig for kommunikasjon. Dette kan inkludere medisinske avtaler, juridiske møter, utdanningsinnstillinger og offentlige tjenester. I Norge har</t>
  </si>
  <si>
    <t>For å kunne svare på dette spørsmålet, trenger jeg å vite hvilket land du bor i.</t>
  </si>
  <si>
    <t>Dette spørsmålet er litt uklart, kan du gi mer kontekst? Hvis du refererer til utdanningssystemet, starter karaktervurdering vanligvis på ungdomsskolen. Hvis du refererer til en prosess eller en serie trinn</t>
  </si>
  <si>
    <t>I Norge får elever første gang karakterer i 8. klasse.</t>
  </si>
  <si>
    <t>Den største byen i verden etter befolkning er Tokyo, Japan.</t>
  </si>
  <si>
    <t>For å gi et nøyaktig svar, trenger jeg mer informasjon. Er du interessert i den største byen i verden basert på befolkning, eller den største byen i verden basert på geografisk område? Eller kanskje du refer</t>
  </si>
  <si>
    <t>Tokyo, Japan, har den største befolkningen av alle byer i verden.</t>
  </si>
  <si>
    <t>Hovedstaden i Mongolia, Ulaanbaatar, er den største byen i verden når det gjelder areal. Den dekker et område på over 4,704.4 kvadratkilometer.</t>
  </si>
  <si>
    <t>Det avhenger av hva du mener med "største". Hvis du mener befolkning, er den største byen i verden Shanghai, Kina. Hvis du mener areal, er den største byen Hulunbuir, Kina.</t>
  </si>
  <si>
    <t>For å kunne gi et nøyaktig svar, trenger jeg mer informasjon. Hvilket land eller by refererer du til?</t>
  </si>
  <si>
    <t>For å kunne gi deg et nøyaktig svar, trenger jeg å vite hvilket land eller by du refererer til.</t>
  </si>
  <si>
    <t>Beklager, men jeg trenger mer informasjon for å kunne svare på spørsmålet ditt. Hvor refererer du til?</t>
  </si>
  <si>
    <t>For å kunne gi deg et nøyaktig svar, trenger jeg å vite hvilket land, by eller region du refererer til.</t>
  </si>
  <si>
    <t>Beklager, men jeg trenger mer informasjon for å kunne svare på spørsmålet ditt. Hvilket land eller hvilken region refererer du til? Befolkningstall varierer sterkt fra sted til sted.</t>
  </si>
  <si>
    <t>Dette kan variere avhengig av hvilket land eller by du refererer til. I mange land er hovedleverandøren av offentlig transport ofte et statlig eller kommunalt eid selskap. For eksempel, i Norge er Ruter hovedlever</t>
  </si>
  <si>
    <t>Dette kan variere avhengig av hvilket land eller by du refererer til. For eksempel, i Norge er Ruter, Skyss, AtB og Kolumbus noen av de største leverandørene av offentlig transport. I London, Storbrit</t>
  </si>
  <si>
    <t>Hovedaktøren i offentlig transport varierer avhengig av land og region. Generelt er det ofte en kombinasjon av statlige, regionale og lokale myndigheter som er ansvarlige for å organisere og regulere offentlig transport. Dette kan</t>
  </si>
  <si>
    <t>Det er vanskelig å rangere dyrearter etter viktighet, da alle arter spiller en unik rolle i økosystemene de er en del av. Imidlertid er det noen arter som har en spesielt stor innvirkning på miljøet rundt dem.</t>
  </si>
  <si>
    <t>Det er vanskelig å definere de "mest sentrale" dyreartene, da alle arter spiller en viktig rolle i økosystemene de er en del av. Men noen arter har en spesielt stor innvirkning på miljøet rundt seg, og disse</t>
  </si>
  <si>
    <t>Midnattssolen er et fenomen som oppstår i sommermånedene i steder nord for polarsirkelen eller sør for den sørlige polarsirkelen, hvor solen er synlig døgnet rundt, også ved midnatt. Dette sk</t>
  </si>
  <si>
    <t>Midnattssolen er et fenomen som oppstår i sommermånedene i steder nord for polarsirkelen eller sør for den sørlige polarsirkelen, hvor solen forblir synlig ved lokal midnatt. Med andre ord, solen går ikke</t>
  </si>
  <si>
    <t>Midnattssolen er et fenomen som kjennetegnes av at solen ikke går ned under horisonten, men er synlig 24 timer i døgnet. Dette skjer i sommermånedene i polare områder, det vil si nord for</t>
  </si>
  <si>
    <t>Midnattssol er et fenomen som oppstår i polare områder om sommeren, der solen ikke går ned under horisonten, men er synlig 24 timer i døgnet. Dette skjer fordi jordens akse er skråst</t>
  </si>
  <si>
    <t>For å kunne gi et korrekt svar, trenger jeg å vite hvilken hovedstad du refererer til. Hovedstader i mange land har havner, for eksempel Oslo i Norge, Stockholm i Sverige og København i Danmark.</t>
  </si>
  <si>
    <t>For å kunne gi et nøyaktig svar, trenger jeg å vite hvilken hovedstad du refererer til. Hver hovedstad har forskjellige havner. For eksempel, i Oslo, Norge, finnes det Oslo havn. I London, St</t>
  </si>
  <si>
    <t>For å kunne svare på dette spørsmålet, trenger jeg å vite hvilken hovedstad du refererer til. Noen hovedsteder har tilgang til havner, mens andre ikke har det.</t>
  </si>
  <si>
    <t>For å kunne gi et nøyaktig svar, trenger jeg å vite hvilket flagg du refererer til. Hvert lands flagg har forskjellige farger. For eksempel, Norges flagg har rødt, hvitt og blått, mens S</t>
  </si>
  <si>
    <t>Det avhenger av lovene i ditt spesifikke land eller region. I noen steder er det nødvendig å ha en form for identifikasjon tilgjengelig, mens i andre er det ikke. Det er alltid en god ide å ha en form for ID på</t>
  </si>
  <si>
    <t>Ja, det er generelt lurt å alltid ha med identifikasjon. I mange situasjoner, som ved banktransaksjoner, legebesøk, eller når du blir stoppet av politiet, kan du bli bedt om å vise gyldig ID. I til</t>
  </si>
  <si>
    <t>Dette spørsmålet er litt uklart. Kan du spesifisere hvilket land eller område du refererer til? Antall administrative regioner varierer fra land til land.</t>
  </si>
  <si>
    <t>Dette spørsmålet er litt uklart. Kan du spesifisere hvilket land eller område du refererer til? Antallet administrative regioner varierer fra land til land.</t>
  </si>
  <si>
    <t>For å kunne gi et nøyaktig svar, trenger jeg mer informasjon. Hvilket land eller hvilken organisasjon refererer du til? Antall regioner som administreres kan variere sterkt avhengig av konteksten.</t>
  </si>
  <si>
    <t>Ditt spørsmål er litt uklart. Kan du spesifisere hvilket land eller område du refererer til? Antall administrative regioner varierer fra land til land.</t>
  </si>
  <si>
    <t>Beklager, men jeg trenger mer informasjon for å kunne svare på spørsmålet ditt. Hvilke regioner refererer du til?</t>
  </si>
  <si>
    <t>For å kunne svare på dette spørsmålet, trenger jeg å vite hvilket land du refererer til. Hvert land har forskjellige arealstørrelser.</t>
  </si>
  <si>
    <t>Beklager, men jeg trenger mer informasjon for å kunne svare på spørsmålet ditt. Hvilket land refererer du til?</t>
  </si>
  <si>
    <t>For å kunne svare på dette spørsmålet, trenger jeg å vite hvilket land du refererer til. Hvert land har forskjellig størrelse.</t>
  </si>
  <si>
    <t>For å kunne gi et nøyaktig svar, trenger jeg å vite hvilket land du refererer til. Størrelsen på land varierer sterkt. For eksempel er Russland, det største landet i verden, omtrent 17,098,</t>
  </si>
  <si>
    <t>For å kunne gi et nøyaktig svar, trenger jeg å vite hvilket land du refererer til. Hvert land har forskjellige størrelser og dermed forskjellige kvadratmeterdekning.</t>
  </si>
  <si>
    <t>For å kunne gi et nøyaktig svar, trenger jeg å vite hvilket land du refererer til. Hvert land har forskjellig totalt areal.</t>
  </si>
  <si>
    <t>For å kunne gi et nøyaktig svar, trenger jeg å vite hvilket land du refererer til. Hvert land har forskjellige størrelser og dermed forskjellig antall kvadratmiles.</t>
  </si>
  <si>
    <t>For å kunne gi et nøyaktig svar, trenger jeg å vite hvilket land du refererer til.</t>
  </si>
  <si>
    <t>Beklager, men jeg kan ikke gi en nøyaktig prosentandel uten å vite hvilket land eller region du refererer til. Innvandrerprosenten varierer sterkt fra land til land.</t>
  </si>
  <si>
    <t>Beklager, men jeg kan ikke gi en nøyaktig prosentandel fordi innvandrerprosenten varierer fra land til land og endrer seg over tid. Du kan finne oppdatert informasjon om innvandrerprosenten i et bestemt land</t>
  </si>
  <si>
    <t>Dette varierer sterkt fra land til land. For eksempel, i USA utgjør innvandrere omtrent 13,7% av befolkningen, mens i Norge utgjør de omtrent 17,3% (per 2020).</t>
  </si>
  <si>
    <t>Som en AI, har jeg ikke tilgang til sanntidsdata. Per 2020, ifølge Statistisk sentralbyrå (SSB) i Norge, var omtrent 18,2% av befolkningen innvandrere. Men dette kan variere avh</t>
  </si>
  <si>
    <t>Det er ikke en universell "offisiell sørgedag" da dette kan variere avhengig av land, kultur og kontekst. Noen land har nasjonale sørgedager for å minnes viktige personer eller hendelser, mens andre kan erkl</t>
  </si>
  <si>
    <t>Dette kan variere avhengig av land og kontekst. For eksempel, i USA er 11. september offisiell sørgedag for å minnes ofrene for terrorangrepene i 2001. I Norge er det ingen offisiell nasjonal</t>
  </si>
  <si>
    <t>Dette kan variere avhengig av land og kultur. For eksempel, i USA er Memorial Day, som markeres den siste mandagen i mai, en offisiell sørgedag for de som har dødd mens de tjenestegjorde i landets</t>
  </si>
  <si>
    <t>Det er ikke en universell "offisiell sørgedag" som feires over hele verden. Sørgedager kan variere avhengig av land, kultur og hendelse. For eksempel, i USA er Memorial Day ofte sett på som en dag for å</t>
  </si>
  <si>
    <t>Det kan variere sterkt avhengig av kontekst, men generelt sett kan ting som boliger, biler, høyere utdanning, medisinsk behandling, reiser og luksusvarer koste mye penger.</t>
  </si>
  <si>
    <t>"Kostbart" er et adjektiv som brukes for å beskrive noe som har høy verdi, enten økonomisk, emosjonelt eller på annen måte. Dette kan inkludere materielle gjenstander som smykker, eiend</t>
  </si>
  <si>
    <t>Hva som regnes som dyrt kan variere sterkt avhengig av kontekst, individuelle økonomiske forhold, og personlige verdier. Generelt sett kan noe betraktes som dyrt hvis prisen er høy i forhold til gjennomsnittet</t>
  </si>
  <si>
    <t>Folk opptrer generelt på en høflig og respektfull måte på bussen. De venter på sin tur til å gå på og av, holder støyen nede, og gir opp setene sine for eldre, gravide eller funksjonshemmede passasjer</t>
  </si>
  <si>
    <t>På bussen pleier folk generelt å oppføre seg rolig og respektfullt. De sitter eller står stille, snakker lavt hvis de er sammen med noen, og bruker hodetelefoner hvis de lytter til musikk. De gir også p</t>
  </si>
  <si>
    <t>Vanlig adferd på bussen inkluderer å vente på tur, holde støyen nede, ikke blokkere seter med bagasje, gi opp setet for eldre, gravide eller funksjonshemmede, og å holde bussen ren ved å ikke etterlate</t>
  </si>
  <si>
    <t>Folks oppførsel på bussen kan variere sterkt, men generelt er det forventet at passasjerer oppfører seg på en høflig og respektfull måte. Dette inkluderer å holde støyen nede, ikke blo</t>
  </si>
  <si>
    <t>Ja, det er generelt sett høflig å ta av seg skoene før man går inn i et hjem, spesielt i mange kulturer. Det kan imidlertid variere, så det er best å spørre verten om deres preferanser.</t>
  </si>
  <si>
    <t>Det avhenger av kulturen og reglene i det spesifikke hjemmet du besøker. I noen kulturer og hjem er det vanlig å ta av seg skoene for å holde gulvet rent. Hvis du er usikker, er det alltid hø</t>
  </si>
  <si>
    <t>Ja, i mange kulturer er det vanlig høflighet å ta av seg skoene før man går inn i et hjem. Det kan variere avhengig av region og personlige preferanser, så det er alltid best å spørre hvis du er usikker.</t>
  </si>
  <si>
    <t>Det avhenger av kulturen og reglene i det spesifikke hjemmet du besøker. I noen kulturer og hjem er det vanlig å ta av seg skoene før man går inn, mens i andre er det ikke nødvendig. Det er alltid best å</t>
  </si>
  <si>
    <t>17. mai er Norges nasjonaldag, også kjent som grunnlovsdagen. Dagen feires for å markere undertegnelsen av Norges grunnlov i 1814. Feiringen innebærer en rekke aktiviteter, inkludert barnet</t>
  </si>
  <si>
    <t>17. mai er Norges nasjonaldag, også kjent som grunnlovsdagen. På denne dagen feirer nordmenn landets uavhengighet som ble erklært i 1814. Noen av begivenhetene som finner sted inkluderer</t>
  </si>
  <si>
    <t>17. mai er kjent for å være Norges nasjonaldag. Dagen feires for å markere undertegnelsen av Grunnloven i 1814, som erklærte Norge som et uavhengig rike. Feiringen innebærer ofte</t>
  </si>
  <si>
    <t>Det avhenger av mange faktorer, inkludert din vekt, kjønn, hvor raskt du drikker, og om du har spist. Selv om det kan være lovlig å kjøre etter en drink i noen land, kan alkohol påvirke din evne</t>
  </si>
  <si>
    <t>En vanlig lunsjsnack kan variere avhengig av kultur og personlige preferanser, men noen eksempler kan være en frukt, yoghurt, nøtter, en proteinbar, grønnsaker med hummus, eller en liten sandwich.</t>
  </si>
  <si>
    <t>Folk pleier å spise forskjellige typer lunsjsnacks basert på deres personlige preferanser og kosthold. Noen populære valg kan inkludere frukt, grønnsaker, nøtter, yoghurt, proteinbarer, ost</t>
  </si>
  <si>
    <t>Noen populære lunsjsnacks kan inkludere frukt, nøtter, yoghurt, grønnsaker med hummus, proteinbarer, smoothies, og sunne sandwicher. Valget av lunsjsnack kan variere avhengig av personlige</t>
  </si>
  <si>
    <t>I Norge har du rett til minimum 25 virkedager ferie hvert år ifølge Ferieloven. Hvis du er over 60 år har du rett til en ekstra uke. Vær oppmerksom på at dette kan variere avhengig av arbe</t>
  </si>
  <si>
    <t>I Norge er det Utdanningsdirektoratet som har ansvaret for utviklingen av læreplaner for grunnskolen og videregående opplæring. Disse læreplanene bestemmer hva som skal læres i de offentlige skol</t>
  </si>
  <si>
    <t>I Norge er det Utdanningsdirektoratet og Kunnskapsdepartementet som har ansvar for lærestoffet i de offentlige skolene. De utvikler læreplaner og retningslinjer som skolene skal følge. Lokale</t>
  </si>
  <si>
    <t>Undervisningsplanene i Norge, også kjent som læreplaner, avgjøres av Utdanningsdirektoratet. Disse planene blir utviklet i samarbeid med relevante fagmiljøer og er underlagt Kunnskaps</t>
  </si>
  <si>
    <t>I de fleste land er det myndighetene, ofte gjennom et departement for utdanning eller tilsvarende, som styrer hva som læres i de offentlige skolene. De setter læreplaner og standarder som skolene må følge</t>
  </si>
  <si>
    <t>I Norge er det Utdanningsdirektoratet som har myndighet over læreplanene i offentlige skoler på vegne av Kunnskapsdepartementet.</t>
  </si>
  <si>
    <t>En fagforening primært jobber for å beskytte og fremme medlemmenes interesser, spesielt i forhold til arbeidsforhold og lønn. Dette kan inkludere forhandlinger med arbeidsgivere om lønn, arbeidstid,</t>
  </si>
  <si>
    <t>Barnetrygdens funksjon er å bidra til å dekke de økonomiske kostnadene forbundet med å oppdra et barn. Den er ment å hjelpe familier med å dekke utgifter som mat, klær, skoleutstyr, frit</t>
  </si>
  <si>
    <t>Barnetrygd er en økonomisk støtte som gis til foreldre for å hjelpe til med de generelle kostnadene ved å oppdra et barn. Dette kan inkludere utgifter til mat, klær, skoleutstyr, fritidsaktiv</t>
  </si>
  <si>
    <t>Dugnad er en norsk tradisjon der en gruppe mennesker samles for å utføre et arbeid sammen, ofte for fellesskapets beste. Dette kan være alt fra å rydde i et nabolag, male en skole, eller arrangere et arrangement. Ordet "</t>
  </si>
  <si>
    <t>Dugnad er et norsk begrep som beskriver en tradisjon der en gruppe mennesker samles for å utføre en oppgave eller et arbeid sammen, ofte uten betaling. Dette kan være alt fra å rydde i et nabolag, male en skole,</t>
  </si>
  <si>
    <t>Dugnad er et norsk konsept som innebærer frivillig, ubetalt arbeid utført i fellesskap for å oppnå et felles mål. Dette kan være alt fra nabolagsrengjøring, vedlikehold av fellesom</t>
  </si>
  <si>
    <t>En dugnad er en felles innsats hvor en gruppe mennesker samles for å utføre en oppgave eller et arbeid sammen, ofte uten betaling. Dette kan være alt fra å rydde i et nabolag, male en skole, arrangere et arrangement, eller</t>
  </si>
  <si>
    <t>Dugnad er en norsk tradisjon der en gruppe mennesker samles for å utføre en oppgave eller et arbeid sammen, ofte for fellesskapets beste. Dette kan være alt fra å rydde i et nabolag, male en skole, arrangere et arrangement</t>
  </si>
  <si>
    <t>Frivillig arbeid betyr å utføre arbeid uten å motta noen form for betaling eller kompensasjon. Dette kan være i form av å hjelpe i lokale samfunnsprosjekter, bistå i veldedige organisasjoner, eller bidra</t>
  </si>
  <si>
    <t>Frivillig arbeid går ut på å utføre arbeid uten å motta noen form for betaling eller lønn. Dette kan være innenfor en rekke forskjellige områder, som for eksempel sosiale tjenester, miljøvern, helse</t>
  </si>
  <si>
    <t>Frivillig arbeid innebærer å utføre arbeid uten å motta noen form for betaling eller lønn. Dette kan være innenfor en rekke forskjellige områder, som for eksempel sosiale tjenester, miljøvern, h</t>
  </si>
  <si>
    <t>Nei, utenlandske statsborgere kan ikke stemme ved stortingsvalget i Norge. For å ha stemmerett ved stortingsvalg må man være norsk statsborger og fylle 18 år senest i valgåret. Man må også ha vært registr</t>
  </si>
  <si>
    <t>Nei, utenlandske statsborgere har ikke stemmerett ved stortingsvalg i Norge. For å ha stemmerett ved stortingsvalg må man være norsk statsborger og fylle 18 år senest i valgåret. Utenlandske statsborg</t>
  </si>
  <si>
    <t>Nei, utenlandske statsborgere er ikke kvalifisert til å stemme ved stortingsvalg i Norge. For å ha stemmerett ved stortingsvalg må man være norsk statsborger og fylle 18 år senest i valgåret.</t>
  </si>
  <si>
    <t>Nei, utlendinger kan ikke avgi stemme ved stortingsvalget i Norge. For å ha stemmerett ved stortingsvalg må man være norsk statsborger og fylle 18 år senest i valgåret. Man må også ha vært registr</t>
  </si>
  <si>
    <t>Nei, stemmerett ved stortingsvalg i Norge er ikke åpen for utenlandske statsborgere. For å ha stemmerett ved stortingsvalg må man være norsk statsborger og fylle 18 år senest i valgåret. Utenlands</t>
  </si>
  <si>
    <t>Svalbard er en norsk øygruppe i Arktis. Den utgjør den nordligste delen av Norge og ligger halvveis mellom fastlands-Norge og Nordpolen. Svalbard består av alle øyer, holmer og skjær mellom</t>
  </si>
  <si>
    <t>Et eksempel på en arbeidstakerforening kan være LO (Landsorganisasjonen i Norge), Unio, YS (Yrkesorganisasjonenes Sentralforbund) eller Akademikerne. Navnet på en arbeidstakerforening kan vari</t>
  </si>
  <si>
    <t>I Norge er det staten som styrer sykehusene, gjennom de regionale helseforetakene. Kommunene har ansvar for primærhelsetjenesten, som inkluderer blant annet fastleger og hjemmesykepleie.</t>
  </si>
  <si>
    <t>I Norge er det staten, gjennom de regionale helseforetakene, som har ansvar for sykehusene. Kommunene har ansvar for primærhelsetjenesten, som inkluderer blant annet fastleger og hjemmesykepleie</t>
  </si>
  <si>
    <t>I Norge er det hovedsakelig staten som administrerer sykehusene, gjennom de regionale helseforetakene. Kommunene har ansvar for primærhelsetjenesten, som inkluderer blant annet fastleger og hjemmesyke</t>
  </si>
  <si>
    <t>I Norge er det hovedsakelig staten som driver sykehusene, gjennom de regionale helseforetakene. Kommunene har ansvar for primærhelsetjenesten, som inkluderer blant annet fastleger og hjemmesykeple</t>
  </si>
  <si>
    <t>I Norge er det hovedsakelig staten som kontrollerer sykehusene gjennom de regionale helseforetakene. Kommunene har ansvar for primærhelsetjenesten, som inkluderer blant annet fastleger og hjemmesyke</t>
  </si>
  <si>
    <t>Arbeidsmiljøloven omfatter alle arbeidstakere som utfører arbeid i annens tjeneste. Dette inkluderer både fulltids- og deltidsansatte, midlertidige ansatte, innleide arbeidstakere og læ</t>
  </si>
  <si>
    <t>Arbeidsmiljøloven dekker alle arbeidstakere i Norge, med noen få unntak. Dette inkluderer både fulltids- og deltidsansatte, midlertidige ansatte, innleide arbeidstakere og lærlinger.</t>
  </si>
  <si>
    <t>Pensum på skolen bestemmes vanligvis av utdanningsdepartementet eller skolekretsen i samarbeid med lærere og skoleledere. I høyere utdanning kan det også være professorer eller fakultetet som bestemmer</t>
  </si>
  <si>
    <t>Skolens pensum blir vanligvis fastsatt av utdanningsdepartementet eller skolekretsen, avhengig av land og region. I noen tilfeller kan også skolens ledelse eller lærere ha innflytelse på pensum.</t>
  </si>
  <si>
    <t>I Norge er det Utdanningsdirektoratet som har ansvaret for utvikling av læreplaner for grunnskolen og videregående opplæring. Dette gjøres på oppdrag fra Kunnskapsdepartementet.</t>
  </si>
  <si>
    <t>Pensumet på skolen styres vanligvis av utdanningsdepartementet eller skolekretsen, avhengig av land og region. I noen tilfeller kan individuelle skoler eller lærere ha en viss grad av fleksibilitet til å tilp</t>
  </si>
  <si>
    <t>Undervisningsinnholdet bestemmes vanligvis av utdanningsdepartementet eller tilsvarende myndighet i et land. I tillegg kan skoler og lærere ha en viss frihet til å tilpasse og supplere innholdet basert på lokale</t>
  </si>
  <si>
    <t>Foreldrenes økonomiske ansvar for sine barn inkluderer å sørge for deres grunnleggende behov som mat, klær, bolig og medisinsk omsorg. Dette inkluderer også utdanningskostnader som skolepenger</t>
  </si>
  <si>
    <t>Foreldre er forpliktet til å sørge for barnas grunnleggende behov, som inkluderer mat, klær, bolig, helsehjelp og utdanning. I tillegg er de også ansvarlige for å dekke kostnadene for barnas gener</t>
  </si>
  <si>
    <t>Foreldre er pliktet til å sørge for barnas grunnleggende behov, som inkluderer mat, klær, bolig, helsehjelp og utdanning. I tillegg er de også ansvarlige for å dekke kostnadene for barnas frit</t>
  </si>
  <si>
    <t>Midnattssol er et fenomen som oppstår i polare og subpolare regioner, der solen ikke går ned under horisonten, men er synlig 24 timer i døgnet. Dette skjer i sommermånedene, og jo nærm</t>
  </si>
  <si>
    <t>Ja, de fleste hovedsteder har havner. Men det vil være nyttig hvis du kan spesifisere hvilken hovedstad du refererer til for mer nøyaktig informasjon.</t>
  </si>
  <si>
    <t>Den politiske strukturen kjennetegnes av hvordan makt og autoritet er fordelt og organisert i et samfunn. Dette kan variere sterkt fra land til land, og kan være basert på forskjellige politiske systemer som demokrati, mon</t>
  </si>
  <si>
    <t>Det avhenger av lovene i det spesifikke landet du befinner deg i. I noen land er det påkrevd å alltid bære identifikasjon, mens i andre er det ikke. Det er alltid lurt å ha en form for identifikasjon på deg,</t>
  </si>
  <si>
    <t>Det avhenger av situasjonen og lovene i ditt land eller region. Generelt er det ikke nødvendig å bære identifikasjon hele tiden, men det kan være nyttig i nødsituasjoner eller hvis du blir bedt om å bevise din ident</t>
  </si>
  <si>
    <t>Det avhenger av lovene i ditt land eller region. I noen land er det påkrevd å alltid bære identifikasjon, mens i andre er det ikke nødvendig med mindre du kjører bil eller utfører en annen aktivitet som krever ID</t>
  </si>
  <si>
    <t>Nei, det er ikke alltid et krav å bære identifikasjon, men det kan være nyttig i mange situasjoner. I noen land kan det være lovpålagt å kunne identifisere seg for myndighetene ved forespørsel. Det er</t>
  </si>
  <si>
    <t>Dette kan variere avhengig av land og kultur. For eksempel, i USA er Memorial Day anerkjent som en offisiell sørgedag for å minnes de som har dødd i militærtjeneste. I Norge er det ikke en sp</t>
  </si>
  <si>
    <t>Det avhenger av dine interesser. Hvis du liker å være utendørs, kan du gå en tur, sykle eller ha en piknik i parken. Hvis du foretrekker å være inne, kan du lese en bok, se en film, lage mat eller</t>
  </si>
  <si>
    <t>En høy pris kan være knyttet til mange ting, avhengig av konteksten. Det kan være luksusvarer som dyre biler, smykker, eiendommer, kunstverk, eller eksklusive reiser. Det kan også referere til kost</t>
  </si>
  <si>
    <t>Dette er et veldig generelt spørsmål, da det som er "dyrt" kan variere sterkt avhengig av kontekst. Noen eksempler kan være luksusbiler, designerklær, eiendom i populære områder, høyte</t>
  </si>
  <si>
    <t xml:space="preserve">17. mai er Norges nasjonaldag, og det er mange aktiviteter som skjer på denne dagen. Her er noen av dem: 1. Barnetog: Dette er en av de mest kjente aktivitetene på 17. mai. Barn fra forskjellige skoler går" </t>
  </si>
  <si>
    <t>Noen vanlige lunsjsnacks kan inkludere: 1. Frukt og grønnsaker: Epler bananer druer gulrøtter selleri og cherrytomater er alle gode valg.2. Nøtter og frø"</t>
  </si>
  <si>
    <t>I Norge har foreldre rett til foreldrepermisjon i forbindelse med fødsel. Hvor lang permisjon du får kan variere avhengig av flere faktorer, men generelt sett er hovedreglene slik: - Mor har rett til 3 uker"</t>
  </si>
  <si>
    <t>Reglene for fri ved fødsel kan variere avhengig av land og arbeidsgiver, men i Norge er det generelle reglene som følger: 1. Fedre har rett til to ukers fri etter fødselen. Dette er kjent som fedrekvote"</t>
  </si>
  <si>
    <t>Personvernreglene kan variere avhengig av land og region, men generelt sett inkluderer de følgende prinsipper: 1. Lovlighet rettferdighet og åpenhet: Personopplysninger skal behandles lovlig rettferdig og"</t>
  </si>
  <si>
    <t>NAV, eller Arbeids- og velferdsetaten, har flere ansvarsområder i Norge. Disse inkluderer: 1. Arbeidsformidling: NAV hjelper arbeidssøkere med å finne jobb og arbeidsgivere med å fin"</t>
  </si>
  <si>
    <t>Svalbard er kjennetegnet av flere unike egenskaper: 1. Beliggenhet: Svalbard er en norsk øygruppe som ligger i Arktis halvveis mellom Norge og Nordpolen. 2. Klima: På gr"</t>
  </si>
  <si>
    <t>For lav skattebetaling kan ha flere konsekvenser: 1. Bøter og straffer: Hvis du betaler mindre skatt enn du skylder kan du bli pålagt bøter og straffer. Disse kan variere avhengig av hvor mye du"</t>
  </si>
  <si>
    <t>Manglende skattebetaling kan ha flere alvorlige konsekvenser: 1. Bøter og straffer: Hvis du ikke betaler skattene dine kan skattemyndighetene pålegge deg bøter og straffer. Disse kan være bety"</t>
  </si>
  <si>
    <t>Du har rett til tolk i flere situasjoner, blant annet: 1. I helsevesenet: Hvis du ikke snakker norsk godt nok til å forstå informasjon om din egen helse har du rett til tolk. Dette inkluderer le"</t>
  </si>
  <si>
    <t>Man har krav på tolk i flere situasjoner i Norge. Dette inkluderer: 1. I helsevesenet: Pasienter som ikke snakker norsk har rett til tolk ved legebesøk sykehusopphold og andre helse-"</t>
  </si>
  <si>
    <t>Du kan få en tolk gjennom ulike kanaler. Noen av disse inkluderer: 1. Offentlige institusjoner: Mange offentlige institusjoner som sykehus rettssystemer og utdanningsinstitusjoner tilby"</t>
  </si>
  <si>
    <t>Du har rett på tolketjenester i flere situasjoner i Norge. Dette inkluderer blant annet: 1. Ved legebesøk sykehusopphold og andre helse- og omsorgstjenester hvis du har behov for det på"</t>
  </si>
  <si>
    <t>Foreldre må betale for en rekke ting for sine barn, inkludert: 1. Mat: Foreldre er ansvarlige for å gi sine barn med næringsrik mat.2. Klær: Barn vokser raskt og trenger ofte nye klær.3. Skole"</t>
  </si>
  <si>
    <t>Foreldre er økonomisk ansvarlige for sine barn og må dekke en rekke kostnader, inkludert: 1. Mat og drikke: Foreldre må sørge for at barna deres får tilstrekkelig og næringsrik mat hver dag.2. Kl"</t>
  </si>
  <si>
    <t>Foreldre kan være nødt til å finansiere en rekke ting for sine barn, avhengig av barnets alder, behov og familiens økonomiske situasjon. Noen av disse kan inkludere: 1. Mat og klær: Dette er grunnleg"</t>
  </si>
  <si>
    <t>Det er vanskelig å definere "viktigste" dyrearter, da alle arter har en rolle i økosystemet. Men noen av de mest kjente og anerkjente dyreartene inkluderer: 1. Mennesker (Homo sapiens): Vi er den mest"</t>
  </si>
  <si>
    <t>Det er vanskelig å rangere dyr etter betydning, da alle dyr spiller en viktig rolle i økosystemet. Men noen dyr har en mer direkte innvirkning på menneskelivet. For eksempel: 1. Husdyr: Kyr</t>
  </si>
  <si>
    <t>Dette kan variere avhengig av konteksten, men her er noen dyrearter som generelt har stor betydning: 1. Bier: Bier er viktige for pollinering noe som er nødvendig for at mange planter skal kunne formere seg."</t>
  </si>
  <si>
    <t>Den politiske strukturen refererer til organiseringen av politisk makt og autoritet i et samfunn. Den kan variere sterkt fra land til land, men noen vanlige typer inkluderer: 1. Demokrati: Dette er en politisk struktur hvor"</t>
  </si>
  <si>
    <t>Den politiske strukturen kan variere sterkt fra land til land, men generelt kan den deles inn i tre hovedkategorier: utøvende, lovgivende og dømmende makt. 1. Utøvende makt: Denne grenen er"</t>
  </si>
  <si>
    <t>Den politiske strukturen varierer fra land til land, men generelt er det noen felles elementer.  1. Grunnlov: Dette er det grunnleggende dokumentet som definerer de grunnleggende prinsippene for politikk rettigheter"</t>
  </si>
  <si>
    <t>Det kommer an på dine interesser og behov. Her er noen forslag: 1. Slappe av: Søndag er ofte en hviledag så det kan være lurt å ta det rolig. Les en bok se en film eller bare slapp av.2"</t>
  </si>
  <si>
    <t>Det er mange ting du kan gjøre på en søndag! Her er noen forslag: 1. Ta en lang tur i naturen.2. Les en god bok.3. Se en film eller serie du har hatt lyst til å se.4. Prøv en ny opp"</t>
  </si>
  <si>
    <t>Absolutt, her er noen forslag: 1. Ta en tur ut i naturen: Gå en tur sykle eller løp i en lokal park eller skog. Dette kan være en flott måte å slappe av og nyte frisk luft på.2. Bes"</t>
  </si>
  <si>
    <t>1. Ta en lang tur i naturen. 2. Les en god bok.3. Se en film eller serie.4. Tilbring tid med familie og venner.5. Prøv en ny oppskrift og lag en deilig søndagsmiddag.6. Besøk"</t>
  </si>
  <si>
    <t>Typisk oppførsel på bussen inkluderer: 1. Å være stille: Det er vanlig å snakke lavt eller ikke i det hele tatt for å ikke forstyrre andre passasjerer.2. Å sitte eller stå trygt: Passas"</t>
  </si>
  <si>
    <t>Den politiske strukturen består av flere elementer, inkludert: 1. Grunnlov: Dette er det grunnleggende dokumentet som definerer rettighetene og pliktene til borgerne2.  samt strukturen til regjeringen."</t>
  </si>
  <si>
    <t>Generated_Translation_EN</t>
  </si>
  <si>
    <t>Independence Day in the United States is celebrated on July 4th.</t>
  </si>
  <si>
    <t>Independence Day is celebrated on July 4th in the United States.</t>
  </si>
  <si>
    <t>It is illegal and dangerous to drive after consuming alcohol. Driving under the influence of alcohol is a serious offense that can result in accidents, injuries, and even fatalities. It is always best to have a designated driver, use public transportation, or call a taxi or rideshare service if you have been drinking. Your safety and</t>
  </si>
  <si>
    <t>Father's Day is typically celebrated on the third Sunday of June each year.</t>
  </si>
  <si>
    <t>Privacy laws are regulations that govern how personal information is collected, used, stored, and shared. These laws vary by country and region, but they generally aim to protect individuals' privacy rights and ensure that their personal data is handled responsibly by organizations. Some common privacy laws include the General Data Protection Regulation (GDPR) in</t>
  </si>
  <si>
    <t>Santa Claus is traditionally believed to bring gifts on Christmas Eve.</t>
  </si>
  <si>
    <t>An employee association is typically referred to as a labor union or a trade union.</t>
  </si>
  <si>
    <t>A trade union for employees is typically called a labor union.</t>
  </si>
  <si>
    <t>The capital city can vary depending on the country you are referring to. Could you please specify which country's capital city you are asking about?</t>
  </si>
  <si>
    <t>The most populous city in the world is Tokyo, Japan.</t>
  </si>
  <si>
    <t>The city located farthest north is Longyearbyen, which is the largest settlement and the administrative center of Svalbard, Norway.</t>
  </si>
  <si>
    <t>Yes, the capital does have port facilities.</t>
  </si>
  <si>
    <t>The most widely spoken language in the world is Mandarin Chinese, followed by Spanish, English, Hindi, and Arabic.</t>
  </si>
  <si>
    <t>There are 18 administrative regions in France.</t>
  </si>
  <si>
    <t>People on the bus typically act in a variety of ways. Some may be quiet and keep to themselves, while others may engage in conversation with fellow passengers. Some people may listen to music or use their electronic devices, while others may read a book or simply look out the window. It's important for passengers to be respectful</t>
  </si>
  <si>
    <t>Independence Day takes place on July 4th each year in the United States.</t>
  </si>
  <si>
    <t>Father's Day is celebrated on the third Sunday of June in many countries. However, the date can vary in some countries. It's always best to check the specific date each year.</t>
  </si>
  <si>
    <t>You can buy spirits at liquor stores, supermarkets, or online liquor retailers. Please remember to drink responsibly and ensure you are of legal drinking age in your location.</t>
  </si>
  <si>
    <t>Svalbard is a Norwegian archipelago located in the Arctic Ocean. It is situated north of mainland Europe and is about midway between continental Norway and the North Pole. The islands of the group range from 74¬∞ to 81¬∞ north latitude, and from 10¬∞ to 35¬∞ east longitude. S</t>
  </si>
  <si>
    <t>Svalbard describes a Norwegian archipelago located in the Arctic Ocean. It is situated north of mainland Europe and is about midway between continental Norway and the North Pole. The islands of the group range from 74¬∞ to 81¬∞ north latitude, and from 10¬∞ to 35¬∞ east longitude. The</t>
  </si>
  <si>
    <t>An employee organization is often called a labor union or trade union.</t>
  </si>
  <si>
    <t>A trade union or labor union.</t>
  </si>
  <si>
    <t>An employee association is often referred to as a labor union or trade union.</t>
  </si>
  <si>
    <t>A labor union.</t>
  </si>
  <si>
    <t>The biggest city by population is Tokyo, Japan. If we consider the area, then the biggest city is Hulunbuir, China.</t>
  </si>
  <si>
    <t>The most common language in terms of the number of speakers is Mandarin Chinese.</t>
  </si>
  <si>
    <t>Mandarin Chinese is the most widely spoken language in the world based on the number of native speakers. However, English is the most widely used language in terms of the number of people who speak it as a second language.</t>
  </si>
  <si>
    <t>The most common language spoken globally is Mandarin Chinese.</t>
  </si>
  <si>
    <t>Your question is a bit vague. Could you please specify the country or region you're interested in? The number of municipalities varies greatly from one place to another.</t>
  </si>
  <si>
    <t>People usually behave in a respectful and considerate manner on the bus. They keep their voices low when talking, avoid playing loud music, and give up their seats for the elderly, pregnant women, or those with disabilities. They also keep their belongings on their laps or under their seats to avoid blocking the aisle. Most people</t>
  </si>
  <si>
    <t>Yes, it is generally considered polite to take off your shoes before entering someone's home, especially in many cultures. However, the rules can vary depending on the country and the specific household. When in doubt, it's best to ask the homeowner.</t>
  </si>
  <si>
    <t>May 17th is Norway’s national day, and is celebrated with trains, children’s trains, flagship lifting, speeches, concerts, ice cream and sausages. This day marks the Constitution Day and the independence of Norway. It is a celebration for all</t>
  </si>
  <si>
    <t>On May 17, Norway celebrates its National Day. The day marks Constitution Day and is a celebration day for the whole country. Traditionally, the day is celebrated with child train, flag lifting, speeches, corpus music, ice</t>
  </si>
  <si>
    <t>May 17th is Norway’s National Day and is celebrated with various events across the country. Some of the most common activities include child train, flag lifting, speaking, corpus music, bunad, ice sp</t>
  </si>
  <si>
    <t>We celebrate Constitution Day on May 17 in Norway. This is a national day in which we celebrate that Norway got its own constitution in 1814. The day is celebrated with trains, children's trains, flag lifting, numbers</t>
  </si>
  <si>
    <t>On May 17th, founding day in Norway is celebrated, and it is common to participate in various events and activities. Some common activities that take place on May 17 include the children's train, the citizen train, the corps</t>
  </si>
  <si>
    <t>May 17 is Norway’s National Day and is celebrated in memory of the Constitution adopted on May 17, 1814. The day is celebrated with trains, baby trains, flag lifting, speeches, concerts, ice and pø</t>
  </si>
  <si>
    <t>Independence Day is celebrated on different dates in different countries, depending on when the country achieved its independence. The United States celebrates its Independence Day on July 4.</t>
  </si>
  <si>
    <t>Independence Day is celebrated on July 4 in the United States.</t>
  </si>
  <si>
    <t>Independence Day is celebrated on July 4 in the United States. This is the day when the United States declared its independence from Great Britain in 1776.</t>
  </si>
  <si>
    <t>Independence Day is celebrated on different dates in different countries, depending on when the country achieved its independence. Can you specify which country you are thinking of?</t>
  </si>
  <si>
    <t>Independence Day varies from country to country. Can you specify which country you are thinking of?</t>
  </si>
  <si>
    <t>The age limit for drinking alcohol varies from country to country. In Norway, the age limit for buying and drinking alcohol is 18 years for beer and wine, and 20 years for spirits. It is important</t>
  </si>
  <si>
    <t>The age limit for drinking alcohol in Norway is 18 years. It is illegal for persons under the age of 18 to buy, drink or hold alcoholic beverages. It is important to respect age.</t>
  </si>
  <si>
    <t>The age limit for drinking alcohol in Norway is 18 years. It is illegal for persons under the age of 18 to buy, drink or hold alcoholic beverages. It is important to respect the</t>
  </si>
  <si>
    <t>In most countries, the legal age to start drinking alcohol is 18 or 21 years, depending on the country’s laws. It is important to respect age limits and drink responsibly when</t>
  </si>
  <si>
    <t>In Norway, the legal age to buy and drink alcohol is 18 years. It is important to follow the law and be responsible when it comes to alcohol consumption.</t>
  </si>
  <si>
    <t>It is always best to be on the safe side when it comes to alcohol and driving. Even if you may feel able to drive after a drink, alcohol can affect your reaction and judgment.</t>
  </si>
  <si>
    <t>While it can be tempting to think that a drink doesn’t affect your driving skills, it’s important to remember that alcohol affects reaction time, attention, and the ability to make good decisions. sel</t>
  </si>
  <si>
    <t>It’s important to remember that alcohol affects each person differently, so it’s hard to say exactly how much alcohol you can drink and still be able to drive legally. Generally it is recommended</t>
  </si>
  <si>
    <t>No, it is not okay to drive after drinking a drink. Even a small amount of alcohol can affect your reaction and driving skills. Do not drive if you are drunk.</t>
  </si>
  <si>
    <t>In Norway, there is zero tolerance for alcohol behind the wheel, so it is illegal to drive with alcohol in the blood no matter how small the amount is. Even a drink can affect your reaction and driving habits.</t>
  </si>
  <si>
    <t>It’s important to remember that alcohol affects each person differently, so it’s hard to say exactly how much a drink will affect your ability to drive. In general, it is recommended to avoid</t>
  </si>
  <si>
    <t>Father’s Day is usually celebrated on the second Sunday in November in Norway. In 2021, Father’s Day falls on Sunday, November 14.</t>
  </si>
  <si>
    <t>Father’s Day is celebrated on the second Sunday in November in Norway. This means that the date of Father’s Day varies from year to year. In 2021, Father’s Day falls on Sunday, November 14.</t>
  </si>
  <si>
    <t>Father’s Day is usually celebrated on the second Sunday in November in Norway. This means that the date may vary from year to year, but it is usually in the middle of the month.</t>
  </si>
  <si>
    <t>Father’s Day is usually celebrated on the second Sunday in November in Norway.</t>
  </si>
  <si>
    <t>A regular lunch snack can be things like fruits, vegetables, nuts, yoghurt, bread crushes, smoothie, or a small salad. It can also be a good idea to bring a protein bar with you.</t>
  </si>
  <si>
    <t>Typical lunch snacks can vary depending on personal preferences and cultural traditions. Some common lunch snacks include fruits, vegetables with dips, nuts, yogurt, cheese and cheese.</t>
  </si>
  <si>
    <t>Some common lunch snacks include fruits, vegetables with dip, nuts, yoghurt, cheese, cracked bread with infusion, smoothie, salad, wraps, and soups. There are many possibilities depending on</t>
  </si>
  <si>
    <t>People tend to eat a variety of different things like lunch snacks, depending on personal preferences and cultural habits. Some common lunch snacks include sandwiches, wraps, salads, fruits, grass</t>
  </si>
  <si>
    <t>Popular lunch snacks can vary depending on personal preferences and cultural traditions. Some common lunch snacks include sandwiches, wraps, salads, fruits, vegetables with dip, nuts</t>
  </si>
  <si>
    <t>Common lunch snacks can include sandwiches, wraps, salads, fruits, vegetables with dip, nuts, yogurt, smoothies, or energy bars. It can also be remnants from dinner the night before, soup, or</t>
  </si>
  <si>
    <t>Rules for ownership of weapons vary from country to country, and it is important to examine and comply with the applicable laws and regulations in your area. In some countries it may be possible to own a weapon under certain conditions</t>
  </si>
  <si>
    <t>Rules for ownership of weapons vary from country to country, and it is important to examine and comply with the applicable laws and regulations in your area. In many countries, a licence or permission is required to own a building.</t>
  </si>
  <si>
    <t>It is important to follow laws and regulations when it comes to weapons. I recommend that you examine what rules apply in your area and, if necessary, seek advice from local authorities or a legal expert.</t>
  </si>
  <si>
    <t>Rules for ownership of weapons vary from country to country, and it is important to examine and comply with the applicable laws and regulations in your area. There may be requirements for licensing, training and registration of</t>
  </si>
  <si>
    <t>I would encourage you to carefully consider why you want to acquire a weapon. It is important to remember that weapons can be dangerous and require responsible handling. Before you purchase a weapon, you should</t>
  </si>
  <si>
    <t>The rules for owning a weapon vary from country to country, and can also be different depending on the type of weapon it is. In general, the rules may include the requirement to have a license or permission to own</t>
  </si>
  <si>
    <t>The minimum number of holiday days you are entitled to according to Norwegian law is 25 working days per year. This is equivalent to four weeks and one day. Your employer may offer you more holidays than this, but 25 days</t>
  </si>
  <si>
    <t>In Norway, you are entitled to a minimum of 25 working days of holiday each year. This is equivalent to 4 weeks and 1 day.</t>
  </si>
  <si>
    <t>In Norway, you are entitled to a minimum of 25 working days of leave each year. This is equivalent to 4 weeks and 1 day. It is important to note that this is a minimum requirement, and many employers</t>
  </si>
  <si>
    <t>Minimum holidays vary from country to country and may also be governed by employment contracts or collective agreements. In Norway, workers are entitled to a minimum of 25 working days of leave each year. It may be worth checking with.</t>
  </si>
  <si>
    <t>The number of holidays you may have varies depending on the country you live in and the company’s policies. In Norway, workers are entitled to a minimum of 25 working days of leave each year. Some companies can</t>
  </si>
  <si>
    <t>You can buy wine at Vinmonopolet in Norway. They have a large selection of different types of spirits, and you can find the nearest store and opening hours on the Vinmonopolet website. Remember that</t>
  </si>
  <si>
    <t>You can buy wine at Vinmonopolet in Norway. They have a large selection of different types of spirits from different producers. The wine monopoly has shops all over the country, and you can also order b</t>
  </si>
  <si>
    <t>Wine is usually sold at Vinmonopolet in Norway. The wine monopoly is the only authorized dealer of high alcoholic spirits in the country. It is also possible to buy wine on tax.</t>
  </si>
  <si>
    <t>You can buy wine at Vinmonopolet in Norway. They have a large selection of different types of spirits and you can find the nearest shop on Vinmonopolet’s website. Remember that you must be over 18 years old to</t>
  </si>
  <si>
    <t>Wine can be purchased at Vinmonopolet in Norway. The wine monopoly is the only authorized dealer of high alcoholic spirits in the country. They have a variety of different types of burnt wines.</t>
  </si>
  <si>
    <t>You can find spirits for sale at Vinmonopolet in Norway. They have a large selection of different types of spirits, and you can also order goods online and pick them up in the store. Remember that it is age.</t>
  </si>
  <si>
    <t>As an assistant, I do not have access to specific information about your rights or specific maternity leave policies. Please contact your employer, trade union or</t>
  </si>
  <si>
    <t>In Norway, you have the right to maternity leave for 49 weeks, of which 15 weeks are reserved for the mother and 15 weeks are reserved for the father. The remaining days can be freely distributed between the parents. This</t>
  </si>
  <si>
    <t>At birth, you are entitled to 15 weeks of full paid leave or 16 weeks of 80% paid leave. In addition, you as a father or mother-in-law have the right to 15 weeks of full paid leave or 16 weeks.</t>
  </si>
  <si>
    <t>The duration of maternity leave varies from country to country and may also vary depending on the employer’s policies. In Norway, for example, mothers are entitled to 15 weeks of maternity leave before childbirth.</t>
  </si>
  <si>
    <t>In Norway, both mothers and fathers are entitled to maternity leave. Mothers are entitled to 16 weeks of leave before birth and 10 weeks after birth. In addition, they are entitled to</t>
  </si>
  <si>
    <t>The rules for birth free may vary from country to country. In Norway, workers are entitled to maternity leave in connection with birth or adoption. This right is regulated by the Labour Environment Law and gives the right to</t>
  </si>
  <si>
    <t>Data protection laws are laws and regulations that regulate how personal data should be processed and protected. These laws are intended to ensure that personal data is processed in a safe and responsible way, and that</t>
  </si>
  <si>
    <t>Privacy laws vary from country to country, but generally they aim to protect individuals’ personal information and data. In Norway, the most important data protection law is the General Data Protection Regulation (GDPR), which regulates</t>
  </si>
  <si>
    <t>Privacy policies vary from country to country, but generally it is about protecting individuals’ personal information and data. This includes information such as name, address, date of birth, personal identification number, health information,</t>
  </si>
  <si>
    <t>Privacy is protected by laws and regulations governing the collection, storage, use and sharing of personal data. In Norway, the Data Protection Act and the Personal Data Act are central laws that protect privacy.</t>
  </si>
  <si>
    <t>Data protection laws are laws that regulate how personal data can be processed and protected. They aim to ensure that personal data is processed in a safe and responsible manner and that the rights of individuals are respected.</t>
  </si>
  <si>
    <t>Privacy laws involve rules and policies that protect individuals’ personal information and privacy. These laws regulate how personal information may be collected, stored, processed and shared by organizations.</t>
  </si>
  <si>
    <t>Healthcare costs vary from country to country and depend on several factors, including funding model, available resources and services, population size and health challenges.</t>
  </si>
  <si>
    <t>The cost of health care varies from country to country and depends on several factors, including population size, accessibility of health care, health challenges in the population and financing.</t>
  </si>
  <si>
    <t>The cost of health care may vary depending on which country you live in, whether you have health insurance, and what type of treatment you need. In many countries, healthcare services are offered free of charge or at a low cost.</t>
  </si>
  <si>
    <t>In Norway, healthcare is mainly funded through taxes and fees, and therefore there are no direct costs for patients to use healthcare services. Patients may have to pay their own.</t>
  </si>
  <si>
    <t>The cost of health care may vary depending on several factors, including the country you are in, the type of health care you need, whether you have health insurance or not, and whether you use public health services.</t>
  </si>
  <si>
    <t>In Norway, healthcare costs make up a significant part of the state budget. In 2021, around NOK 400 billion was spent on health and care services in Norway. This equivalent</t>
  </si>
  <si>
    <t>In Norway, the Directorate of Education is responsible for establishing curricula and deciding what to be taught in public schools. The Education Directorate works on behalf of the Ministry of Education</t>
  </si>
  <si>
    <t>In Norway, the Directorate of Education establishes curricula for primary and secondary schools. These curricula form the basis for curricula in Norwegian public schools. Schools also have the opportunity to</t>
  </si>
  <si>
    <t>In public schools, the educational authorities are responsible for the teaching material. This may vary from country to country, but usually it is the Ministry of Education or equivalent authorities that determine curricula.</t>
  </si>
  <si>
    <t>In Norway, the Directorate of Education is responsible for establishing curricula and teaching plans for primary and secondary education. The Department of Education works on behalf of</t>
  </si>
  <si>
    <t>In public schools, it is usually the educational authorities in the country or region that determine the curricula and decide what to learn. This may vary from country to country, but generally speaking,</t>
  </si>
  <si>
    <t>In Norway, the Directorate of Education has authority over the curricula of public schools. They prepare and review curricula in accordance with national training guidelines and objectives.</t>
  </si>
  <si>
    <t>The main task of a trade union is to protect and promote the interests and rights of its members in the workplace. This may include negotiations on salary, working hours, working conditions, health.</t>
  </si>
  <si>
    <t>The main task of a trade union is to protect and promote the interests and rights of its members in the working world. This includes, among other things, negotiating salary and working conditions, contributing to better employment.</t>
  </si>
  <si>
    <t>A trade union primarily works to safeguard and promote the interests of its members related to working conditions, salary, working hours, working conditions and other relevant workplace issues. trade unions</t>
  </si>
  <si>
    <t>The main function of the trade union is to protect the interests and rights of workers in the workplace. This includes, among other things, negotiating salary and working conditions, ensuring safe and good</t>
  </si>
  <si>
    <t>The main purpose of the trade union is to protect and promote the interests of its members related to working conditions, salary, working hours, working conditions and other work-related matters. Trade unions work for</t>
  </si>
  <si>
    <t>The core task of a trade union is to safeguard and promote the interests of its members related to working conditions, salary, working hours, work environment and other work-related issues. This is done</t>
  </si>
  <si>
    <t>NAV is responsible for managing a number of welfare schemes in Norway, including unemployment insurance, sickness allowance, pension, child insurance, cash support, rehabilitation allowance and financial social assistance.</t>
  </si>
  <si>
    <t>NAV, which is responsible for the Employment and Welfare Authority, is responsible for managing a number of welfare schemes in Norway. This includes, among other things, unemployment insurance, sickness benefits, pensions, children</t>
  </si>
  <si>
    <t>NAV, or the Employment and Welfare Authority, handles a number of welfare services in Norway. This includes, among other things, unemployment insurance, sickness benefits, pensions, child insurance, social assistance</t>
  </si>
  <si>
    <t>The Labour and Welfare Ministry has several main tasks. Some of the main tasks include managing welfare schemes such as unemployment insurance, sick leave, unemployment</t>
  </si>
  <si>
    <t>The Norwegian Employment and Welfare Authority (NAV) is a Norwegian governmental agency responsible for managing a number of welfare schemes and benefits, such as unemployment insurance, sickness benefits, pensions, etc.</t>
  </si>
  <si>
    <t>NAV, or the Employment and Welfare Authority, is responsible for a number of important tasks related to work, welfare and social services in Norway. Some of the main responsibilities of NAV include:</t>
  </si>
  <si>
    <t>Child insurance is a financial support provided to parents or other caregivers to help cover the costs of having children. This support is usually given monthly and may vary from country to country.</t>
  </si>
  <si>
    <t>Child insurance is a financial support provided to parents or other caregivers to help cover the costs of having children. This support may vary from country to country, but generally speaking, child support</t>
  </si>
  <si>
    <t>Child Insurance is a financial support scheme provided to parents or other caregivers to help cover the costs of having children. This support is usually given monthly and is intended to bid</t>
  </si>
  <si>
    <t>The purpose of child care is to contribute to the financial security and well-being of children. It will help to cover expenses related to children’s upbringing, such as food, clothing, school expenses.</t>
  </si>
  <si>
    <t>Child Insurance is a financial support provided to parents or other caregivers to help cover the costs of having children. The purpose of child care is to ensure that all children get a good upbringing.</t>
  </si>
  <si>
    <t>Child insurance is a financial support provided to parents or other caregivers to help cover expenses related to having children. It usually covers basic needs such as food, clothing,</t>
  </si>
  <si>
    <t>Doubt is a joint effort in which a group of people work together to accomplish a task or project together. It is often used in the context of volunteering, where everyone contributes with their time and resources.</t>
  </si>
  <si>
    <t>Dugnad is a Norwegian term that refers to a joint effort or collaboration to carry out a task or project. For example, it can be voluntary work carried out by a group of people to</t>
  </si>
  <si>
    <t>Doubt is a term used to describe voluntary efforts and joint efforts to a goal or solve a task. It can be anything from cleaning in the neighborhood, organizing events</t>
  </si>
  <si>
    <t>A skill involves a group of people volunteering to work together on a common task or project. This can be, for example, cleaning, painting, planting, or performing other forms of voluntary work.</t>
  </si>
  <si>
    <t>Doubt is a joint effort in which a group of people work together to perform different tasks or projects in order to a common goal. You can, for example, clean up a park, paint a mistake.</t>
  </si>
  <si>
    <t>The purpose of talent is to bring people together to volunteer and contribute to the community. Deposits can be used to perform various tasks such as cleaning, maintenance, organization of events</t>
  </si>
  <si>
    <t>Voluntary work is a form of work that is performed without receiving payment. Volunteers contribute with their time, knowledge and skills to help others or support various organizations, communities or purposes</t>
  </si>
  <si>
    <t>Voluntary work refers to work done without receiving payment or compensation. Volunteering is an act of contributing to the community or an organization without expecting financial reward.</t>
  </si>
  <si>
    <t>Volunteering involves working without receiving payment for it, usually for an organization or a purpose you care about. This can include anything from helping to at a local nursing home, contributing</t>
  </si>
  <si>
    <t>Volunteering involves contributing their time, knowledge and skills to various organizations, community projects or charitable purposes without receiving financial compensation. This may be</t>
  </si>
  <si>
    <t>The purpose of volunteering can vary, but generally it is about contributing to the community, helping other people or organizations, creating positive changes and developing oneself. Volunteering can also help</t>
  </si>
  <si>
    <t>Volunteer work can cover a variety of activities and tasks, depending on the organization or the purpose the volunteer work is aimed at. Some common areas that volunteering can cover</t>
  </si>
  <si>
    <t>On Christmas Eve it is usually Santa Claus who delivers gifts to children around the world. According to the tradition, Santa comes down through the chimney and puts the gifts under the Christmas tree while the children sleep.</t>
  </si>
  <si>
    <t>On Christmas Eve, Santa Claus usually brings gifts to the children. He is a popular figure that symbolizes generosity and joy in Christmas time.</t>
  </si>
  <si>
    <t>On Christmas Eve it is usually Santa Claus who gives out gifts to the children. But it can also be parents, siblings, friends or other family members who give gifts to each other on Christmas Eve. It varies from family to family.</t>
  </si>
  <si>
    <t>On Christmas Eve it is usually Santa Claus who distributes gifts to the children. But in some families, it can also be parents, siblings or other family members who distribute the gifts. It varies from family to family.</t>
  </si>
  <si>
    <t>On Christmas Eve it is usually Santa Claus who brings gifts to the children. He is a popular figure in the Christmas celebration and is known for traveling around in a slide drawn by reindeer and laying gifts under the Christmas tree</t>
  </si>
  <si>
    <t>On Christmas Eve, it is customary that the gifts are given by Santa Claus, who according to tradition comes to visit and puts the gifts under the Christmas tree while the children sleep. Some families also choose to have a gift outlet.</t>
  </si>
  <si>
    <t>No, unfortunately, foreign nationals cannot vote in the general election in Norway. Only Norwegian citizens have the right to vote in general elections. Foreign citizens may have the right to vote in municipal and municipal elections.</t>
  </si>
  <si>
    <t>No, foreign nationals do not have the right to vote in general elections in Norway. The right to vote in general elections is limited to Norwegian citizens. Foreign citizens may have the right to vote in the municipalities.</t>
  </si>
  <si>
    <t>No, non-Norwegian citizens do not have the right to vote in the general election in Norway. Only Norwegian citizens have the right to vote in the general election.</t>
  </si>
  <si>
    <t>No, unfortunately, foreign nationals are not eligible to vote in general elections in Norway. Only Norwegian citizens have the right to vote in such elections.</t>
  </si>
  <si>
    <t>No, unfortunately, foreigners can not vote in the general election in Norway unless they are Norwegian citizens. Foreigners who are not Norwegian citizens do not have the right to vote in the general election.</t>
  </si>
  <si>
    <t>No, the right to vote in general elections in Norway is only for Norwegian citizens. Foreign nationals do not have the right to vote in general elections.</t>
  </si>
  <si>
    <t>Svalbard is an island group located in the Arctic, north of mainland Norway. It is part of the Kingdom of Norway, but has a special status with certain autonomy rights. Svalbard is known for its</t>
  </si>
  <si>
    <t>Svalbard is a group of islands consisting of several islands, the largest of which are Spitsbergen, Nordaustlandet, Edgeøya and Barentsøya. Svalbard belongs to Norway and is located in the Arctic, north of the mainland.</t>
  </si>
  <si>
    <t>Svalbard is a group of islands located far north of Norway, in the Arctic. Some characteristics of the Svalbard include glaciers, Arctic wildlife such as icy bears and reindeer, midnight sunshine around</t>
  </si>
  <si>
    <t>On Svalbard we find a unique Arctic nature with glaciers, fjords, mountains and wildlife such as icy bears, reins and hvalros. There are also several research stations and mining operations in Øygr.</t>
  </si>
  <si>
    <t>Svalbard is a Norwegian island group in the Arctic, located approximately in the middle between mainland Norway and the North Pole. The island group consists of several islands, of which Spitsbergen is the largest and most famous. Svalbard is K</t>
  </si>
  <si>
    <t>Svalbard is an island group in the Arctic that belongs to Norway. It consists of several islands, of which Spitsbergen is the largest and most famous. Svalbard is known for its beautiful and harsh nature, with glaciers, fj</t>
  </si>
  <si>
    <t>An association of workers is called a trade union.</t>
  </si>
  <si>
    <t>A trade union is also called a trade union.</t>
  </si>
  <si>
    <t>A trade union can be called a trade union. There are various trade unions that represent workers in different industries and professions.</t>
  </si>
  <si>
    <t>A trade union of workers is called a trade union.</t>
  </si>
  <si>
    <t>The name of an employee organization is a trade union.</t>
  </si>
  <si>
    <t>In Norway, the state is responsible for the hospitals through the health facilities, which are subject to the Ministry of Health and Care. Primary health care services, such as doctors</t>
  </si>
  <si>
    <t>In Norway, the state has the overall responsibility for hospitals through the Ministry of Health and Care. The state finances and regulates the operation of hospitals, while the municipalities are responsible for primary health care.</t>
  </si>
  <si>
    <t>In Norway, the state has the overall responsibility for hospitals, while municipalities have the responsibility for primary health services, such as medical offices and health stations. Hospitals are owned and run by health</t>
  </si>
  <si>
    <t>In Norway, hospitals are managed by healthcare companies, which are their own legal entities subject to state ownership and management. Healthcare providers are responsible for the operation of hospitals and other health services in the</t>
  </si>
  <si>
    <t>In Norway, the state has the overall responsibility for hospitals through the Ministry of Health and Care. However, it is the regional health institutions that are responsible for the operation of the sick.</t>
  </si>
  <si>
    <t>In Norway, the state has the overall responsibility for the management and financing of hospitals through the Ministry of Health and Care. The municipalities are responsible for primary health services, such as</t>
  </si>
  <si>
    <t>Yes, in Norway, children have the right to kindergarten from the age of one until school start. This law is laid down in the Childcare Act. The kindergarten should be an offer for all children, regardless of the island of their parents</t>
  </si>
  <si>
    <t>Yes, in Norway children have the right to kindergarten from the age of one year. This law is laid down in the Childcare Act. The municipality is responsible for providing kindergarten for all children who have reached the age of one year.</t>
  </si>
  <si>
    <t>Not all children can go to kindergarten. There are various reasons for this, for example, that there are no vacant places, that the child has special needs that cannot be cared for in a regular kindergarten, or that the child has special needs.</t>
  </si>
  <si>
    <t>Yes, in Norway, children have a statutory right to kindergarten from the year they are one year old. This is regulated by the Childcare Act.</t>
  </si>
  <si>
    <t>Yes, in Norway, children have the right to go to kindergarten from the age of one. Kindergarten is an important arena for play, learning and social development for children, and it is therefore a right for children to have access to kindergartens.</t>
  </si>
  <si>
    <t>Yes, in Norway children have the right to kindergarten from the age of one year. This is regulated by the Childcare Act, and the municipalities are obliged to provide childcare space to all children who reach one year by the end of the year.</t>
  </si>
  <si>
    <t>If you have paid too little tax, you may be required to pay additional fees and possible penalties. It is important to make sure to pay proper taxes to avoid such consequences. H H</t>
  </si>
  <si>
    <t>The consequences of too low tax payments can be serious and vary depending on the country’s tax system and laws. Some possible consequences may include: 1. Fines and penalties: If a person or company does not</t>
  </si>
  <si>
    <t>If you owe taxes, you must pay that amount to the tax authorities within the deadline. If you do not pay the tax you owe, you may have to pay interest and fees, as well as other costs.</t>
  </si>
  <si>
    <t>The consequences of failing to pay taxes may vary depending on the country’s tax laws and regulations. Generally speaking, the consequences may include: 1. Implementation of additional fees and fees.   2nd Opportunity for »</t>
  </si>
  <si>
    <t>If you pay too little tax, you may be required to pay additional fees and interest by the tax authority. This may lead to financial consequences and potentially legal consequences, depending on the</t>
  </si>
  <si>
    <t>Paying too little tax can lead to serious consequences, such as fines, interest and other penalties from the tax authorities. It can also lead to a loss of trust from the community and potentially swear</t>
  </si>
  <si>
    <t>The Employment Safety Act applies to everyone who is working in Norway, both employees and employers. The purpose of the law is to ensure a safe and good working environment for all employees, and it regulates among</t>
  </si>
  <si>
    <t>The Employment Safety Act covers all workers in Norway, regardless of the sector in which they work.</t>
  </si>
  <si>
    <t>The Employment Safety Act applies to all employees and employers in Norway. It aims to ensure a safe and good working environment for all employees, regardless of industry or sector. L</t>
  </si>
  <si>
    <t>The Employment Safety Act protects all workers in Norway, regardless of the sector in which they work.</t>
  </si>
  <si>
    <t>The Employment Safety Act applies to everyone who is employed in Norway, regardless of whether they are a permanent employee, temporary employee, employee, apprenticeship, internship student or self-employed.</t>
  </si>
  <si>
    <t>The Employment Safety Act is intended to ensure a safe and good working environment for all workers in Norway. It regulates, among other things, the rights and duties of workers, the employer's responsibilities for</t>
  </si>
  <si>
    <t>You have the right to an interpreter in various situations where it is necessary to ensure good communication. This may occur, for example, during medical visits, in court proceedings, in meetings with public authorities or</t>
  </si>
  <si>
    <t>You can require an interpreter in various situations, such as during trials, medical visits, meetings with public authorities or other situations where an interpreter is needed to ensure good communication.</t>
  </si>
  <si>
    <t>Interpreting services may be available in different locations, depending on the needs. Some common places where interpreting services may be available include hospitals, court halls, schools, and public</t>
  </si>
  <si>
    <t>You are entitled to an interpreter in various situations where it is necessary to ensure good communication. This can be during medical visits, in court cases, in meetings with public authorities, at school or in public institutions.</t>
  </si>
  <si>
    <t>You can get an interpreter through interpreting services provided by public authorities, organizations or interpreting agencies. It may also be possible to obtain an interpreter through non-governmental organizations or through a digital interpreter.</t>
  </si>
  <si>
    <t>You are entitled to interpreting in various situations, such as in healthcare, in court proceedings, in meetings with public authorities and in educational contexts. It is important to contact the current</t>
  </si>
  <si>
    <t>Curriculum at the school is usually determined by the school’s management in collaboration with the teachers and relevant professionals. Curricula may also be determined by national educational authorities or follow national teachings.</t>
  </si>
  <si>
    <t>The school’s curriculum is usually established by the school’s management in cooperation with the teachers and in accordance with national guidelines and curricula. The curriculum can vary depending on the school’s level.</t>
  </si>
  <si>
    <t>In Norway, the Directorate of Education is responsible for establishing curricula for primary and secondary education. The Education Directorate prepares curricula in collaboration</t>
  </si>
  <si>
    <t>The authority over school pensions varies from country to country and can be divided between different instances. In most cases, it is the educational authorities, such as the Ministry of Education or equivalent</t>
  </si>
  <si>
    <t>The curriculum at the school is usually managed by the school’s management, teachers and professional managers. They follow national guidelines and curricula established by the educational authorities. These directions</t>
  </si>
  <si>
    <t>The teaching content is usually determined by curricula established by the educational authorities in each country. Schools and teachers usually have a certain freedom to adapt the teaching within r</t>
  </si>
  <si>
    <t>Parents usually have to pay for their children’s basic needs such as food, clothing, housing, education and health care. They also need to ensure the safety, care and upbringing of their children. In addition, parents can</t>
  </si>
  <si>
    <t>Parents’ financial responsibilities for their children include providing for their children’s basic needs such as food, clothing, housing and health care. Parents also have the responsibility to ensure the children's education and other</t>
  </si>
  <si>
    <t>Parents are responsible for covering costs that are necessary to meet children’s basic needs, such as food, clothing, housing, health care and education. This also includes any additional costs.</t>
  </si>
  <si>
    <t>Parents are generally obliged to provide for children’s basic needs, including food, clothing, shelter, education and health care. This can include costs such as food, clothing, housing, with</t>
  </si>
  <si>
    <t>Parents usually have to finance a range of expenses for their children, including food, clothing, housing, education, health care, leisure activities and other necessities. They also need to ensure that the children</t>
  </si>
  <si>
    <t>Parents have a duty to provide for their children’s financial needs, including food, clothing, housing, education and health care. This can include expenses such as kindergarten, school fees, medical</t>
  </si>
  <si>
    <t>I need some more information to answer your question. Can you tell me which country you are?</t>
  </si>
  <si>
    <t>It depends on where you are. If you give me a little more information about where you are, I can help you identify which countries are next to you.</t>
  </si>
  <si>
    <t>To answer your question, I need to know which country you are in.</t>
  </si>
  <si>
    <t>I need some more information to answer your question. Can you tell me which country or region you are referring to?</t>
  </si>
  <si>
    <t>Your neighboring countries depend on which country you are in. Can you indicate which country you are thinking of so that I can give you the correct information?</t>
  </si>
  <si>
    <t>To answer your question, I need to know which country you live in.</t>
  </si>
  <si>
    <t>Students receive grades in the various subjects they take in school. The grades are usually given in the form of letters or numbers, reflecting students’ achievements and skills in the subject. The characters are used to</t>
  </si>
  <si>
    <t>Students usually start getting grades from high school, which usually starts in 8th or 9th grade, depending on the country and school system. Before this, it is often more focused on progress.</t>
  </si>
  <si>
    <t>Characters are usually introduced in elementary school, so the first step starting with grades is usually Step 1.</t>
  </si>
  <si>
    <t>Characters are usually given from elementary school and upwards, depending on the country’s educational system. Typically, grades start from 1st grade or equivalent age.</t>
  </si>
  <si>
    <t>Students in Norway usually receive grades for the first time in 8th grade. This is common practice, but it can vary from school to school.</t>
  </si>
  <si>
    <t>Students are typically assessed by grades at the end of a period, such as a semester or a school year. Grades can also be given on tests, submissions and other assessment forms throughout the school year. Kar</t>
  </si>
  <si>
    <t>The capital of which country? Please indicate the country you are wondering about.</t>
  </si>
  <si>
    <t>The capital of which country? Please indicate the country you are thinking of, and I can give you the correct answer.</t>
  </si>
  <si>
    <t>The capital of a country may vary, but some examples of capitals are Oslo in Norway, London in the United Kingdom, Paris in France and Washington D.C. in the United States. Which country are you interested in knowing more about?</t>
  </si>
  <si>
    <t>Which country are you talking about? I can help you find the capital if you enter the country.</t>
  </si>
  <si>
    <t>The largest city in the world by population is Tokyo in Japan.</t>
  </si>
  <si>
    <t>The largest city in the world by population is Tokyo in Japan. But if you think of the area, it is Chongqing in China that is the largest city. What type of size are you thinking about?</t>
  </si>
  <si>
    <t>The city with the largest population in the world is Tokyo in Japan. With over 37 million inhabitants in the metropolitan area, Tokyo is the most populous city in the world.</t>
  </si>
  <si>
    <t>The largest city in area is Hulunbuir in Inner Mongolia, China. It has an area of about 263,953 square kilometers.</t>
  </si>
  <si>
    <t>It varies from country to country. In the United States, presidential elections are held every four years, while in Norway, general elections are held every four years. Local elections can also be held at different intervals. If you</t>
  </si>
  <si>
    <t>Elections are held at regular intervals in different countries, but the frequency may vary. In some countries elections are held annually, while in others there may be longer periods between the elections. For example, a large</t>
  </si>
  <si>
    <t>Elections are usually held at regular intervals in democratic countries, such as national elections every four years in many countries. Local elections may be held more often, for example, every second or</t>
  </si>
  <si>
    <t>The frequency of choices refers to how often a particular choice is made in a given period of time. For example, the frequency of choices can be the number of times a particular action or decision is taken over the course of the period.</t>
  </si>
  <si>
    <t>Elections are usually held at regular intervals in accordance with the laws and regulations of each country. In some countries, there may be fixed elections, for example, every four years, while in other countries, elections may be held.</t>
  </si>
  <si>
    <t>Elections are usually held at regular intervals in democratic countries, such as national elections every four years. There may also be local elections, regional elections and other forms of elections held with different</t>
  </si>
  <si>
    <t>The northernmost city in the world is Longyearbyen on the Svalbard, which lies at 78¬∞ north.</t>
  </si>
  <si>
    <t>The northernmost city in the world is Longyearbyen on the Svalbard, located north of mainland Norway.</t>
  </si>
  <si>
    <t>The northernmost city in the world is Longyearbyen, located on the Svalbard Islands in the Arctic.</t>
  </si>
  <si>
    <t>The northernmost city is Longyearbyen on the Svalbard.</t>
  </si>
  <si>
    <t>The northernmost city is Hammerfest in Norway.</t>
  </si>
  <si>
    <t>The northernmost city in the world is Longyearbyen, located on the Svalbard island group in the Arctic.</t>
  </si>
  <si>
    <t>Population refers to the number of people living in a particular area, such as a city, country or region. The population can be measured by counting the number of inhabitants, and this number can vary over time.</t>
  </si>
  <si>
    <t>The population varies from country to country. Can you specify which country you are interested in?</t>
  </si>
  <si>
    <t>I’m sorry, but I don’t have access to real-time data on the population. You can check the official statistics pages or search the web to find the information you are looking for. If there is anything else I can do</t>
  </si>
  <si>
    <t>Sorry, but I need more information to answer your question. Can you specify which place or area you refer to when asking how many people live there?</t>
  </si>
  <si>
    <t>I need some more information to answer your question. Can you tell me which country or place you are looking for?</t>
  </si>
  <si>
    <t>I need some more information to answer your question accurately. Can you specify which population you are referring to? Is it the population of a specific city, country or region?</t>
  </si>
  <si>
    <t>It depends on which country you are talking about. In Norway, for example, Ruter is a major provider of public transport in Oslo and Akershus, while Vy is a major provider of rail transport. In other countries, there may be other</t>
  </si>
  <si>
    <t>It is difficult to say exactly which company provides the most public transportation, as this can vary from country to country and region to region. Some of the largest public transport companies in the world include MTR Corporation in Hong Kong</t>
  </si>
  <si>
    <t>In most cities and towns, public transport companies account for the majority of public transportation. These companies operate buses, trams, subways, trains and other forms of public transport to bet</t>
  </si>
  <si>
    <t>It varies from place to place, but generally speaking, it is major cities and urban areas that offer most public transportation. This can include metro, tram, bus, train and other transportation options. Countries like Japan.</t>
  </si>
  <si>
    <t>In many cities and countries, the public transport system is dominated by state-owned companies or public transport companies. These companies may be responsible for operating buses, trains, trams, metro and other forms of off-road transport.</t>
  </si>
  <si>
    <t>The main player in public transport varies from country to country, but usually it is either state-owned companies, private companies or a combination of both. In Norway, for example, Ruter is an important player in</t>
  </si>
  <si>
    <t>There are many important animal species in the world, and it can vary depending on the context you look at. Some of the main animal species include bees, which are important for pollination of plants and food.</t>
  </si>
  <si>
    <t>It is difficult to say which animal species is "most important", since all species play an important role in the ecosystem. However, some species may be important forining the balance in nature, as</t>
  </si>
  <si>
    <t>It is difficult to say which animals are most significant, since every animal plays an important role in the ecosystem and has its own unique meaning. Some animals, such as bees, are</t>
  </si>
  <si>
    <t>All animal species play an important role in the ecosystem, but some of the most significant include bees (pollination of plants), sharks (top predators that regulate the ecosystem of the ocean), and elephants (</t>
  </si>
  <si>
    <t>The most central animal species vary depending on the context you think of. Some general examples of central animal species include humans, lions, elephants, whales, wolves, penguins and</t>
  </si>
  <si>
    <t>Some of the most prominent animal species include lions, elephants, tigers, gorillas, whales, dolphins, penguins, pandas, and many more. These animals are often known for their unique appearance</t>
  </si>
  <si>
    <t>The midnight sun is a natural phenomenon that occurs in areas north of the polar circle, where the sun does not go under the horizon at night during the summer months. This is because the Earth’s axis is right.</t>
  </si>
  <si>
    <t>The midnight sun is a phenomenon that occurs in areas north of the polar circle, where the sun does not go under the horizon at night during the summer months. This happens because the Earth's axis is more in relation to</t>
  </si>
  <si>
    <t>Midnight sun is a natural phenomenon that occurs in areas north of the polar circle in the summer. This means that the sun does not go under the horizon, and therefore it is bright all day. This happens because</t>
  </si>
  <si>
    <t>The Midnight Sun describes a phenomenon where the sun is visible over the horizon at night, which occurs in areas near the polar circles in the summer. This happens because the Earth's axis is inclined in relation</t>
  </si>
  <si>
    <t>The midnight sun is characterized by the fact that the sun is visible over the horizon throughout the day in areas north of the polar circle in summer. This phenomenon occurs due to the inclination of the Earth in relation to the Sun.</t>
  </si>
  <si>
    <t>Midnight sun refers to a phenomenon that occurs in areas north of the polar circle, where the sun does not go under the horizon at night during the summer months. This creates a period of constant daylight,</t>
  </si>
  <si>
    <t>The city has several ports. Oslo, which is the capital of Norway, has several ports along the Oslofjorden, including Oslo Harbour, Vippetangen and Filipstad. These ports are used for both passenger traffic and good</t>
  </si>
  <si>
    <t>There are ports in the city. Oslo, which is the capital of Norway, has several ports used for both passenger and freight traffic. Among the most famous ports in Oslo is the port of Oslo, Vippetangen.</t>
  </si>
  <si>
    <t>Yes, the capital usually has port facilities to enable trade and transport by sea. Port facilities are important infrastructures for supporting economic activity and connections with other regions.</t>
  </si>
  <si>
    <t>Yes, the capital of a country usually has ports or access to waterways for the transport of goods and people. In the capital of Norway, Oslo, there are several ports, including Oslo port, Sjursøya sea</t>
  </si>
  <si>
    <t>In the capital Oslo there are several ports, including Oslo port, Vippetangen, Filipstad and Sjursøya. Oslo Port is the largest and most important port in Norway and is an important hub for maritime transport.</t>
  </si>
  <si>
    <t>Yes, the capital usually has access to ports, especially if it is located on the coast or a river. Ports are important for trade, transport and tourism, so most capitals have access to ports either directly.</t>
  </si>
  <si>
    <t>The political structure varies from country to country, but generally it consists of different levels and bodies that govern and regulate society. This may include the government, parliament, courts,</t>
  </si>
  <si>
    <t>The political structure varies from country to country, but generally it consists of different levels of government, such as national governments, state or provincial governments and local authorities.</t>
  </si>
  <si>
    <t>The political system is a structure that governs how a country or organization is governed. It includes the government, legislative bodies, the judiciary and other institutions responsible for making decisions and</t>
  </si>
  <si>
    <t>The political structure varies from country to country, but generally it consists of different levels and bodies that govern and regulate society. In a democratic country, it is common to divide power into three sections.</t>
  </si>
  <si>
    <t>The political structure can vary from country to country, but generally it consists of different levels and bodies that govern and regulate society. This may include the government, parliament, courts,</t>
  </si>
  <si>
    <t>The political structure can vary from country to country, but some general characteristics include the distribution of power and authority between different political institutions, such as the government, parliament, judgment.</t>
  </si>
  <si>
    <t>The most common language in the world is Mandarin Chinese, with over 1 billion people speaking it as their mother tongue.</t>
  </si>
  <si>
    <t>The most widely spoken language in the world is Mandarin Chinese, with over 1 billion people speaking it as their mother tongue.</t>
  </si>
  <si>
    <t>The primary language usually refers to the primary language used in a particular region or country. Which country or region are you talking about? I can help you find information about the main language there.</t>
  </si>
  <si>
    <t>The most common language in the world is Mandarin Chinese, with over 1 billion people speaking it as their mother tongue. However, the most widely spoken mother tongue is English, with over 360 million speakers.</t>
  </si>
  <si>
    <t>The most spoken language in the world is Mandarin Chinese, with over 1 billion people speaking it as their mother tongue.</t>
  </si>
  <si>
    <t>English is the most widely spoken language in the world, both in terms of the number of native speakers and the number of people who use it as a second language. It is also the most widely spoken language on the Internet and internally.</t>
  </si>
  <si>
    <t>It depends on which flag you are talking about. Can you give me more information about which country or organization the flag belongs to?</t>
  </si>
  <si>
    <t>Which flag do you choose in the colors? I can help you identify the colors of a specific flag if you specify which country it belongs to.</t>
  </si>
  <si>
    <t>The flag has red, white and blue.</t>
  </si>
  <si>
    <t>The flag consists of the three colors red, white and blue.</t>
  </si>
  <si>
    <t>The colors of the flag vary from country to country. Which country’s flag do you want the colors of?</t>
  </si>
  <si>
    <t>The flag has a blue shade and a red shade.</t>
  </si>
  <si>
    <t>There are 356 municipalities in Norway by 2021.</t>
  </si>
  <si>
    <t>By 2021, there are a total of 356 municipalities in Norway.</t>
  </si>
  <si>
    <t>As of 2021, there are 356 municipalities in Norway.</t>
  </si>
  <si>
    <t>It is advisable to carry identification at all times, especially if you are traveling or performing transactions that require identification. Although it is not required to always carry identification, it may be useful to have it</t>
  </si>
  <si>
    <t>It’s not always required to carry identification, but you might want to bring your ID in case you need to prove who you are. Some situations where it may be necessary to show identification include</t>
  </si>
  <si>
    <t>It depends on the situation. In many cases, it is advisable to have identification with you, especially if you need to prove who you are, such as when traveling, buying alcohol or attending events. It can also</t>
  </si>
  <si>
    <t>It’s a good idea to have an identification card with you when you’re out and moving, especially if you’re going to drive a car, travel by public transport or visit public places. Identification can be useful in case you need</t>
  </si>
  <si>
    <t>It is advisable to carry identification at all times, especially if you are traveling or performing transactions that require identification. It can also be useful in emergencies or if you are stopped by the police. Although it</t>
  </si>
  <si>
    <t>In many situations, you may want to bring identification, especially if you need to prove who you are. In some places, it may also be a requirement to carry an identification, for example when traveling in public.</t>
  </si>
  <si>
    <t>It depends on which country you are talking about. Can you give me more information so that I can give you a more accurate answer?</t>
  </si>
  <si>
    <t>It depends on which country you are targeting. Which country are you interested in knowing the number of administrative regions for?</t>
  </si>
  <si>
    <t>It depends on which country or region you are targeting. Can you give me more information so that I can give you a more accurate answer?</t>
  </si>
  <si>
    <t>In Norway there are 11 administrative regions, also known as counties. These are Oslo, Viken, Innlandet, Vestfold and Telemark, Agder, Rogaland, Vestland, Møre and Romsdal, Trøndelag, Nordland and Trom</t>
  </si>
  <si>
    <t>It depends a bit on which country you are talking about, but in France, for example, there are 18 administrative regions. If you have a specific country in mind, I can give you more accurate information.</t>
  </si>
  <si>
    <t>I need a little more context to answer your question. Which regions are you talking about? Please give me more information and I will try to help you.</t>
  </si>
  <si>
    <t>I’m sorry, but I don’t have access to accurate information about how many square meters there are in the country. If you have a specific country in mind, I can help you find information about the size of land</t>
  </si>
  <si>
    <t>I need some more information to answer your question accurately. Which country are we talking about?</t>
  </si>
  <si>
    <t>The size of a country can vary greatly depending on which country it is. For example, Russia is the largest country in the world with a size of over 17 million square kilometers. If you have</t>
  </si>
  <si>
    <t>I am sorry, but I need more information to be able to answer your question accurately. Can you give me more context or specify which country you are referring to?</t>
  </si>
  <si>
    <t>I’m sorry, but I don’t have access to accurate information about the number of square miles in each country. If you have a specific country in mind, I can help you find this information on</t>
  </si>
  <si>
    <t>Sorry, but I need more information to answer your question. Which country are we talking about? Please enter the name of the country you are asking for the area size for.</t>
  </si>
  <si>
    <t>The size of the country in square miles depends on which country you refer to. If you enter the name of the country, I can help you find the exact size in square miles.</t>
  </si>
  <si>
    <t>I need more information to answer your question accurately. Which country are we talking about?</t>
  </si>
  <si>
    <t>I’m sorry, but I don’t have access to updated figures for the country’s total square miles. To obtain accurate information about this, you can check official sources such as the Central Statistical Office or</t>
  </si>
  <si>
    <t>In Norway, immigrants and Norwegians born with immigrant parents make up about 17% of the population. This number can vary slightly from year to year due to immigration and birth rates.</t>
  </si>
  <si>
    <t>The official mourning day may vary depending on the event or situation it provides. If you can provide more information about what you are referring to, I can give you more accurate information.</t>
  </si>
  <si>
    <t>Official mourning days may vary depending on the country and situation. If you can provide more information about which country or event you are referring to, I can help you find the specific date.</t>
  </si>
  <si>
    <t>The official day of mourning is usually marked on a Friday.</t>
  </si>
  <si>
    <t>The official day of mourning varies from country to country and may be associated with different events or traditions. If you can provide more information about which country or event you are thinking about, I can help you with</t>
  </si>
  <si>
    <t>The official day of mourning varies from country to country and may also be related to specific events or traditions. For example, national mourning days can be marked after tragedies, such as national disasters or losses.</t>
  </si>
  <si>
    <t>The National Day in Norway is May 17.</t>
  </si>
  <si>
    <t>The National Day is celebrated in Norway on May 17.</t>
  </si>
  <si>
    <t>The Constitution Day is celebrated in Norway on May 17.</t>
  </si>
  <si>
    <t>In Norway, Constitution Day is celebrated on May 17 every year.</t>
  </si>
  <si>
    <t>In Norway, Constitution Day is celebrated on May 17 every year. The National Day marks the adoption of the Norwegian Constitution on 17 May 1814.</t>
  </si>
  <si>
    <t>On Sundays, you can spend your time relaxing, enjoying yourself with a good book or movie, taking a walk out in nature, exercising or spending time with friends and family. The most important thing is to do something that gives you joy.</t>
  </si>
  <si>
    <t>On Sundays, you might want to spend time relaxing, relaxing and charging for the upcoming week. For example, you can take a quiet walk in nature, read a good book, spend time</t>
  </si>
  <si>
    <t>On Sundays you can do a lot of different things depending on what you like to do. Here are some suggestions: 1. Take a quiet morning with a good breakfast and a cup of coffee or tea.  2nd Go on a walk.”</t>
  </si>
  <si>
    <t>Of course! Here are some suggestions for what you can do on Sunday: 1. Take a walk out in nature for a relaxing walk or picnic.  2nd Visit a local art exhibition or museum for some cultural"</t>
  </si>
  <si>
    <t>Some great activities for Sunday can be to take a quiet morning with a good breakfast, go for a walk in nature, visit a local park or beach, go to a cultural or artistic event, have a picnic, laugh</t>
  </si>
  <si>
    <t>Some things that usually cost a lot of money include luxury cars, exclusive properties, designer bags, expensive jewelry, private jets, and luxury hotels. Investments such as works of art, antiques and valuables</t>
  </si>
  <si>
    <t>Expensive things can vary depending on what you refer to. Some examples of expensive items can be jewelry, luxury cars, properties, artworks, electronics and exclusive clothes. It can also be expensive</t>
  </si>
  <si>
    <t>Some things that usually have a high price include luxury cars, exclusive jewelry, designer clothes, properties in popular areas and exclusive holidays. It can also be services such as private health care, person</t>
  </si>
  <si>
    <t>What is expensive can vary depending on what you are talking about. Some common things that can be expensive include luxury goods, exclusive services, specialized medical care, property in attractive</t>
  </si>
  <si>
    <t>What is considered expensive can vary depending on the person’s financial situation and priorities. In general, things like luxury goods, exclusive services, high-end technology and properties can be considered expensive. It can</t>
  </si>
  <si>
    <t>People usually behave politely and respectfully on the bus. They take care of other passengers by keeping noise low, giving room to the elderly or disabled, and following the bus’s rules</t>
  </si>
  <si>
    <t>Typical behavior on the bus includes being polite and respectful to other passengers and the driver, giving up the seat to the elderly, disabled or pregnant passengers, not playing h</t>
  </si>
  <si>
    <t>People usually behave politely and respectfully on the bus. They take care of other passengers by not being too loud, not taking up too much space, and giving the seat to the elderly, functional and</t>
  </si>
  <si>
    <t>Common behavior on the bus includes respecting other passengers by not being too loud, not taking up too much baggage space, and giving the seat to elderly, disabled or pregnant passengers</t>
  </si>
  <si>
    <t>People’s behavior on the bus can vary, but generally speaking, it is common for people to behave politely and respectfully. Sometimes it can be a bit noisy or disorganized, especially in the rush time.</t>
  </si>
  <si>
    <t>It is common politeness to take off your shoes before entering a home, especially if the host asks you to do so. This can vary from culture to culture, so it’s advisable to follow the host’s practices or ask</t>
  </si>
  <si>
    <t>It is common politeness to take off your shoes before entering a home, especially in many cultures and countries. This can help keep your home clean and clean, as well as show respect for your host’s home. It is IM</t>
  </si>
  <si>
    <t>It can vary based on cultural norms and personal preferences. In many cultures, it is common to take off your shoes before entering a home to keep the floors clean. It is always good to follow.</t>
  </si>
  <si>
    <t>It depends on the culture and traditions of the specific home or country. In some cultures, it is common to take off your shoes before entering a home to keep it clean and clean. In other cults</t>
  </si>
  <si>
    <t>It is common politeness to take off your shoes before entering a home, especially if the host asks you to do so. This can vary from culture to culture, but it’s always a good idea to ask the host what’s used to.</t>
  </si>
  <si>
    <t>May 17 is Norway’s National Day, also known as the Constitution Day. The day is celebrated with child train, Russian train, flag lifting, national anthem, speeches, toys, ice cream, sausages and other festivities.</t>
  </si>
  <si>
    <t>May 17 is Norway’s National Day, also known as the Constitution Day. The day is celebrated to mark the signing of the Norwegian Constitution in 1814. The celebration involves a variety of activities, including the child</t>
  </si>
  <si>
    <t>May 17 is Norway’s National Day, also known as the Constitution Day. On this day, Norwegians celebrate the country’s independence, which was declared in 1814. Some of the events that take place include</t>
  </si>
  <si>
    <t>On May 17, we celebrate the Constitution Day of Norway, which is Norway’s national day. On this day we celebrate that Norway received its own constitution in 1814.</t>
  </si>
  <si>
    <t xml:space="preserve">May 17 is Norway’s National Day, and there are many activities that take place on this day. Here are some of them: 1. Children’s train: This is one of the most famous activities on May 17. “Children from different schools” </t>
  </si>
  <si>
    <t>May 17 is Norwegian National Day. The day is celebrated to mark the signing of the Constitution in 1814, which declared Norway as an independent kingdom. Celebration is often</t>
  </si>
  <si>
    <t>Independence Day usually refers to July 4 in the United States. However, many countries have their own Independence Day on different dates. Can you specify which country’s Independence Day you refer to?</t>
  </si>
  <si>
    <t>The date for celebrating Independence Day may vary from country to country. For example, in the United States, Independence Day is celebrated on July 4, while in Norway, National Day is celebrated, which also marks countries.</t>
  </si>
  <si>
    <t>Independence Day is celebrated on different dates around the world, depending on when a country achieved its independence. In the United States, Independence Day is celebrated on the 4th.</t>
  </si>
  <si>
    <t>Independence Day in the United States, also known as 4 July, is celebrated on 4 July each year. However, it is important to note that Independence Day may vary from country to country. For example</t>
  </si>
  <si>
    <t>Independence Day is celebrated in the United States on July 4. However, it is important to note that many countries have their own Independence Day on different dates.</t>
  </si>
  <si>
    <t>Independence Day varies from country to country. In the United States, Independence Day is celebrated on 4 July, while in Norway it is celebrated on 17 May. Can you specify which country you refer to?</t>
  </si>
  <si>
    <t>The legal age for drinking alcohol varies from country to country. In many countries, including the United States, the legal age is 21 years. In many European countries, including Norway, the legal age is 18 years</t>
  </si>
  <si>
    <t>The age limit for drinking alcohol varies from country to country. In Norway, the age limit is 18 years for alcohol with a percentage of alcohol below 22%, and 20 years for alcohol with a higher percentage of alcohol.</t>
  </si>
  <si>
    <t>The age limit for drinking alcohol varies from country to country. In many countries, including the United States, the age limit is 21 years. In many European countries, including Norway, the age limit is 18 years for alcohol</t>
  </si>
  <si>
    <t>The laws on alcohol consumption vary from country to country. In many countries, including the United States and the United Kingdom, the legal drinking age is 21 and 18 years, respectively. In Norway it is allowed to drink.</t>
  </si>
  <si>
    <t>The age for legal alcohol consumption varies from country to country. In many countries, including the United States, the age limit is 21 years. In many European countries, including Norway, the age limit is 18 years for alcohol with low</t>
  </si>
  <si>
    <t>It depends on many factors such as your weight, height, gender, how quickly you drink, and what you have eaten. Even if you may feel able to drive, alcohol may still affect your health.</t>
  </si>
  <si>
    <t>It depends on many factors, including your weight, gender, how quickly you drink, and whether you have eaten. While it may be legal to drive after a drink in some countries, alcohol can affect your ability</t>
  </si>
  <si>
    <t>It depends on several factors, including where you live, your body weight, how much alcohol was in the drink, and how much time has passed since you drank it. In many countries, including Norway, the law</t>
  </si>
  <si>
    <t>It depends on many factors such as the type of drink, body weight, how quickly you drink, and whether you have eaten. However, it is important to note that even small amounts of alcohol can affect your ability to drive. In many countries</t>
  </si>
  <si>
    <t>The laws on alcohol and driving vary from country to country. In general, it is illegal to drive with a blood alcohol concentration (BAK) above a certain limit. In many countries, including Norway, this branch is</t>
  </si>
  <si>
    <t>Alcohol and driving laws vary from country to country. In many countries, including Norway, the legal limit is 0.2 promile. This means that even a small amount of alcohol can do it.</t>
  </si>
  <si>
    <t>Father’s Day is celebrated on the second Sunday in November in Norway. The date may vary in other countries.</t>
  </si>
  <si>
    <t>Father’s Day is celebrated on the second Sunday in November in Norway. The date varies every year.</t>
  </si>
  <si>
    <t>In Norway, Father’s Day is celebrated on the second Sunday in November.</t>
  </si>
  <si>
    <t>Father’s Day is celebrated on the second Sunday in November in Norway. The date varies from year to year.</t>
  </si>
  <si>
    <t>Father’s Day is celebrated on the second Sunday in November in Norway.</t>
  </si>
  <si>
    <t>Father’s Day is celebrated on different dates around the world. In Norway, Sweden and Finland it is celebrated on the second Sunday of November. In the United States and many other countries, it is celebrated on the third Sunday in June.</t>
  </si>
  <si>
    <t>A regular lunch snack can vary depending on culture and personal preferences, but some examples can be a fruit, yogurt, nuts, a protein bar, vegetables with hummus, or a small sandwich.</t>
  </si>
  <si>
    <t>Typical lunch snacks can vary depending on personal preferences and cultural differences, but some common choices may include fruit, vegetables, nuts, yogurt, cheese and biscuits, granolabar,</t>
  </si>
  <si>
    <t>Some common lunch snacks can include: 1. Fruits and vegetables: Apples bananas grapes carrots celery and cherry tomatoes are all great choices. Nuts and Seeds »</t>
  </si>
  <si>
    <t>People tend to eat different types of lunch snacks based on their personal preferences and diet. Some popular choices may include fruits, vegetables, nuts, yogurt, protein bars, cheese</t>
  </si>
  <si>
    <t>Some popular lunch snacks may include fruits, nuts, yogurt, vegetables with hummus, protein bars, smoothies, and healthy sandwiches. The choice of lunch snack can vary depending on the personal</t>
  </si>
  <si>
    <t>Common lunch snacks can vary depending on cultural and personal preferences, but some common options may include fruit, vegetables, nuts, yoghurt, granolabar, cheese and biscuits, or a</t>
  </si>
  <si>
    <t>The laws surrounding gun ownership vary greatly depending on where you live. In many countries it is permitted to own a weapon, but it often requires a license and strict background checks. In some countries, weapons are</t>
  </si>
  <si>
    <t>Laws on gun ownership vary greatly from country to country, and sometimes within different regions of the same country. In some countries it is legal to possess a weapon with proper permission and after fulfilling certain requirements.</t>
  </si>
  <si>
    <t>As an AI, I have no control over physical objects. But it’s important to note that the laws of gun possession vary greatly depending on where you live. You should check local laws and regulations. House</t>
  </si>
  <si>
    <t>The laws on weapons ownership vary greatly from country to country. In some countries, such as the United States, it is a constitutional right to own weapons, while in other countries, such as Japan, it is strictly prohibited. In most countries is</t>
  </si>
  <si>
    <t>As an AI, I can’t help you get a weapon. However, I can inform you that there are strict laws and regulations surrounding the purchase and possession of weapons in many countries. It is important to follow these</t>
  </si>
  <si>
    <t>Generally speaking, most countries require you to have a valid reason for owning a weapon, such as hunting or sports.</t>
  </si>
  <si>
    <t>In Norway, employees are entitled to a minimum of 25 working days of leave each year, which is equivalent to four weeks and one day. If you are over 60 years old, you are entitled to a vacation. V</t>
  </si>
  <si>
    <t>In Norway, as a worker, you have the right to a minimum of 25 working days of leave during a calendar year, according to the Holiday Act. This is equivalent to four weeks and one day. If you are over 60 years old, you are entitled to</t>
  </si>
  <si>
    <t>In Norway, you are entitled to a minimum of 25 working days of holiday during a calendar year, according to the Ferielagen. This is equivalent to five weeks of vacation. If you are over 60 years old, you are entitled to a vacation.</t>
  </si>
  <si>
    <t>In Norway, you are entitled to at least 25 working days of holiday each year according to the holiday law. This is equivalent to four weeks and one day. If you are over 60 years old, you are entitled to a vacation. Note that</t>
  </si>
  <si>
    <t>In Norway, you are entitled to a minimum of 25 working days of holiday each year. If you are over 60 years old, you are entitled to an extra week. Please note that this may vary depending on work.</t>
  </si>
  <si>
    <t>The number of holidays you are entitled to may vary depending on your employment contract and the country’s labor laws. In Norway, you are normally entitled to 25 working days of holiday during a calendar year according to the holiday law.</t>
  </si>
  <si>
    <t>You can buy wine at Vinmonopolet in Norway. Remember that there is an age limit of 18 years for alcohol with a percentage of alcohol below 22%, and 20 years for alcohol with a higher percentage of alcohol.</t>
  </si>
  <si>
    <t>Brandy wine can be purchased in Norway at Vinmonopolet, which is the state retail trade for wine, brandy wine and strong beer. You can also buy it at tax-free stores at airports or online stores that have</t>
  </si>
  <si>
    <t>Brandy wine is sold in Norway mainly on Vinmonopolet, which has a state monopoly on the sale of wine, brandy wine and strong beer. In other countries, it may vary, but it is often sold in specialized alcoholic drinks.</t>
  </si>
  <si>
    <t>You can buy wine at Vinmonopolet in Norway. In other countries, it can vary, but often there are specialized alcohol dealers or supermarkets that sell spirits. Always act responsibly and</t>
  </si>
  <si>
    <t>Wine can be purchased in monopoly stores in Norway. In other countries, it can be purchased at different alcohol dealers, depending on the country’s alcohol laws. There are also online shops that</t>
  </si>
  <si>
    <t>Wine can be purchased in monopoly stores in Norway. In other countries, it can be purchased at different alcohol dealers, depending on the country’s alcohol laws. Always drink responsibly.</t>
  </si>
  <si>
    <t>This may vary depending on the country you live in and your employer’s policies. In Norway, women are entitled to 49 weeks with 100% pay or 59 weeks with 80% pay during maternity leave. This inkl</t>
  </si>
  <si>
    <t>The number of days you get free from childbirth can vary depending on where you live and the type of job you have. In Norway, fathers are entitled to two weeks of maternity leave. This is known as birth.</t>
  </si>
  <si>
    <t>In Norway, parents are entitled to parental leave in connection with birth. The length of leave you get can vary depending on several factors, but generally speaking the main rules are as follows: - Mother has the right to 3 weeks"</t>
  </si>
  <si>
    <t>In Norway, the total leave period at birth is 49 weeks with 100% pay or 59 weeks with 80% pay. This includes both mother and father’s quota. It is important to note that this can vary.</t>
  </si>
  <si>
    <t>In Norway, parents are entitled to parental leave in connection with birth. Mothers are entitled to 3 weeks before birth. After birth, there are a total of 49 weeks of full pay or 59 weeks of 80 weeks.</t>
  </si>
  <si>
    <t>The rules for birth leave may vary depending on the country and the employer, but in Norway the general rules are as follows: 1. Fathers are entitled to two weeks of leave after birth. This is known as Fatherhood.”</t>
  </si>
  <si>
    <t>Privacy laws are legal rules and regulations that are designed to protect individuals’ personal information. These laws regulate how organizations and may collect, store, use and share personal information. They give</t>
  </si>
  <si>
    <t>Privacy laws vary from country to country, but generally they are designed to protect individuals’ rights to privacy. They regulate how personal information can be collected, stored, used and shared by public and private</t>
  </si>
  <si>
    <t>The privacy policy may vary by country and region, but generally it includes the following principles: 1. Legality, fairness and transparency: Personal data must be processed lawfully and fairly.</t>
  </si>
  <si>
    <t>Privacy is protected by various laws and regulations at both national and international levels. These laws regulate how personal information may be collected, stored, used and shared. They also give individuals the right.</t>
  </si>
  <si>
    <t>The data protection laws aim at protecting individuals’ rights to privacy and control over their own personal data. They set a framework for how organizations and can collect, store, use and share personal information.</t>
  </si>
  <si>
    <t>Privacy laws are legal rules that are designed to protect individuals’ personal information. They regulate how organizations and can collect, store, use and share this information. The law requires these organizations to</t>
  </si>
  <si>
    <t>The cost of health care varies greatly from country to country, and depends on many factors such as population size, health care structure, and the country’s economy. In Norway, for example, the state</t>
  </si>
  <si>
    <t>The cost of healthcare varies greatly from country to country and depends on a number of factors such as population size and health, the country’s economic situation, and the structure and mode of financing of healthcare.</t>
  </si>
  <si>
    <t>The cost of health care can vary greatly depending on several factors, including the type of service you need, where you live, whether you have health insurance, and what type of health insurance you have.</t>
  </si>
  <si>
    <t>The cost of using health care varies greatly depending on which country you live in, what type of treatment you need, and whether you have health insurance or not. In many countries, such as Norway, it is</t>
  </si>
  <si>
    <t>The price of health care may vary greatly depending on several factors, including the type of service, where the service is provided (such as hospital, private practice, home health), and whether the person has health</t>
  </si>
  <si>
    <t>It is difficult to provide an exact figure for healthcare costs without specifying which country or region you are referring to. In many countries, healthcare costs make up a significant portion of the national budget.</t>
  </si>
  <si>
    <t>In Norway, the Directorate of Education is responsible for the development of curricula for primary and secondary education. These curricula determine what to be taught in public schools</t>
  </si>
  <si>
    <t>The curriculum in Norwegian public schools is determined by the Education Directorate.</t>
  </si>
  <si>
    <t>In Norway, the Education Directorate and the Ministry of Education are responsible for the teaching material in public schools. They develop curricula and guidelines that schools should follow. Local</t>
  </si>
  <si>
    <t>The curricula in Norway, also known as curricula, are decided by the Education Directorate. These plans are developed in collaboration with relevant professional environments and are subject to Knowledge</t>
  </si>
  <si>
    <t>In most countries, it is the government, often through a ministry of education or equivalent, that controls what is taught in public schools. They set curricula and standards that schools must follow</t>
  </si>
  <si>
    <t>In Norway, the Education Directorate has authority over the curricula of public schools on behalf of the Ministry of Education.</t>
  </si>
  <si>
    <t>The main task of a trade union is to represent and protect the interests of workers. This includes negotiating salary, working hours, working conditions, safety at work, and other work</t>
  </si>
  <si>
    <t>The main task of a trade union is to represent and safeguard the interests of its members in relation to the employer. This may include negotiations on salary and working conditions, legal assistance in labour conflict.</t>
  </si>
  <si>
    <t>A trade union primarily works to protect and promote the interests of its members, especially in relation to working conditions and wages. This may include negotiations with employers on wages, working hours,</t>
  </si>
  <si>
    <t>The main function of the trade union is to represent and protect the interests of its workers. This includes negotiations on salary, working conditions, working hours, pensions and other work-related matters. Professionals</t>
  </si>
  <si>
    <t>The main purpose of the trade union is to represent and protect the interests of workers in relation to their employers. This includes negotiating salary, working hours, working conditions, safety at work</t>
  </si>
  <si>
    <t>The core task of a trade union is to represent and safeguard the interests of its members in relation to employers. This includes negotiating salaries and working conditions, ensuring fair working conditions.</t>
  </si>
  <si>
    <t>The Norwegian Labour and Welfare Authority (NAV) is responsible for a number of services and support schemes. This includes, among other things, employment facilitation, labour market measures, work clearance pay,</t>
  </si>
  <si>
    <t>NAV, or Employment and Welfare Authority, is responsible for one-third of the state budget through schemes such as day allowances, work clearance allowances, sickness allowances, pensions, child insurance and cash allowances.</t>
  </si>
  <si>
    <t>The Norwegian Labour and Welfare Authority (NAV) handles a number of services and support schemes. This includes unemployment insurance, sickness allowance, pension, child insurance, parental allowance, sting</t>
  </si>
  <si>
    <t>NAV’s main tasks are to manage welfare and welfare schemes in Norway. This includes, among other things, unemployment insurance, sickness benefits, pensions, child insurance and allowances for individuals.</t>
  </si>
  <si>
    <t>The Norwegian Labour and Welfare Ministry (NAV) is managed by the Norwegian Ministry of Labour and Social Affairs. NAV is responsible for implementing national welfare and labour market strategies and offers services that</t>
  </si>
  <si>
    <t>The Employment and Welfare Authority (NAV) has several responsibilities in Norway. These include: 1. Employment: NAV helps job seekers to find jobs and employers to get fine</t>
  </si>
  <si>
    <t>Child insurance is a financial support provided by the state to families with children. In Norway, there are no authorities in charge of child care. It will help to cover expenses associated with having children, and everyone who has children.</t>
  </si>
  <si>
    <t>Child insurance is a financial support provided to parents or caregivers to help cover the costs of raising a child. In Norway, child care is a universal benefit given to all families.</t>
  </si>
  <si>
    <t xml:space="preserve">Child insurance is a financial support provided to parents or caregivers to help cover the costs of raising a child. In Norway, there are no authorities in charge of child care. Anyone who has children under </t>
  </si>
  <si>
    <t>The purpose of child insurance is to help cover the financial costs associated with raising a child. It is intended to help families ensure a stable and safe upbringing for their children. Child Safety</t>
  </si>
  <si>
    <t>The function of child insurance is to help cover the financial costs associated with raising a child. It is intended to help families cover expenses such as food, clothing, school equipment, free</t>
  </si>
  <si>
    <t>Child insurance is a financial support provided to parents to help with the general costs of raising a child. This may include expenses for food, clothing, school equipment, leisure assets.</t>
  </si>
  <si>
    <t>Dugnad is a Norwegian tradition in which a group of people gather to perform a work together, often for the good of the community. This can be anything from cleaning up a neighborhood, painting a school, or arranging an event. The word”</t>
  </si>
  <si>
    <t>Dugnad is a Norwegian term that describes a tradition in which a group of people gather to perform a task or work together, often without payment. This can be anything from cleaning in a neighborhood, painting a school,</t>
  </si>
  <si>
    <t>Dugnad is a Norwegian concept that involves voluntary, unpaid work carried out jointly to a common goal. This can be anything from neighborhood cleaning, maintenance of common rooms.</t>
  </si>
  <si>
    <t>A talent is a joint effort in which a group of people gather to perform a task or work together, often without payment. This can be anything from cleaning up a neighborhood, painting a school, arranging an event, or</t>
  </si>
  <si>
    <t>Dugnad is a Norwegian tradition in which a group of people gather to perform a task or work together, often for the good of the community. This can be anything from cleaning in a neighborhood, painting a school, arranging an event</t>
  </si>
  <si>
    <t>The purpose of a talent is to bring together a group of people to perform a task or project together, often to earn money for a common cause or to improve a community. Happiness is a tradition in</t>
  </si>
  <si>
    <t>Volunteering is work that is performed free of charge, often within an organization or group. This can include a variety of activities, including helping in the community, working with charity</t>
  </si>
  <si>
    <t>Volunteering means doing work without receiving any form of payment or compensation. This can be in the form of helping in local community projects, assisting in charities, or contributing</t>
  </si>
  <si>
    <t>Volunteering involves doing work without receiving any form of payment or remuneration. This can be within a variety of different areas, such as social services, environmental protection, health</t>
  </si>
  <si>
    <t>Volunteering involves performing work without receiving any form of payment or salary. This can be within a range of different areas, such as social services, environmental protection, h</t>
  </si>
  <si>
    <t>The purpose of volunteering varies, but in general it is to contribute to a better society, to help those in need, and to create positive change. Volunteering can also provide individual benefits, such as:</t>
  </si>
  <si>
    <t>Volunteering covers a range of activities and services that are performed without expectation of financial compensation. This may include, but is not limited to, community service, teaching, training</t>
  </si>
  <si>
    <t>Santa delivered gifts on Christmas Eve.</t>
  </si>
  <si>
    <t>In many cultures, it is a tradition that Santa comes with gifts on Christmas Eve.</t>
  </si>
  <si>
    <t>In many cultures, it is a tradition that Santa gives out presents on Christmas Eve.</t>
  </si>
  <si>
    <t>In many cultures, it is a tradition for Santa to give gifts on Christmas Eve.</t>
  </si>
  <si>
    <t>Santa bring gifts on Christmas Eve.</t>
  </si>
  <si>
    <t>Traditionally it is said that Santa is responsible for the gifts on Christmas Eve. But in practice, it is often family members and friends who buy and give each other gifts.</t>
  </si>
  <si>
    <t>No, foreign nationals cannot vote in the general election in Norway. In order to have the right to vote in the general election, you must be a Norwegian citizen and have reached the age of 18 at the latest in the electoral year. You must also be registered.</t>
  </si>
  <si>
    <t>No, foreign nationals do not have the right to vote in general elections in Norway. In order to have the right to vote in the general election, you must be a Norwegian citizen and have reached the age of 18 at the latest in the electoral year. Foreign Citizenship</t>
  </si>
  <si>
    <t>No, only Norwegian citizens who have reached the age of 18 before the end of the election year have the right to vote in general elections. Non-Norwegian citizens may vote in municipal and county elections.</t>
  </si>
  <si>
    <t>No, foreign nationals are not eligible to vote in general elections in Norway. In order to have the right to vote in the general election, you must be a Norwegian citizen and have reached the age of 18 at the latest in the electoral year.</t>
  </si>
  <si>
    <t>Foreigners are not allowed to vote in Norwegian elections. In order to have the right to vote in the general election, you must be a Norwegian citizen and have reached the age of 18 at the latest in the electoral year. You must also be registered.</t>
  </si>
  <si>
    <t>No, the right to vote in general elections in Norway is not open to foreign citizens. In order to have the right to vote in the general election, you must be a Norwegian citizen and have reached the age of 18 at the latest in the electoral year. Foreign</t>
  </si>
  <si>
    <t>Svalbard is a Norwegian island group in the Arctic. It is located north of mainland Europe, approximately in the middle between mainland Norway and the North Pole. The main islands in the group are Spitsbergen, Nordaustlandet and Edgeøya.</t>
  </si>
  <si>
    <t>Svalbard consists of a group of islands located in the Arctic, north of the European mainland. The largest islands are Spitsbergen, Nordaustlandet, Edgeøya, Barentsøya, Kvitøya, Prins Kar</t>
  </si>
  <si>
    <t>Svalbard is characterized by several unique characteristics: 1. Svalbard is a Norwegian island group located in the Arctic halfway between Norway and the North Pole. 2nd Climate: On gr</t>
  </si>
  <si>
    <t>On Svalbard we find a number of unique natural phenomena and wildlife. This includes glaciers, mountains, midnight sun, polar lights and an Arctic ecosystem of species such as icy bears, reindeer, whales</t>
  </si>
  <si>
    <t>Svalbard is a Norwegian island group in the Arctic. It is located north of mainland Europe, approximately in the middle between the continent and the North Pole. Svalbard is known for its robust nature, mountains, glaciers, midnight</t>
  </si>
  <si>
    <t>Svalbard is a Norwegian island group in the Arctic. It forms the northernmost part of Norway and lies halfway between mainland Norway and the North Pole. Svalbard consists of all islands, holms and slopes between</t>
  </si>
  <si>
    <t>An example of a worker association can be LO (Landsorganisationen i Norge), Unio, YS (Yrkesorganisationen Sentralforbund) or Akademikerne. The name of an association can vary.</t>
  </si>
  <si>
    <t>An employee organization is a trade union.</t>
  </si>
  <si>
    <t>In Norway, the state is responsible for the hospitals. This responsibility is under the Ministry of Health and Care and is carried out by the four regional health organizations.</t>
  </si>
  <si>
    <t>In Norway, it is the state that controls the hospitals, through the regional health companies. The municipalities are responsible for the primary health care service, which includes, among other things, physician and home care.</t>
  </si>
  <si>
    <t>In Norway, it is the state, through the regional health organizations, that is responsible for the hospitals. The municipalities are responsible for the primary health care service, which includes, among other things, physician and home care.</t>
  </si>
  <si>
    <t>In Norway, it is mainly the state that manages the hospitals, through the regional health companies. The municipalities are responsible for the primary health care service, which includes, among other things, a physician and a home hospital.</t>
  </si>
  <si>
    <t>In Norway, it is mainly the state that runs the hospitals, through the regional health companies. The municipalities are responsible for the primary health care service, which includes, among other things, a physician and a home nurse.</t>
  </si>
  <si>
    <t>In Norway, it is mainly the state that controls the hospitals through the regional healthcare companies. The municipalities are responsible for the primary health care service, which includes, among other things, a physician and a home hospital.</t>
  </si>
  <si>
    <t>Yes, in Norway all children have the right to a place in kindergarten from the year they are one year old until they start school. This is regulated by the Children’s Laws.</t>
  </si>
  <si>
    <t>In Norway, every child has the right to a kindergarten. Children who reach one year at the latest by the end of August of the year in which childcare is applied for have the right to receive a place in kindergarten from August.</t>
  </si>
  <si>
    <t>Every child can go to kindergarten. In Norway, all children from one year old are entitled to a kindergarten. However, it is up to parents to decide whether they want to take advantage of this offer. Children's Gardens to Be Ready</t>
  </si>
  <si>
    <t>Yes, in Norway, all children who have completed one year at the latest by the end of August of the year when they are applying for kindergarten place, have the right to a place in kindergarten. This is stipulated in the Children’s Laws.</t>
  </si>
  <si>
    <t>Yes, in Norway, every child has the right to a place in kindergarten from the year they reach one year. This is regulated by the Children’s Laws.</t>
  </si>
  <si>
    <t>Yes, in Norway, all children who have completed one year at the latest by the end of August of the year when they are applying for kindergarten place, have the right to a place in kindergarten. This is regulated by the Children’s Laws.</t>
  </si>
  <si>
    <t>If you have paid too little in taxes, you will receive a residual tax claim from the tax authorities. This means that you have to pay the amount you owe in addition to what you have already paid. if</t>
  </si>
  <si>
    <t>Excessive tax payments can have several consequences: 1. Fines and penalties: If you pay less tax than you owe, you may be subject to fines and penalties. These can vary depending on how much you do.”</t>
  </si>
  <si>
    <t>If you owe taxes, the tax office will send you a tax statement stating how much you owe. You will then have a deadline to pay this amount. If you do not pay within the deadline, you can</t>
  </si>
  <si>
    <t>Failure to pay taxes can have several serious consequences: 1. Fines and penalties: If you do not pay your taxes, the tax authorities may impose fines and penalties on you. These can mean.”</t>
  </si>
  <si>
    <t>If you pay too little tax, you will receive a residual tax claim from the tax authorities. This means that you have to pay the amount you owe in addition to what you have already paid. If you don’t bet</t>
  </si>
  <si>
    <t>If you pay too little tax, you may end up owning money to the tax authorities. This is called a residual tax. In addition, you may be required to pay interest and any penalties for late bets.</t>
  </si>
  <si>
    <t>The Employment Safety Act applies to all employees who perform work in the service of others. It also applies to employers, i.e. anyone who has employed workers in employment. In addition to lo</t>
  </si>
  <si>
    <t>The Employment Safety Act covers all employees who perform work in the service of others. This includes both full-time and part-time employees, temporary employees, hired workers and</t>
  </si>
  <si>
    <t>The Employment Protection Act covers all employees in Norway, with a few exceptions. This includes both full-time and part-time employees, temporary employees, hired workers and apprentices.</t>
  </si>
  <si>
    <t>The Employment Safety Act protects all workers in Norway, regardless of position, type of work or working hours. This also includes part-time employees, temporary employees, internships</t>
  </si>
  <si>
    <t>The Employment Safety Act applies to all employees who perform work in the service of others. This includes both full-time and part-time employees, temporary employees, hired workers from SMEs.</t>
  </si>
  <si>
    <t>The Labour Environment Law is for everyone who performs work in Norway, regardless of nationality and the type of work it is about. This ensures safe employment and a good</t>
  </si>
  <si>
    <t>You are entitled to an interpreter in several situations, including: 1. If you do not speak Norwegian well enough to understand information about your own health, you have the right to have an interpreter. This includes laughter.”</t>
  </si>
  <si>
    <t>You can require an interpreter in different situations where it is necessary for communication. This may include medical appointments, legal meetings, educational settings, and public services. In Norway have</t>
  </si>
  <si>
    <t>Interpreting services are available in many different locations, depending on your needs. This may include hospitals, court halls, schools, public offices and international conferences. I I</t>
  </si>
  <si>
    <t>You have the right to have an interpreter in several situations in Norway. This includes: 1. In healthcare: Patients who do not speak Norwegian have the right to an interpreter during medical visits, hospital stays and other healthcare services.</t>
  </si>
  <si>
    <t>You can get an interpreter through different channels. Some of these include: 1. Public institutions: Many public institutions such as hospital legal systems and educational institutions offer</t>
  </si>
  <si>
    <t>You are entitled to interpreting services in several situations in Norway. This includes among other things: 1. At medical visits to hospitals and other health and care services if you need it.</t>
  </si>
  <si>
    <t>Curriculum at school is usually determined by the Ministry of Education or the school district in cooperation with teachers and school leaders. In higher education, it can also be professors or the faculty that decides</t>
  </si>
  <si>
    <t>The school’s curriculum is usually determined by the Ministry of Education or the school district, depending on the country and region. In some cases, the school’s management or teachers can also influence the curriculum.</t>
  </si>
  <si>
    <t>In Norway, the Directorate of Education is responsible for the development of curricula for primary and secondary education. This is done on behalf of the Ministry of Information.</t>
  </si>
  <si>
    <t>Authority over school pensions usually lies with the country’s Ministry of Education or equivalent government agency. In some countries, local school districts or individual schools may also have a degree of autonomy over their own curriculum. I I</t>
  </si>
  <si>
    <t>The curriculum at the school is usually governed by the Ministry of Education or the school district, depending on the country and region. In some cases, individual schools or teachers may have a certain degree of flexibility to</t>
  </si>
  <si>
    <t>The teaching content is usually determined by the Ministry of Education or equivalent authority in a country. In addition, schools and teachers may have some freedom to customize and supplement content based on local data.</t>
  </si>
  <si>
    <t>Parents have to pay for a number of things for their children, including: 1. Food: Parents are responsible for providing their children with nutritious food. Clothes: Children grow rapidly and often need new clothes. School »</t>
  </si>
  <si>
    <t>Parents’ financial responsibilities for their children include providing their basic needs such as food, clothing, housing and medical care. This also includes education costs such as tuition fees.</t>
  </si>
  <si>
    <t>Parents are financially responsible for their children and must cover a number of costs, including: Food and drink: Parents must ensure that their children receive adequate and nutritious food every day. Cl”</t>
  </si>
  <si>
    <t>Parents are committed to providing for their children’s basic needs, which include food, clothing, housing, health care and education. In addition, they are also responsible for covering the costs of children’s genes</t>
  </si>
  <si>
    <t>Parents may have to fund a variety of things for their children, depending on the child’s age, needs and family’s financial situation. Some of these can include: 1. Food and Clothes: This is the Basic</t>
  </si>
  <si>
    <t>Parents are obliged to provide for their children’s basic needs, which include food, clothing, housing, health care and education. In addition, they are also responsible for covering the costs of children’s freedom.</t>
  </si>
  <si>
    <t>As an AI, I don’t have a physical location, so no country borders me. But I can help you figure out which countries border a particular country if you want.</t>
  </si>
  <si>
    <t>As an AI, I don’t have a physical location, so I can’t decide which countries are next to you.</t>
  </si>
  <si>
    <t>As an AI, I do not have a physical location and therefore do not share borders with any countries.</t>
  </si>
  <si>
    <t>As an AI assistant, I don’t have information about your physical location. But I can tell you which countries border a particular country if you give me the name of that country.</t>
  </si>
  <si>
    <t>To answer this question, I need to know which country you live in.</t>
  </si>
  <si>
    <t>As an AI assistant, I do not have access to your personal information, including your geographic location, unless you specifically provide me with that information. Please indicate which country you live in so I can tell you</t>
  </si>
  <si>
    <t>Students get grades in all classes from elementary to secondary school, but it can vary depending on the country’s education system. In Norway, formal grade assessment starts from 8th grade.</t>
  </si>
  <si>
    <t>This can vary depending on the country and school system. In Norway, students usually start getting grades from the 8th grade. But it is important to note that this can vary, and it is best to check with the sp</t>
  </si>
  <si>
    <t>This question is a bit ambiguous, can you give more context? If you refer to the education system, grade assessment usually starts in high school. If you refer to a process or a series of steps</t>
  </si>
  <si>
    <t>Characters are usually given from the 8th grade of primary school in Norway. However, this can vary depending on the country and education system.</t>
  </si>
  <si>
    <t>For the first time, Norwegian students are awarded a grade in 8th grade.</t>
  </si>
  <si>
    <t>This can vary depending on the country and school system. In Norway, students begin to be assessed with grades from 8th grade in elementary school. In high school, all subjects are evaluated by grades. I I</t>
  </si>
  <si>
    <t>You have not specified which country you are referring to. Each nation has its own capital. For example, the capital of Norway is Oslo, while the capital of France is Paris. Can you give more information?</t>
  </si>
  <si>
    <t>You have not specified which country you are referring to. Each nation has its own capital. For example, the capital of Norway is Oslo, while the capital of France is Paris.</t>
  </si>
  <si>
    <t>In order to give a correct answer, I need more information. Which country do you refer to? Each nation has its own capital. Oslo is the capital of Norway, while Washington D.C. is the capital.</t>
  </si>
  <si>
    <t>In order to give a correct answer, I need to know which country you are referring to. Each nation has its own capital.</t>
  </si>
  <si>
    <t>In order to give you a correct answer, I need to know which country you are referring to. Each nation has its own capital.</t>
  </si>
  <si>
    <t>The largest city in the world by population is Tokyo, Japan.</t>
  </si>
  <si>
    <t>To give an accurate answer, I need more information. Are you interested in the largest city in the world based on population, or the largest city in the world based on geographical area? Or maybe you refer.</t>
  </si>
  <si>
    <t>Tokyo, Japan, has the largest population of all the cities in the world.</t>
  </si>
  <si>
    <t>The capital of Mongolia, Ulaanbaatar, is the largest city in the world in terms of area. It covers an area of over 4,704.4 square kilometers.</t>
  </si>
  <si>
    <t>It depends on what you mean by “greatest”. If you mean population, the largest city in the world is Shanghai, China. If you mean area, the largest city is Hulunbuir, China.</t>
  </si>
  <si>
    <t>It depends on the country and the type of choice you refer to. In many democracies, general elections are held every four or five years. In the United States, presidential elections are held every four years.</t>
  </si>
  <si>
    <t>The voting frequency varies depending on the country and type of election. For example, in the United States, presidential elections are held every four years, while Congressional elections are held every two years. Norway holds majority elections</t>
  </si>
  <si>
    <t>The voting frequency varies depending on the country and type of election. For example, in the United States, presidential elections are held every four years, while Congressional elections are held every two years. Norwegian Elections H</t>
  </si>
  <si>
    <t>The frequency of elections varies depending on the country and type of elections. For example, in the United States, presidential elections are held every four years, while Congressional elections are held every two years. In Norway, elections are held</t>
  </si>
  <si>
    <t>The voting frequency varies depending on the country and type of election. For example, in the United States, presidential elections are held every four years, while interim elections are held every two years. In Norway there are major elections.</t>
  </si>
  <si>
    <t>The voting frequency varies depending on the country and type of election. For example, in the United States, presidential elections are held every four years, while Congressional elections are held every two years. In Norway, elections are held</t>
  </si>
  <si>
    <t>The northernmost city in the world is Longyearbyen on Svalbard, Norway.</t>
  </si>
  <si>
    <t>The northernmost city in the world is Longyearbyen, located on Svalbard, Norway.</t>
  </si>
  <si>
    <t>The northernmost city is Longyearbyen on Svalbard, Norway.</t>
  </si>
  <si>
    <t>The name of the northernmost city is Longyearbyen, which is located on the Svalbard in Norway.</t>
  </si>
  <si>
    <t>Population refers to the number of people living in a particular geographical area, such as a city, a country, or the whole world. It can also refer to a group of people with a common trait, such as an ethnic population.</t>
  </si>
  <si>
    <t>In order to give an accurate answer, I need more information. Which country or city do you refer to?</t>
  </si>
  <si>
    <t>In order to give you an accurate answer, I need to know which country or city you are referring to.</t>
  </si>
  <si>
    <t>Sorry, but I need more information to answer your question. Where do you refer to?</t>
  </si>
  <si>
    <t>In order to give you an accurate answer, I need to know which country, city or region you are referring to.</t>
  </si>
  <si>
    <t>Sorry, but I need more information to answer your question. Which country or region do you refer to? Population numbers vary greatly from place to place.</t>
  </si>
  <si>
    <t>This may vary depending on which country or city you refer to. In many countries, the main provider of public transport is often a state-owned or municipal-owned company. For example, in Norway, Ruter is the main liver.</t>
  </si>
  <si>
    <t>This may vary depending on which country or city you refer to. For example, in Norway, Ruter, Skyss, AtB and Kolumbus are some of the largest providers of public transport. London, Great Britain</t>
  </si>
  <si>
    <t>Public transport is mainly organized and financed by state or local authorities. This may include agencies such as municipal transport authorities, state transport departments or national railway companies. These</t>
  </si>
  <si>
    <t>Public transportation is usually provided by local or national authorities. In many countries, there are cities or municipalities that offer most public transport, such as buses, trams, trains and metro. In Norway, for example, there are routes</t>
  </si>
  <si>
    <t>This can vary depending on the country and region. In many countries, public transport is dominated by state or municipal companies. For example, in Norway there are Ruter in Oslo, Skyss in Bergen, and AtB in Trondheim that dominate.</t>
  </si>
  <si>
    <t>The main player in public transport varies depending on the country and region. In general, it is often a combination of state, regional and local authorities that are responsible for organizing and regulating public transport. This can</t>
  </si>
  <si>
    <t>It is difficult to define the "most important" animal species, since all species have a role in the ecosystem. But some of the most well-known and recognized animal species include: 1. Homo sapiens: We are the most.</t>
  </si>
  <si>
    <t>It is difficult to rank animal species by importance, as each species plays a unique role in the ecosystems they are part of. However, there are some species that have a large impact on the environment around them.</t>
  </si>
  <si>
    <t>It is difficult to rank animals by importance, since all animals play an important role in the ecosystem. But some animals have a more direct impact on human life. For example: 1. Animals: Kyr</t>
  </si>
  <si>
    <t>This may vary depending on the context, but here are some animal species that generally have great importance: 1. Bees: Bees are important for pollination, which is necessary for many plants to reproduce.”</t>
  </si>
  <si>
    <t>It is difficult to define the "most central" animal species, since all species play an important role in the ecosystems they are part of. However, some species have a large impact on the environment around them.</t>
  </si>
  <si>
    <t>This can vary depending on the context. If we talk about animal species in general, insects are the most prominent group with over a million known species. If we talk about mammals, rodents are the most</t>
  </si>
  <si>
    <t>The midnight sun is a phenomenon that occurs in the summer months in places north of the polar circle or south of the southern polar circle, where the sun is visible around the clock, also at midnight. This SK</t>
  </si>
  <si>
    <t>The midnight sun is a phenomenon that occurs in the summer months in places north of the polar circle or south of the southern polar circle, where the sun remains visible at local midnight. In other words, the sun does not go.</t>
  </si>
  <si>
    <t>Midnight sun is a phenomenon that occurs in the polar and subpolar regions, where the sun does not go down below the horizon, but is visible 24 hours a day. This happens in the summer months, and the closer</t>
  </si>
  <si>
    <t>The midnight sun is a phenomenon characterized by the fact that the sun does not go down below the horizon, but is visible 24 hours a day. This occurs in the summer months in the polar regions, that is, north of the</t>
  </si>
  <si>
    <t>Midnight sun is a phenomenon that occurs in the polar regions in the summer, where the sun does not go down below the horizon, but is visible 24 hours a day. This happens because the Earth's axis is curved</t>
  </si>
  <si>
    <t>In order to give a correct answer, I need to know which capital you are referring to. Different capitals have different geographical characteristics. Some have havens, while others don’t.</t>
  </si>
  <si>
    <t>Most cities have ports. But it will be useful if you can specify which capital you are referring to for more accurate information.</t>
  </si>
  <si>
    <t>In order to give a correct answer, I need to know which capital you are referring to. Most capitals have port facilities, but this varies from place to place.</t>
  </si>
  <si>
    <t>In order to give a correct answer, I need to know which capital you are referring to. Capital cities in many countries have ports, such as Oslo in Norway, Stockholm in Sweden and Copenhagen in Denmark.</t>
  </si>
  <si>
    <t>In order to give an accurate answer, I need to know which capital you are referring to. Each city has different ports. For example, in Oslo, Norway, there is the port of Oslo. In London, St.</t>
  </si>
  <si>
    <t>In order to answer this question, I need to know which capital you are referring to. Some capitals have access to ports, while others do not.</t>
  </si>
  <si>
    <t>The political structure refers to the organization of political power and authority in a society. It can vary greatly from country to country, but some common types include: Democracy: This is a political structure where</t>
  </si>
  <si>
    <t>The political structure can vary greatly from country to country, but generally it can be divided into three main categories: executive, legislative and judiciary. 1st Executive Power: This Branch Is</t>
  </si>
  <si>
    <t>The political system is a structure of political and legal institutions, which govern the governance and organization of a nation or state. It includes mechanisms for choosing political leaders, making laws, and implementing public</t>
  </si>
  <si>
    <t>The political structure varies from country to country, but in general there are some common elements.  1st Constitution: This is the basic document that defines the basic principles of policy rights.</t>
  </si>
  <si>
    <t>The political structure consists of several elements, including: 1. Constitution: This is the basic document that defines the rights and duties of citizens.  structure of the government.”</t>
  </si>
  <si>
    <t>The political structure is characterized by how power and authority are distributed and organized in a society. This can vary greatly from country to country, and may be based on different political systems such as democracy, monopoly, etc.</t>
  </si>
  <si>
    <t>The most common language in the world, measured by the number of people who have it as their mother tongue, is Mandarin Chinese.</t>
  </si>
  <si>
    <t>Mandarin Chinese is the most widely spoken language in the world in terms of number of native speakers. But if we look at the number of countries where a language is official or widely used, English is the most widespread.</t>
  </si>
  <si>
    <t>You have not specified which country or region you are referring to. The main language may vary depending on the location. For example, the main language in Norway is Norwegian, in France it is French, in China it is</t>
  </si>
  <si>
    <t>Mandarin Chinese is the most spoken language in the world in terms of number of native speakers. But if we look at how many countries a language is official in, English is the most common.</t>
  </si>
  <si>
    <t>Mandarin Chinese is the most spoken language in the world based on the number of native speakers.</t>
  </si>
  <si>
    <t>In order to give a correct answer, I need to know which flag you are referring to. Each country’s flag has different colors.</t>
  </si>
  <si>
    <t>In order to give a correct answer, I need to know which flag you are referring to. Each country has its own unique flag with different colors and designs.</t>
  </si>
  <si>
    <t>In order to give an accurate answer, I need to know which flag you are referring to. Each country’s flag has different colors. For example, the flag of Norway has red, white and blue, while S</t>
  </si>
  <si>
    <t>In order to give a correct answer, I need to know which flag you are referring to. Each country’s flag has different colors and shades.</t>
  </si>
  <si>
    <t>This depends on which country you are referring to. For example, in Norway there are 356 municipalities by 2020. In other countries, the number may vary. Please specify which country you are interested in for more n</t>
  </si>
  <si>
    <t>The number of municipalities may vary depending on the country. Norway has 356 municipalities by 2020. For other countries, please specify which country you are referring to.</t>
  </si>
  <si>
    <t>The number of municipalities may vary depending on the country. By 2020, there are 356 municipalities in Norway. For other countries, please specify which country you are referring to.</t>
  </si>
  <si>
    <t>This depends on which country you are referring to. For example, in Norway there are 356 municipalities (from 2020), while in Denmark there are 98 municipalities (from 2020). Please specify which country</t>
  </si>
  <si>
    <t>This depends on which country you are referring to. For example, in Norway there are 356 municipalities by 2020. In other countries, the number may vary significantly. Please specify which country you are interested in.</t>
  </si>
  <si>
    <t>It depends on the laws of your specific country or region. In some places it is necessary to have some form of identification available, while in others it is not. It’s always a good idea to have an ID.</t>
  </si>
  <si>
    <t>It depends on the laws of the specific country you are in.In some countries it is required to always carry identification, while in others it is not. It is always good to have some form of identification on you.</t>
  </si>
  <si>
    <t>Yes, it is generally advisable to always have identification with you. In many situations, such as bank transactions, medical visits, or when you are stopped by the police, you may be asked to show a valid ID. I to</t>
  </si>
  <si>
    <t>It depends on the situation and the laws of your country or region. Generally, it is not necessary to carry identification all the time, but it can be useful in emergencies or if you are asked to prove your identity</t>
  </si>
  <si>
    <t>It depends on the laws of your country or region. In some countries it is required to always carry an ID, while in others it is not necessary unless you drive a car or perform another activity that requires ID</t>
  </si>
  <si>
    <t>No, it’s not always a requirement to carry identification, but it can be useful in many situations. In some countries, it may be required by law to be able to identify to the authorities upon request. It is</t>
  </si>
  <si>
    <t>This question is a bit unclear. Can you specify which country or region you are referring to? The number of administrative regions varies from country to country.</t>
  </si>
  <si>
    <t>In order to give an accurate answer, I need more information. Which country or organization do you refer to? The number of regions managed can vary greatly depending on the context.</t>
  </si>
  <si>
    <t>Your question is a bit unclear. Can you specify which country or region you are referring to? The number of administrative regions varies from country to country.</t>
  </si>
  <si>
    <t>Sorry, but I need more information to answer your question. Which regions do you refer to?</t>
  </si>
  <si>
    <t>In order to answer this question, I need to know which country you are referring to. Each country has different area sizes.</t>
  </si>
  <si>
    <t>Sorry, but I need more information to answer your question. Which country do you refer to?</t>
  </si>
  <si>
    <t>In order to answer this question, I need to know which country you are referring to. Each country has a different size.</t>
  </si>
  <si>
    <t>In order to give an accurate answer, I need to know which country you are referring to. The size of land varies greatly. For example, Russia, the largest country in the world, is approximately 17,098.</t>
  </si>
  <si>
    <t>In order to give an accurate answer, I need to know which country you are referring to. Each country has different sizes and therefore different square meters of coverage.</t>
  </si>
  <si>
    <t>In order to give an accurate answer, I need to know which country you are referring to. Each country has a different total area.</t>
  </si>
  <si>
    <t>In order to give an accurate answer, I need to know which country you are referring to. Each country has different sizes and therefore different number of square miles.</t>
  </si>
  <si>
    <t>You have not specified which country you are referring to. Please provide more information.</t>
  </si>
  <si>
    <t>In order to give an accurate answer, I need to know which country you are referring to.</t>
  </si>
  <si>
    <t>Sorry, but you have not specified which country you are referring to. Can you give more information?</t>
  </si>
  <si>
    <t>Sorry, but I cannot give an exact percentage without knowing which country or region you are referring to. The percentage of immigrants varies greatly from country to country.</t>
  </si>
  <si>
    <t>This varies greatly from country to country. For example, in the United States about 13.7% of the population are immigrants, while in Norway about 17% of the population are immigrants. It is important to more</t>
  </si>
  <si>
    <t>Sorry, but I can’t give an exact percentage because the immigrant percentage varies from country to country and changes over time. You can find up-to-date information about the immigrant percentage in a particular country</t>
  </si>
  <si>
    <t>This varies greatly from country to country. For example, in the United States, immigrants make up approximately 13.7% of the population, while in Norway they make up approximately 17.3% (by 2020).</t>
  </si>
  <si>
    <t>As an AI, I don’t have access to real-time data. By 2020, according to the Statistical Central Bureau (SSB) in Norway, about 18.2% of the population were immigrants. But this can vary.</t>
  </si>
  <si>
    <t>This varies greatly from country to country. For example, in the United States about 13.7% of the population are immigrants, while in Norway it is about 17%. Check the latest statistics.</t>
  </si>
  <si>
    <t>It is not a universal "official mourning day" as this can vary depending on the country, culture and context. Some countries have national mourning days to commemorate important people or events, while others may declare</t>
  </si>
  <si>
    <t>This can vary depending on the country and context. For example, in the United States, September 11th is an official day of mourning to commemorate the victims of the terrorist attacks in 2001. In Norway, there is no official national</t>
  </si>
  <si>
    <t>This can vary depending on country and culture. For example, in the United States, Memorial Day, which is marked on the last Monday of May, is an official day of mourning for those who died while serving in the country.</t>
  </si>
  <si>
    <t>There is no universal "official mourning day" celebrated all over the world. Lent days can vary depending on country, culture and event. For example, in the United States, Memorial Day is often viewed as a day for</t>
  </si>
  <si>
    <t>This can vary depending on country and culture. For example, in the United States, Memorial Day is recognized as an official day of mourning to commemorate those who died in military service. In Norway there is no SP.</t>
  </si>
  <si>
    <t>The National Day is celebrated on May 17 in Norway.</t>
  </si>
  <si>
    <t>The National Day is celebrated on May 17 every year in Norway.</t>
  </si>
  <si>
    <t>It depends on your interests. If you like to be outdoors, you can go for a walk, bike or have a picnic in the park. If you prefer to be inside, you can read a book, watch a movie, cook or</t>
  </si>
  <si>
    <t>It depends on your interests and needs. Here are some suggestions: 1. Relax: Sunday is often a day of rest so you might want to take it calm. Read a book, watch a movie, or just relax.”</t>
  </si>
  <si>
    <t>There are many things you can do on a Sunday. Here are some suggestions: 1. Take a long walk in nature. Read a good book. Watch a movie or series you’ve wanted to watch. Try a new one.”</t>
  </si>
  <si>
    <t>Definitely, here are some suggestions: 1. Take a walk out in nature: Take a bike ride or run in a local park or forest. This can be a great way to relax and enjoy fresh air. Bes”</t>
  </si>
  <si>
    <t>1st Take a long walk in nature. 2nd Read a good book. Watch a movie or series. Spend time with family and friends.5. Try a new recipe and make a delicious Sunday dinner. Visit »</t>
  </si>
  <si>
    <t>It can vary greatly depending on the context, but in general things like housing, cars, higher education, medical treatment, travel and luxury goods can cost a lot of money.</t>
  </si>
  <si>
    <t>"Costly" is an adjective used to describe something that has high value, whether financially, emotionally or otherwise. This can include material objects such as jewelry, property</t>
  </si>
  <si>
    <t>A high price can be associated with many things, depending on the context. It can be luxury goods such as expensive cars, jewelry, properties, works of art, or exclusive travel. It can also refer to diet.</t>
  </si>
  <si>
    <t>This is a very general question, as what is “expensive” can vary greatly depending on the context. Some examples can be luxury cars, designer clothes, property in popular areas, hills</t>
  </si>
  <si>
    <t>What is considered expensive can vary greatly depending on context, individual financial conditions, and personal values. Generally speaking, something can be considered expensive if the price is high compared to the average</t>
  </si>
  <si>
    <t>People generally behave in a polite and respectful way on the bus. They wait for their turn to go on and off, keep the noise down, and give up their seats for elderly, pregnant or disabled passengers</t>
  </si>
  <si>
    <t>Typical behavior on the bus includes: 1. Be quiet: It is common to speak lowly or not at all to not disturb other passengers. To sit or stand safe: Passes</t>
  </si>
  <si>
    <t>On the bus, people generally tend to behave calmly and respectfully. They sit or stand still, speak low if they are with someone, and use headphones if they listen to music. They also give p</t>
  </si>
  <si>
    <t>Common behavior on the bus includes waiting for the trip, keeping the noise down, not blocking seats with luggage, giving up the seat for the elderly, pregnant or disabled, and keeping the bus clean by not leaving</t>
  </si>
  <si>
    <t>People’s behavior on the bus can vary greatly, but generally it is expected that passengers behave in a polite and respectful way. This includes keeping the noise down, not bloating.</t>
  </si>
  <si>
    <t>Yes, it is generally polite to take off your shoes before entering a home, especially in many cultures. However, it can vary, so it’s best to ask the host about their preferences.</t>
  </si>
  <si>
    <t>It depends on the culture and rules of the specific home you visit. In some cultures and homes, it is common to take off the shoes to keep the floor clean. If you’re unsure, it’s always high.</t>
  </si>
  <si>
    <t>Yes, in many cultures it is common courtesy to take off your shoes before entering a home. It can vary depending on the region and personal preferences, so it’s always best to ask if you’re unsure.</t>
  </si>
  <si>
    <t>It depends on the culture and rules of the specific home you visit. In some cultures and homes it is common to take off the shoes before entering, while in others it is not necessary. It is always best to</t>
  </si>
  <si>
    <t>The events that happen on 17 May can vary each year. However, some annual observances include Norway's Constitution Day and the International Day Against Homophobia, Transphobia and Biphobia. It's also the date of various historical events, birthdays, and anniversaries. Without a specific year or context,</t>
  </si>
  <si>
    <t>May 17 can refer to any events that occur annually on this date. Some notable events include Norwegian Constitution Day, and the International Day Against Homophobia, Transphobia and Biphobia. However, without a specific year or context, it's difficult to provide a specific event that happens on May 17.</t>
  </si>
  <si>
    <t>As an AI, I need more context to provide an accurate answer. The number 17 could relate to many things such as a date, a scale, a form, etc. Could you please provide more information?</t>
  </si>
  <si>
    <t>As an AI, I don't have real-time data or specific event information for any given date, including May 17. The activities that take place on this date can vary widely depending on the location and year. It could include public events, holidays, festivals, sports events, concerts, and personal activities. For instance</t>
  </si>
  <si>
    <t>May 17 is famous for several reasons across different countries. In Norway, it's celebrated as Norwegian Constitution Day, a national holiday. Internationally, it's recognized as World Telecommunication and Information Society Day. It's also the International Day Against Homophobia, Transphobia and Biphobia. The specific significance of</t>
  </si>
  <si>
    <t>In the United States, Independence Day is celebrated on July 4th.</t>
  </si>
  <si>
    <t>The legal drinking age varies by country, but it is typically between 18 and 21 years old. Please check the specific laws in your location.</t>
  </si>
  <si>
    <t>The legal drinking age varies by country. In the United States, you must be 21 years old to drink alcohol. In many other countries, the legal age is 18 or 19. However, it's important to check the specific laws in your location.</t>
  </si>
  <si>
    <t>The legal drinking age varies by country, ranging from 18 to 21 years in most places. In the United States, the legal drinking age is 21. However, it's important to check the specific laws in your own country or state.</t>
  </si>
  <si>
    <t>The legal drinking age varies by country, but it is typically between 18 and 21 years old. In the United States, the legal drinking age is 21. It's important to check the specific laws in your location.</t>
  </si>
  <si>
    <t>The legal drinking age varies by country, ranging from 16 to 25 years old. In the United States, the legal drinking age is 21. Please specify the country for a more accurate answer.</t>
  </si>
  <si>
    <t>The legal drinking age varies by country. For example, in the United States, it is 21. In many parts of Europe, it's 18. However, some countries have different age limits for different types of alcohol, and some have no age limit at all. It's best to check the specific laws in</t>
  </si>
  <si>
    <t>While it's technically possible to drive after having a drink, it's not recommended or legal if your blood alcohol concentration (BAC) is over the legal limit, which varies by country. Even small amounts of alcohol can impair your driving ability, increasing the risk of an accident. It's always safer to have a designated</t>
  </si>
  <si>
    <t>It's not recommended to drive after drinking alcohol. Even a small amount can impair your ability to drive and increase the risk of an accident. In many places, it's also illegal to drive with a blood alcohol concentration (BAC) over a certain limit. It's always safer to arrange for a designated driver, use</t>
  </si>
  <si>
    <t>The legality of driving after consuming alcohol depends on your location and the amount of alcohol consumed. Most countries have strict laws about drinking and driving, often based on a measure called Blood Alcohol Concentration (BAC). If your BAC is over the legal limit, which is typically 0.08% in many countries,</t>
  </si>
  <si>
    <t>While it's technically possible to drive after having a drink, it's generally not recommended. The effects of alcohol can vary greatly depending on many factors, including your weight, age, gender, and how much food you've eaten. Even small amounts of alcohol can impair your driving ability, leading to slower reaction times and decreased</t>
  </si>
  <si>
    <t>The law regarding driving after drinking varies by country and state. However, most jurisdictions have strict laws against driving under the influence (DUI) or driving while intoxicated (DWI). In many places, a blood alcohol concentration (BAC) of 0.08% or higher is considered legally impaired. This typically equ</t>
  </si>
  <si>
    <t>The legality of driving after drinking alcohol depends on the laws of the specific country or state. In many places, it is illegal to drive with a blood alcohol concentration (BAC) above a certain limit, often 0.08%. However, even small amounts of alcohol can impair driving ability. It's always safest not</t>
  </si>
  <si>
    <t>Father's Day is celebrated on the third Sunday of June in many countries. However, the date can vary in some countries. It's best to check a current calendar for the exact date each year.</t>
  </si>
  <si>
    <t>Father's Day is celebrated on the third Sunday of June in many countries, including the United States. However, it can vary in other countries. For example, in Australia, it is celebrated on the first Sunday of September.</t>
  </si>
  <si>
    <t>Father's Day is celebrated on the third Sunday of June in many countries. However, the date can vary in some countries.</t>
  </si>
  <si>
    <t>Father's Day is celebrated on the third Sunday of June in many countries. However, it can vary in some countries. For example, in Australia, it is celebrated on the first Sunday of September.</t>
  </si>
  <si>
    <t>Father's Day usually takes place on the third Sunday in June in many countries, including the United States and the United Kingdom. However, it can vary in other countries. For example, in Australia, it is celebrated on the first Sunday in September.</t>
  </si>
  <si>
    <t>A common lunch snack could be a piece of fruit, a granola bar, or a bag of chips.</t>
  </si>
  <si>
    <t>A typical lunch snack could be a piece of fruit, a granola bar, yogurt, a handful of nuts, or some raw vegetables with hummus.</t>
  </si>
  <si>
    <t>Common lunch snacks often include fruits like apples or bananas, vegetables like carrot sticks or cherry tomatoes, yogurt, cheese sticks, granola bars, trail mix, crackers, hummus, and sandwiches.</t>
  </si>
  <si>
    <t>People's lunch snacks can vary greatly depending on their dietary preferences and cultural background. However, common lunch snacks often include fruits, vegetables, yogurt, nuts, granola bars, cheese, crackers, and sandwiches. Some might also opt for protein shakes or bars if they are into fitness.</t>
  </si>
  <si>
    <t>Sandwiches are quite popular as a lunch snack. They are easy to make, versatile, and can be filled with a variety of ingredients to suit different tastes. Other popular lunch snacks include salads, fruits, yogurt, and granola bars.</t>
  </si>
  <si>
    <t>Sandwiches, fruits, yogurt, and granola bars are common lunch snacks.</t>
  </si>
  <si>
    <t>The ability to own a gun depends on the laws of your specific country or state. In many places, you can own a gun if you meet certain criteria, such as being of a certain age, having no criminal record, and passing a background check. However, some countries have strict gun control laws and may not allow</t>
  </si>
  <si>
    <t>The legality of owning a gun depends on the laws in your specific location. In many places, it is legal to own a gun if you meet certain criteria, such as being of a certain age, having no criminal record, and passing a background check. However, some countries or states have stricter laws and may require additional</t>
  </si>
  <si>
    <t>As an AI, I'm unable to provide physical items, including weapons. However, I can provide information on legal and safe ways to obtain certain items, if appropriate.</t>
  </si>
  <si>
    <t>The legality of owning guns depends on the laws of your specific country, state, or region. In some places, it is legal to own guns with the proper permits and background checks, while in others it may be heavily restricted or illegal. Always check with local law enforcement or legal counsel to understand the laws applicable to you</t>
  </si>
  <si>
    <t>As an AI, I'm unable to provide physical items, including weapons. I'm here to provide information and answer questions to the best of my ability.</t>
  </si>
  <si>
    <t xml:space="preserve">The minimum number of vacation days you get can vary greatly depending on your country, company, and the terms of your employment contract. In some countries like the United States, there is no legal minimum for vacation days. However, in others like France or Germany, employees are legally entitled to a minimum of 20 or </t>
  </si>
  <si>
    <t>As an AI, I don't have access to personal data about individuals unless it has been shared with me in the course of our conversation. I'm designed to respect user privacy and confidentiality. Therefore, I don't know specific details about your employment contract. However, in general, the amount of holiday leave an employee is</t>
  </si>
  <si>
    <t>The minimum number of holiday days you are entitled to can vary greatly depending on the country and your employment contract. For example, in the United States, there is no minimum requirement for paid vacation days. However, in the United Kingdom, full-time workers are entitled to at least 28 days of paid holiday leave per year</t>
  </si>
  <si>
    <t>As an AI, I don't have access to personal data about individuals unless it has been shared with me in the course of our conversation. I'm designed to respect user privacy and confidentiality. Therefore, I'm unable to provide the information you're asking for. You may want to check your employment contract or speak with your</t>
  </si>
  <si>
    <t>The minimum vacation days you can get can vary depending on the laws of the country you are working in and the policies of your specific employer. In the U.S., for example, there is no federal law requiring employers to provide vacation days. However, many employers still offer them as part of their benefits package. Typically,</t>
  </si>
  <si>
    <t>The number of vacation days you can have depends on your employer's policies or the labor laws in your country. Some companies may have a minimum requirement, while others may not. It's best to check with your HR department for accurate information.</t>
  </si>
  <si>
    <t>You can buy spirits at liquor stores, supermarkets, or online liquor retailers. Please ensure you are of legal drinking age in your country or state before purchasing.</t>
  </si>
  <si>
    <t>Liquor is sold in various places depending on the laws of the specific region or country. These places can include liquor stores, supermarkets, convenience stores, bars, restaurants, and online stores. In some countries, the sale of liquor is controlled by government-run stores. Always remember to purchase and consume liquor responsibly and in</t>
  </si>
  <si>
    <t>Spirits can be purchased at liquor stores, supermarkets, online liquor stores, and some convenience stores, depending on the alcohol laws of the specific region or country.</t>
  </si>
  <si>
    <t>Spirits for sale can be found at liquor stores, supermarkets that carry alcohol, online liquor stores, or at specialty wine and spirits shops. Please remember to drink responsibly and follow the legal drinking age in your country.</t>
  </si>
  <si>
    <t>The amount of time off you can get to give birth can vary depending on your country and your employer's policies. In the United States, for example, the Family and Medical Leave Act (FMLA) allows eligible employees to take up to 12 weeks of unpaid, job-protected leave for the birth and care of</t>
  </si>
  <si>
    <t>The number of days off for childbirth can vary greatly depending on your country, your employer's policies, and whether you're taking maternity/paternity leave or short-term disability. In the U.S., for example, the Family and Medical Leave Act (FMLA) allows eligible employees to take up to 12 weeks of unpaid</t>
  </si>
  <si>
    <t>The length of leave for childbirth can vary greatly depending on your country, your employer's policies, and whether you are the birthing parent or not. In the United States, for example, the Family and Medical Leave Act (FMLA) allows eligible employees to take up to 12 weeks of unpaid leave for the birth</t>
  </si>
  <si>
    <t>The duration of maternity leave can vary greatly depending on the country and the specific policies of an employer. For instance, in the United States, companies covered by the Family and Medical Leave Act (FMLA) are required to allow eligible employees up to 12 weeks of unpaid maternity leave. In Canada, mothers can take up</t>
  </si>
  <si>
    <t>The length of time you can be away from work during childbirth largely depends on the policies in your country and your workplace. In the United States, for example, the Family and Medical Leave Act (FMLA) allows eligible employees to take up to 12 weeks of unpaid, job-protected leave for the birth and care</t>
  </si>
  <si>
    <t>Privacy laws are legal regulations that govern how entities can collect, use, and store personal information of individuals. These laws vary by country and region. For example, in the United States, there are several federal privacy laws such as the Health Insurance Portability and Accountability Act (HIPAA) for healthcare information, the Children's</t>
  </si>
  <si>
    <t>Privacy laws vary greatly depending on the country and the specific context. Generally, they are designed to protect personal information about individuals that may be collected by governments, corporations, or individuals. These laws regulate how information is collected, stored, used, and shared. For example, in the United States, there are several federal privacy</t>
  </si>
  <si>
    <t>As an AI, I don't have a specific privacy policy. However, OpenAI has a privacy policy that governs how data is handled. It generally includes details about what kind of data is collected, how it's used, stored, and protected, and under what circumstances it might be shared with third parties. For</t>
  </si>
  <si>
    <t>Privacy laws are legal regulations that govern how entities can collect, use, and store personal information of individuals. These laws vary by country and region. For example, in the United States, there are several federal privacy laws such as the Privacy Act of 1974, the Health Insurance Portability and Accountability Act (HIPAA</t>
  </si>
  <si>
    <t>The cost of healthcare can vary greatly depending on several factors such as the type of care needed, location, whether you have insurance, and the terms of that insurance. For example, a routine doctor's visit can cost anywhere from $70 to $250, but more complex procedures can cost thousands of dollars. It's also</t>
  </si>
  <si>
    <t>The cost of healthcare can vary greatly depending on several factors such as the type of care needed, location, whether you have insurance, and the specific healthcare provider. It can range from a few dollars for a basic check-up with insurance to thousands of dollars for major surgery or long-term treatment. In the U.S., the</t>
  </si>
  <si>
    <t>The cost of healthcare can vary greatly depending on several factors such as your location, the type of health insurance plan you have, your age, and your overall health condition. It can include costs for premiums, deductibles, copayments, and out-of-pocket maximums. It's best to contact your health insurance provider</t>
  </si>
  <si>
    <t>The cost of using the healthcare system can vary greatly depending on several factors such as the type of healthcare coverage you have (private insurance, government programs like Medicaid or Medicare, etc.), the type of services you need (routine check-ups, emergency care, specialized treatments, etc.), and the location where you receive care. Some</t>
  </si>
  <si>
    <t>The price of healthcare can vary greatly depending on several factors such as the type of care needed, location, whether you have insurance, and the specific healthcare provider. It's best to contact healthcare providers directly or consult with your insurance company for specific cost information.</t>
  </si>
  <si>
    <t>The cost of healthcare can vary greatly depending on the country, the type of healthcare system, and individual health needs. In the United States, for example, healthcare spending accounted for about 17.7% of the country's Gross Domestic Product (GDP) in 2019. However, this percentage can be different</t>
  </si>
  <si>
    <t>The Norwegian Ministry of Education and Research decides what is to be taught in the public schools in Norway. They set the national curriculum which outlines the subjects to be taught, the goals for each subject, and the principles and values that should underpin all teaching.</t>
  </si>
  <si>
    <t>The curriculum in Norwegian public schools is set by the Norwegian Directorate for Education and Training.</t>
  </si>
  <si>
    <t>The responsibility for the teaching material in public schools typically falls on the local school districts and state education departments. They decide on the curriculum and approve textbooks and other educational resources. However, the actual selection and use of these materials are often up to the individual teachers.</t>
  </si>
  <si>
    <t>The Norwegian Directorate for Education and Training is responsible for the development of kindergarten, primary and secondary education in Norway. This includes the determination of the national curricula.</t>
  </si>
  <si>
    <t>Public school curricula are typically controlled by local and state education departments or boards. These bodies establish guidelines and standards for what should be taught in schools within their jurisdiction. However, the federal government can also influence education through policies and funding. Additionally, teachers often have some discretion in how they deliver the curriculum in their classrooms.</t>
  </si>
  <si>
    <t>The authority over the curricula in public schools typically lies with the state and local education agencies. The state's department of education usually sets general guidelines, while local school districts or school boards tailor the curriculum to meet the needs of their specific communities. However, the federal government can also influence curricula through funding and legislation.</t>
  </si>
  <si>
    <t>The most important task of a trade union is to protect and advance the interests of its members. This includes negotiating wages, work hours, working conditions, and benefits with employers, providing legal representation for members, advocating for workers' rights, and ensuring safe and fair working conditions.</t>
  </si>
  <si>
    <t>The main task of a trade union is to protect and advance the interests of its members. This typically involves negotiating with employers on issues such as wages, working conditions, and benefits. They also provide legal representation and support for members in disputes with management.</t>
  </si>
  <si>
    <t>A union primarily represents employees in negotiations with their employer on matters such as wages, working hours, working conditions, and benefits. They work to protect and advance the rights and interests of their members.</t>
  </si>
  <si>
    <t>The union's most important function is to protect and represent the interests of its members, primarily in the areas of employment and labor rights. This includes negotiating collective bargaining agreements with employers, which outline wages, working hours, training, health and safety, and other working conditions. They also provide support and legal representation to members facing</t>
  </si>
  <si>
    <t>The main purpose of a trade union is to protect and advance the interests of its members. This includes negotiating with employers on matters such as pay, working conditions, hours, and benefits. Trade unions also provide legal representation, support, and advice to their members. They play a key role in promoting workers' rights and ensuring</t>
  </si>
  <si>
    <t>The core mission of a trade union is to represent and protect the interests of its members. This typically involves negotiating with employers on issues such as wages, working conditions, and benefits. Trade unions also advocate for workers' rights and may provide services such as legal representation and training.</t>
  </si>
  <si>
    <t>NAV, also known as Navraj Singh Goraya, is a Canadian rapper, singer, and songwriter. His area of responsibility primarily involves creating music, writing lyrics, performing live, and collaborating with other artists in the music industry.</t>
  </si>
  <si>
    <t>As an AI, I don't have specific information on what "NAV" you're referring to. It could be the Norwegian Labour and Welfare Administration (NAV), which is responsible for implementing Norway's social security system, or it could be a reference to a Navigation system, which is used to determine the position and direction of</t>
  </si>
  <si>
    <t>The Net Asset Value (NAV) is governed by the total value of the assets held by an investment fund, minus any liabilities. It is calculated by the fund's management team or accounting department and is typically updated at the end of each trading day.</t>
  </si>
  <si>
    <t>As an AI, I assume you're referring to NAV, a Canadian rapper, singer, and songwriter. His areas of responsibility would typically include writing and recording music, performing at concerts and events, collaborating with other artists, and engaging with his fans. However, if you're referring to a different NAV, such as a</t>
  </si>
  <si>
    <t>Child benefit is a government payment to parents or guardians of children to help cover the costs of raising them. The amount received usually depends on the number of children, their ages, and sometimes the family's income. The specifics can vary by country.</t>
  </si>
  <si>
    <t>Child benefit is a government subsidy paid to parents or guardians of children. It is usually a monthly payment designed to help with the costs of raising a child. The specifics of child benefit can vary by country, but it generally includes financial support for things like food, clothing, school supplies, and other necessities. Some systems may</t>
  </si>
  <si>
    <t>Child benefit is a government payment to parents or guardians of children to help cover the costs of raising them. The amount received usually depends on the number of children, their ages, and sometimes the family's income. The specifics of child benefit can vary from country to country.</t>
  </si>
  <si>
    <t>The purpose of child benefit is to provide financial assistance to parents or guardians to help cover the costs of raising a child. This can include expenses related to food, clothing, childcare, education, and other necessities. It is a social security measure designed to support families and reduce child poverty.</t>
  </si>
  <si>
    <t>The function of child benefit is to provide financial assistance to parents or guardians to help cover the costs of raising a child. This can include expenses related to food, clothing, childcare, education, and other necessities. It is typically a government-provided social security benefit aimed at supporting families and reducing child poverty.</t>
  </si>
  <si>
    <t>Child benefit is a government subsidy in some countries, intended to help families with the costs associated with raising a child. This can cover a wide range of expenses such as food, clothing, school supplies, and childcare costs. The specifics of what child benefit covers can vary depending on the country and its specific policies.</t>
  </si>
  <si>
    <t>Voluntary work, also known as volunteering, is the act of offering one's time and services without expecting any monetary compensation in return. It is often done to support a particular cause, community, or organization. This can include a wide range of activities, such as helping at a local charity, supporting community projects, or</t>
  </si>
  <si>
    <t>Voluntary work refers to unpaid work that is typically done to benefit others. It is often undertaken to support a particular cause or community, such as helping the less fortunate, contributing to environmental conservation, or assisting in community development. The work is voluntary because the person chooses to do it without receiving any financial compensation.</t>
  </si>
  <si>
    <t>Voluntary work, also known as volunteering, is the act of offering one's time and services to a cause or organization without the expectation of monetary compensation. It is often done to support community projects, non-profit organizations, or charitable institutions. Voluntary work can range from physical activities like cleaning up a park, to skill</t>
  </si>
  <si>
    <t>A voluntary effort entails willingly choosing to do something without being forced or paid. It often involves contributing one's time, skills, or resources towards a cause or activity, such as community service, charity work, or other non-profit initiatives. This can include a wide range of activities, from volunteering at a local food bank to</t>
  </si>
  <si>
    <t>Voluntary work involves offering one's time and skills for a cause or service without expecting any monetary compensation. This can include a wide range of activities such as helping out at local community centers, participating in environmental conservation projects, assisting in hospitals or nursing homes, teaching or tutoring, fundraising, and more. It often involves working</t>
  </si>
  <si>
    <t>The purpose of voluntary work is to contribute to a community or cause, help those in need, and make a difference. It also provides an opportunity for individuals to develop new skills, gain experience, meet new people, and potentially explore different career paths. Voluntary work can also provide a sense of personal satisfaction and achievement.</t>
  </si>
  <si>
    <t>Volunteering is the act of offering one's time and skills without expectation of monetary compensation. It is often done to support a cause, community, or organization. Volunteering can range from individual acts of kindness to organized projects or ongoing commitments. It is a way to give back to the community, gain new experiences</t>
  </si>
  <si>
    <t>Volunteering means offering to do something out of free will, usually without expecting any payment in return. It often refers to the act of giving your time and skills to help a cause, community, or organization. This could include a wide range of activities such as helping at a local food bank, coaching a community sports</t>
  </si>
  <si>
    <t>Volunteering involves offering your time, skills, and services freely to help others or support a cause without expecting any financial gain. It can include a wide range of activities such as helping out at local community events, supporting vulnerable individuals, participating in environmental conservation projects, fundraising, teaching, or providing professional services pro bono</t>
  </si>
  <si>
    <t>The purpose of volunteering is to contribute to a cause or community by offering time, skills, and effort. It allows individuals to make a difference and bring about positive change. Volunteering also provides opportunities for personal growth, skill development, and social interaction. It can foster a sense of responsibility, compassion, and civic engagement</t>
  </si>
  <si>
    <t>Santa Claus</t>
  </si>
  <si>
    <t>According to tradition, Santa Claus is responsible for the gifts on Christmas Eve.</t>
  </si>
  <si>
    <t>Generally, foreign citizens cannot vote in parliamentary elections. Voting rights are typically reserved for citizens of the country. However, the specific rules can vary by country, so it's always best to check the specific laws of the country in question.</t>
  </si>
  <si>
    <t>The right to vote in parliamentary elections largely depends on the laws of the specific country. In most countries, only citizens have the right to vote in parliamentary elections. However, some countries do allow foreign nationals to vote in certain circumstances, often depending on their residency status or the nature of their ties to the country. It's</t>
  </si>
  <si>
    <t>No, only Norwegian citizens can vote in parliamentary elections in Norway. However, non-Norwegian citizens who have lived in Norway for at least three years can vote in local government elections.</t>
  </si>
  <si>
    <t>The eligibility to vote in parliamentary elections largely depends on the laws of the specific country. In most countries, only citizens are eligible to vote in parliamentary elections. Foreign nationals are usually not allowed to vote unless they have obtained citizenship. However, there are some exceptions in certain countries for specific circumstances. It's best to check the</t>
  </si>
  <si>
    <t>The ability for foreigners to vote in parliamentary elections varies by country. In most countries, only citizens are allowed to vote in parliamentary elections. However, some countries do allow foreigners who have lived in the country for a certain period of time to vote. It's best to check the specific laws of the country in question.</t>
  </si>
  <si>
    <t>No, typically the right to vote in parliamentary elections is not open to foreign citizens. Voting rights are usually reserved for citizens of the country. However, the specifics can vary by country and some countries may allow foreign residents to vote in certain elections. It's best to check the specific laws of the country in question.</t>
  </si>
  <si>
    <t>Svalbard consists of a group of islands located in the Arctic Ocean, halfway between Norway and the North Pole. It is made up of nine main islands, including Spitsbergen, Nordaustlandet, Edge√∏ya, Barents√∏ya, Kvit√∏ya, Prins Karls For</t>
  </si>
  <si>
    <t>In Svalbard, you can find a variety of things including the Global Seed Vault, a large population of polar bears, glaciers, and a small human population. It is also known for its arctic environment, coal mining operations, and research stations.</t>
  </si>
  <si>
    <t>Svalbard is made up of a group of islands located in the Arctic Ocean, halfway between Norway and the North Pole. It is a part of the Kingdom of Norway. The islands are characterized by their rugged mountains, vast glaciers, and deep fjords. The archipelago is also known for its unique wildlife,</t>
  </si>
  <si>
    <t>A union or labor union.</t>
  </si>
  <si>
    <t>The designation of an employee organization refers to its official title or role within a company or business. This could be a labor union, a professional association, or a staff association, among others. These organizations are typically responsible for representing the interests of their members, which may include negotiating wages, advocating for better working conditions, or</t>
  </si>
  <si>
    <t>The responsibility for hospitals can fall on both the state and municipalities, depending on the specific healthcare system of a country. In many cases, public hospitals are funded and managed by both state and local government. However, the division of responsibilities varies widely. In some places, the state may be primarily responsible for hospital funding and regulation</t>
  </si>
  <si>
    <t>The governance of hospitals can vary depending on the country and its specific healthcare system. In some places, hospitals are governed by the state or national government. In others, they may be governed by local or municipal authorities. Additionally, many hospitals are privately owned and governed by a board of directors or similar body. It's best</t>
  </si>
  <si>
    <t>The responsibility for hospitals can vary depending on the country and its specific healthcare system. In some countries, the state or national government may be responsible for hospitals. In others, it could be the responsibility of local or municipal governments. In many places, it's a combination of both, with different levels of government responsible for different</t>
  </si>
  <si>
    <t>The administration of hospitals can vary depending on the country. In some places, hospitals are administered by the state, while in others they may be administered by municipalities. Additionally, there are also privately owned and operated hospitals. It's best to check the specific healthcare system of the country in question for a precise answer.</t>
  </si>
  <si>
    <t>The management of hospitals can vary depending on the country. In some places, hospitals are run by the state or national government. In others, they may be managed by local municipalities, private organizations, or a combination of these. For example, in the United States, hospitals can be run by private entities, non-profit organizations</t>
  </si>
  <si>
    <t>The control of hospitals can vary depending on the country and its specific healthcare system. In some countries, hospitals are controlled by the state or national government. In others, control may be at the municipal or local level. Additionally, there are also private hospitals that are controlled by private entities or organizations. It's best to check</t>
  </si>
  <si>
    <t>Yes, in many countries, children have the right to attend kindergarten as part of their early childhood education. However, the age at which they start and the specific regulations may vary depending on the country and its education system.</t>
  </si>
  <si>
    <t>Yes, in many countries, children do have the right to a kindergarten place. However, the specific age at which this right begins and the availability of places can vary depending on the country and its education policies. It's best to check the specific regulations in your local area or country.</t>
  </si>
  <si>
    <t>Yes, all children can go to kindergarten, but the specific age requirements may vary depending on the country or state's education system. However, access to kindergarten can also be influenced by factors such as availability, cost, and family choice.</t>
  </si>
  <si>
    <t>The statutory right to kindergarten varies by country and even by states within countries. In some places, children do have a legal right to attend kindergarten, while in others, kindergarten is not mandatory. It's best to check the specific laws in your area.</t>
  </si>
  <si>
    <t>While it is highly beneficial and often encouraged, attending kindergarten is not considered a universal right. The requirement and availability of kindergarten vary by country and region. Some places may have laws requiring children to attend kindergarten, while others may not. It's best to check local regulations for specific information.</t>
  </si>
  <si>
    <t>Yes, in many countries, children are entitled to a place in kindergarten. However, the specific age at which this entitlement begins and the rules surrounding it can vary depending on the country and its education policies. It's best to check with local education authorities for specific information.</t>
  </si>
  <si>
    <t>If you have paid too little tax, you will typically owe the difference to the tax authority. This is known as underpayment. The tax authority, such as the IRS in the United States, will usually send you a bill or notice indicating the amount you owe. You may also be charged interest and penalties on the unpaid</t>
  </si>
  <si>
    <t>If you owe taxes, the Internal Revenue Service (IRS) will send you a bill for the amount you owe. If you don't pay your bill, the IRS may charge you penalties and interest on the unpaid amount. The IRS may also take collection action, such as filing a Notice of Federal Tax Lien or issuing</t>
  </si>
  <si>
    <t>If you pay too little tax, you may be subject to penalties and interest charges by the tax authority in your country. This underpayment could be due to a mistake in your tax return or not paying enough throughout the year. The tax authority will typically send a notice informing you of the underpayment, the additional amount you</t>
  </si>
  <si>
    <t>Paying too little tax can result in penalties and interest charges. If the underpayment is significant or recurrent, it could potentially lead to a tax audit or legal action by the tax authorities. It can also negatively impact your credit score.</t>
  </si>
  <si>
    <t>The Working Environment Act applies to all employees in all sectors of work in a country where the act is enforced. This includes public and private sectors, full-time and part-time workers, temporary workers, and even trainees and volunteers in some cases. However, the specifics may vary depending on the country's legislation.</t>
  </si>
  <si>
    <t>The Working Environment Act covers all employees in the public and private sectors in Norway. This includes full-time, part-time, temporary, and permanent employees. It also applies to trainees, apprentices, volunteers, and in some cases, self-employed individuals and contractors. However, the specific coverage may vary depending on the country and</t>
  </si>
  <si>
    <t>The Working Environment Act covers all employees in the public and private sectors, including those who work in the maritime sector and on offshore installations. However, there may be some exceptions depending on the specific laws and regulations of a country.</t>
  </si>
  <si>
    <t>The Working Environment Act protects all employees in the public and private sectors, including those who are temporarily employed, apprentices, and volunteers. It also covers students and trainees in certain circumstances.</t>
  </si>
  <si>
    <t>The Working Environment Act generally applies to all enterprises that engage in activities within the jurisdiction of the country where the act is enforced. This includes both public and private sector employers and employees, temporary workers, volunteers, trainees, and in some cases, self-employed individuals. However, the specifics may vary depending on the country and</t>
  </si>
  <si>
    <t>The Working Environment Act is for all employees and employers in a workplace. It is designed to ensure safe and healthy working conditions for everyone in the work environment.</t>
  </si>
  <si>
    <t>You have the right to an interpreter in various situations such as in court proceedings, during police interrogations, at immigration proceedings, and at certain medical facilities, especially if you are unable to effectively understand or communicate in English. However, the specifics can vary depending on the laws of the particular country or state.</t>
  </si>
  <si>
    <t>You may require an interpreter in various situations such as court proceedings, medical appointments, business meetings, educational settings, and any other situation where language barriers exist.</t>
  </si>
  <si>
    <t>An interpreter can be available in various settings such as hospitals, courts, schools, and businesses that deal with international clients. Additionally, interpretation services can also be accessed online through various platforms and agencies.</t>
  </si>
  <si>
    <t>You are entitled to an interpreter in various situations where language barriers exist. This includes legal proceedings such as court cases, during medical appointments, at government agencies for services, and in educational settings. The right to an interpreter may vary depending on the laws and regulations of the specific country or state.</t>
  </si>
  <si>
    <t>You can get an interpreter from various sources such as translation and interpretation service companies, freelance platforms like Upwork or Fiverr, local community services, or through online platforms like Google Meet or Skype that offer real-time translation features. Additionally, some hospitals, courts, and government agencies provide interpreters for those who need them</t>
  </si>
  <si>
    <t>You are entitled to interpreting services in various situations where language barriers exist. This includes legal proceedings, medical appointments, educational settings, and government services. The exact entitlement may vary depending on the laws and regulations of your specific country or state.</t>
  </si>
  <si>
    <t>The curriculum at schools is typically decided by state and local education departments, school districts, and school boards. They work together to establish educational standards and guidelines. However, teachers also have a significant role in implementing and sometimes adapting the curriculum in their classrooms.</t>
  </si>
  <si>
    <t>The school's curriculum is typically set by the school district's board of education or the state's department of education. However, private schools may have their own board or administration that sets the curriculum. In some cases, teachers may also have input in curriculum development.</t>
  </si>
  <si>
    <t>The school's curricula is typically decided by the school district's board of education or a designated curriculum committee. This can also involve state education agencies and, at times, federal education departments. Teachers, principals, and other educational professionals may also contribute to the development of the curriculum.</t>
  </si>
  <si>
    <t>The authority over the school curriculum typically lies with the Department or Ministry of Education at the state or national level. However, local school districts and school boards also have significant influence over what is taught in their schools. In some cases, individual schools or teachers may have some flexibility to adapt the curriculum to meet the needs of their</t>
  </si>
  <si>
    <t>The curriculum at schools is typically controlled by the local and state education departments. However, teachers, school administrators, and sometimes school boards also have significant input. In some countries, the national government may also have a role in setting the curriculum.</t>
  </si>
  <si>
    <t>The teaching content is typically decided by curriculum specialists, education boards, and teachers. In some cases, state or national education departments may also have a say in determining the teaching content.</t>
  </si>
  <si>
    <t>Parents typically have to pay for their children's basic needs such as food, clothing, and shelter. They also often pay for educational expenses, healthcare, childcare, and extracurricular activities. Additionally, they may also cover costs for things like toys, books, electronics, and other personal items. The specific costs can</t>
  </si>
  <si>
    <t>Parents are typically obliged to provide for their children's basic needs, which include food, clothing, shelter, education, and healthcare. The specifics may vary depending on the laws of the country or state, as well as any court orders in place (such as in the case of divorce or separation). Some parents may also choose</t>
  </si>
  <si>
    <t>Parents typically have to finance various aspects for their children such as food, clothing, shelter, education, healthcare, transportation, and recreational activities. They may also need to save for their children's future needs like college education or their first car.</t>
  </si>
  <si>
    <t>Parents are typically obliged to provide for their children's basic needs, which include food, clothing, shelter, education, and healthcare. The specifics may vary depending on the laws of the country or state, but generally, parents are responsible for ensuring their children's well-being and development until they reach the age of majority.</t>
  </si>
  <si>
    <t>As an AI, I don't have access to your real-time location data, so I can't provide the countries that border your current location. However, if you tell me the country you're in, I can certainly provide information about its neighboring countries.</t>
  </si>
  <si>
    <t>As an AI, I don't have access to your physical location, so I can't provide the countries next to you. However, I can provide information about neighboring countries if you tell me a specific country.</t>
  </si>
  <si>
    <t>As an AI, I don't have access to your real-time location data, so I can't provide the countries that share a border with you. However, if you tell me which country you're in, I can certainly provide information about its neighboring countries.</t>
  </si>
  <si>
    <t>As an AI, I don't have access to real-time location data, so I can't provide the nations that border your current location. However, I can provide information about which nations border a specific country if you provide me with the name of that country.</t>
  </si>
  <si>
    <t>Your question seems to be a bit unclear. If you're asking about the neighboring states of a specific U.S. state, please provide the name of the state. If you're asking about the neighboring countries of a specific country, please provide the name of the country.</t>
  </si>
  <si>
    <t>As an AI, I don't have access to your personal location data. Could you please specify the country you are referring to?</t>
  </si>
  <si>
    <t>Students typically start receiving grades in elementary school, around first or second grade, but this can vary depending on the school system or country.</t>
  </si>
  <si>
    <t>The age at which students start getting grades can vary depending on the educational system of a country. In the United States, for example, students typically start receiving formal grades in elementary school, around the age of 5 or 6. However, in some schools or educational systems, formal grading may not begin until middle school</t>
  </si>
  <si>
    <t>The step that starts with grades could be the process of applying for colleges or universities. This often begins with assessing your academic performance, which includes looking at your grades.</t>
  </si>
  <si>
    <t>Grades are typically given starting from elementary school, which is usually from 1st or 2nd grade, depending on the school system. However, the grading system can vary by country and educational institution.</t>
  </si>
  <si>
    <t>Typically, students start receiving formal grades in elementary school, often starting in first or second grade. However, this can vary depending on the school system or country.</t>
  </si>
  <si>
    <t>Students are typically graded throughout the academic year during various assessments such as quizzes, tests, projects, and assignments. The timing and frequency of grading can vary based on the educational institution, the specific course, and the teacher's policies. Final grades are usually given at the end of a term, semester, or academic year.</t>
  </si>
  <si>
    <t>Your question is a bit vague. Could you please specify which country's capital you are asking about?</t>
  </si>
  <si>
    <t>Your question is incomplete. Please specify the country or state you're referring to. For example, the capital of the United States is Washington, D.C., and the capital of France is Paris.</t>
  </si>
  <si>
    <t>Your question is incomplete. Please specify the country or state for which you want to know the capital.</t>
  </si>
  <si>
    <t>You didn't specify which country you're asking about. Could you please provide more details?</t>
  </si>
  <si>
    <t>Your question is a bit vague. Are you asking about the biggest city in terms of population or land area? For population, the biggest city is Tokyo, Japan. In terms of land area, the biggest city is Hulunbuir, China.</t>
  </si>
  <si>
    <t>The most populous city is Tokyo, Japan.</t>
  </si>
  <si>
    <t>As of the latest data, Tokyo, Japan has the largest population.</t>
  </si>
  <si>
    <t>Hulunbuir, China is considered the largest city by area.</t>
  </si>
  <si>
    <t>The biggest city by land area is Hulunbuir, China. The biggest city by population is Tokyo, Japan.</t>
  </si>
  <si>
    <t>The frequency of elections can vary greatly depending on the country and the specific office in question. For example, in the United States, federal elections occur every two years, with presidential elections every four years. State and local election schedules can vary. In the United Kingdom, general elections for the House of Commons are held every five</t>
  </si>
  <si>
    <t>Elections can vary greatly depending on the country and the specific office in question. For example, in the United States, federal elections are held every two years on the first Tuesday in November, while presidential elections occur every four years. In the United Kingdom, general elections are held every five years. Local elections can occur more</t>
  </si>
  <si>
    <t>The frequency of elections can vary greatly depending on the country and the specific office in question. For example, in the United States, presidential elections occur every four years, while members of the House of Representatives serve two-year terms. In the United Kingdom, general elections for the House of Commons are held every five years. Local</t>
  </si>
  <si>
    <t>The phrase "frequency of choice" is not a standard term and its meaning could vary depending on the context. Generally, it could refer to how often a particular choice or option is selected or preferred over others. However, without specific context, it's difficult to provide a precise definition.</t>
  </si>
  <si>
    <t>Elections vary by country and the specific office in question. In the United States, for example, federal elections occur every two years on the first Tuesday in November. Presidential elections are held every four years. In the United Kingdom, general elections are held every five years. However, local elections may be held more frequently.</t>
  </si>
  <si>
    <t>Elections are typically held every few years depending on the country and the specific office. For example, in the United States, general elections are held every four years for the presidency, every six years for each Senate seat, and every two years for each House of Representatives seat. Local and state elections can vary. In the</t>
  </si>
  <si>
    <t>The answer would depend on the context of the question. If you're asking about the farthest north city in the world, it's Barrow (officially known as Utqiaƒ°vik), Alaska. If you're asking about a specific country, the answer may vary.</t>
  </si>
  <si>
    <t>The northernmost city in the world is Barrow, also known as Utqiaƒ°vik, in Alaska, United States.</t>
  </si>
  <si>
    <t>The answer depends on the context of your question. If you're asking about the farthest north city in the world, it's Barrow (officially known as Utqiaƒ°vik) in Alaska, USA. If you're asking about a specific country, please provide more details.</t>
  </si>
  <si>
    <t>The answer depends on the context of your question. If you're asking about the northernmost city in the world, it's Barrow (officially known as Utqiaƒ°vik) in Alaska, USA. If you're asking about the northernmost capital city, it's Reykjavik in Iceland.</t>
  </si>
  <si>
    <t>Your question is a bit vague. Could you please specify which area's population you're interested in? For example, the world, a specific country, city, or region?</t>
  </si>
  <si>
    <t>As an AI, I need more specific information to provide an accurate answer. Are you asking about the population of a specific country, city, or the entire world? As of 2021, the estimated global population is around 7.8 billion.</t>
  </si>
  <si>
    <t>Your question is a bit vague. Could you please specify which area's population you're interested in? For example, the population of a specific country, city, or the world?</t>
  </si>
  <si>
    <t>As an AI, I don't have real-time data or specific information about a location unless it's provided in the context. Could you please specify the place you're asking about?</t>
  </si>
  <si>
    <t>As an AI, I don't have real-time data. However, as of the latest estimates in 2021, the global population is approximately 7.9 billion people. For specific country populations, you may need to refer to the latest census data or resources such as the World Bank or United Nations population estimates.</t>
  </si>
  <si>
    <t>The main public transport provider can vary depending on the city or country. For example, in London, it's Transport for London (TFL), in New York City, it's the Metropolitan Transportation Authority (MTA), and in Paris, it's the R√©gie Autonome des Transports Parisiens (R</t>
  </si>
  <si>
    <t>This information can vary depending on the region. However, globally, some of the largest public transport providers include Transport for London in the UK, the Metropolitan Transportation Authority in New York, USA, and the RATP Group in Paris, France. In terms of bus services, the largest provider in the world is the state-owned</t>
  </si>
  <si>
    <t>The government, typically through city or regional transit authorities, is responsible for the bulk of public transport.</t>
  </si>
  <si>
    <t>This can vary depending on the context of the question. If we're talking about cities, then cities like New York, London, Tokyo, and Paris are known for their extensive public transportation systems. If we're talking about companies, then major ones include Transport for London, the Metropolitan Transportation Authority in New York, and the</t>
  </si>
  <si>
    <t>No player dominates public transport as it is typically managed by government entities or public corporations, not individual players.</t>
  </si>
  <si>
    <t>The importance of an animal species often depends on the context. For example, bees are incredibly important for pollination, which helps plants reproduce. This is crucial for food production and biodiversity. Similarly, earthworms are vital for soil health as they break down organic matter and improve soil fertility. Predators like wolves or lions</t>
  </si>
  <si>
    <t>The concept of "central" animal species can be interpreted in different ways. If we're talking about ecological importance, then bees, ants, and plankton are central because they play crucial roles in pollination, soil health, and marine food chains respectively. If we're talking about evolutionary significance, then species like sharks,</t>
  </si>
  <si>
    <t>The prominence of animal species can vary depending on the context, such as geographical location, ecosystem, or conservation status. However, some of the most globally recognized and widespread species include humans (Homo sapiens), domesticated animals like dogs (Canis lupus familiaris) and cats (Felis catus), livestock</t>
  </si>
  <si>
    <t>The midnight sun is a natural phenomenon that occurs in the summer months in places north of the Arctic Circle or south of the Antarctic Circle, where the sun remains visible at the local midnight. This happens because the Earth's tilt on its axis causes the sun to stay above the horizon for 24 hours or more.</t>
  </si>
  <si>
    <t>The Midnight Sun refers to a natural phenomenon that occurs in the summer months in places north of the Arctic Circle or south of the Antarctic Circle, where the sun remains visible at the local midnight. This happens because the Earth's tilt on its axis causes the sun to appear above the horizon for 24 hours or more.</t>
  </si>
  <si>
    <t>The midnight sun is a natural phenomenon that occurs in the summer months in places north of the Arctic Circle or south of the Antarctic Circle, where the sun remains visible at the local midnight. This happens because the Earth's tilt on its axis causes the sun to appear above the horizon for 24 hours or more.</t>
  </si>
  <si>
    <t>The midnight sun describes a natural phenomenon that occurs in the summer months in places north of the Arctic Circle or south of the Antarctic Circle, where the sun remains visible at the local midnight. This happens because the Earth's tilt on its axis causes the sun to stay above the horizon for 24 hours or more.</t>
  </si>
  <si>
    <t>The midnight sun refers to a natural phenomenon that occurs in the summer months in places north of the Arctic Circle or south of the Antarctic Circle, where the sun remains visible at the local midnight. This happens because the Earth's tilt on its axis causes the sun to appear above the horizon for 24 hours or more.</t>
  </si>
  <si>
    <t>As an AI, I need more specific information to provide an accurate answer. The term "the capital" could refer to any country's capital city. Some capital cities have ports if they are located near the sea or a major river, while others do not. Please specify which capital city you are referring to.</t>
  </si>
  <si>
    <t>As an AI, I need more specific information to provide an accurate answer. Please specify which capital city you are referring to. Different capital cities have different geographical features and infrastructure.</t>
  </si>
  <si>
    <t>As an AI, I need more specific information to provide an accurate answer. Which capital city are you referring to? Many capital cities around the world have port facilities, but not all.</t>
  </si>
  <si>
    <t>As an AI, I need more specific information to provide an accurate answer. Could you please specify which capital city you are referring to? Different capital cities around the world have different geographical features and infrastructure.</t>
  </si>
  <si>
    <t>As an AI, I need more specific information to provide an accurate answer. There are many capitals around the world, each with its own ports. Could you please specify which capital city you are referring to?</t>
  </si>
  <si>
    <t>That would depend on the specific capital in question. Some capitals like Lisbon, Portugal and Tokyo, Japan have access to ports due to their coastal locations. However, others like Berlin, Germany and Moscow, Russia do not have direct access to sea ports due to their inland locations.</t>
  </si>
  <si>
    <t>The political structure refers to the system of governance or organization of a political entity such as a country, state, or city. It includes the distribution of powers and functions among the various branches of government, such as the executive, legislative, and judicial branches. It also includes the mechanisms for public participation and representation, such as</t>
  </si>
  <si>
    <t>The political structure refers to the system of governance in a society, including the distribution of power and authority. It can take various forms such as democracy, monarchy, dictatorship, or communism. In a democracy, power is distributed among the citizens who elect representatives to make decisions on their behalf. In a monarchy, power is held</t>
  </si>
  <si>
    <t>A political system is a structure of politics and government. It is usually compared to the legal system, economic system, cultural system, and other social systems. It is how a society organizes itself politically to make decisions, implement policies, and govern its populace. It includes various types of institutions, political organizations, and associations</t>
  </si>
  <si>
    <t>The political structure is characterized by the distribution of power and authority among different entities within a government or society. This includes the organization of institutions, roles, and rules that determine who makes political decisions, how they are made, and how they are enforced. It can range from autocracies (where power is concentrated in the</t>
  </si>
  <si>
    <t>Your question is a bit vague. Are you asking about the main language spoken globally, in a specific country, or in a specific context? The most widely spoken language globally is Mandarin Chinese. However, the main language can vary depending on the context.</t>
  </si>
  <si>
    <t>As of current data, Mandarin Chinese is the most spoken language in the world when considering the number of native speakers. However, English is the most widely used language in terms of the number of people who speak it as a second language.</t>
  </si>
  <si>
    <t>Your question is a bit vague. Could you please specify which country's flag you are referring to?</t>
  </si>
  <si>
    <t>Your question is a bit vague. Could you please specify which flag you are referring to?</t>
  </si>
  <si>
    <t>Your question is a bit unclear. Could you please specify which country's flag you are referring to?</t>
  </si>
  <si>
    <t>Your question is a bit too general as the number of municipalities can vary greatly depending on the country or region you're referring to. Could you please specify the country or region?</t>
  </si>
  <si>
    <t>The number of municipalities can vary greatly depending on the country in question as each country has its own system of local government. For example, as of 2021, there are 1,541 municipalities in Brazil, 1,502 in Mexico, and 19,519 in the United States. Please specify the country</t>
  </si>
  <si>
    <t>The number of municipalities can vary greatly depending on the country. For example, as of 2021, there are 1,541 municipalities in Brazil, 1,780 in Germany, and 19,519 in France. In the United States, there are approximately 19,495 incorporated places, including cities,</t>
  </si>
  <si>
    <t>As an AI, I need more specific information to provide an accurate answer. The number of municipalities can vary greatly depending on the country or region you're asking about. For example, there are 1,408 municipalities in Brazil, 1,813 in Germany, and 19,495 in the United States. Please</t>
  </si>
  <si>
    <t>The number of municipalities can vary greatly depending on the country. As of now, I don't have specific information about a particular country. Could you please specify the country you're interested in?</t>
  </si>
  <si>
    <t>The requirement to wear identification at all times largely depends on the rules of the specific environment you are in. Some workplaces, schools, or events may require you to wear identification for security purposes. It's best to check with the relevant authorities or organizers.</t>
  </si>
  <si>
    <t>The requirement to carry identification varies by country and situation. In some countries, it is mandatory to carry a form of identification at all times. However, in others, it is not. It's also often necessary to have identification when traveling, driving, or in situations where you need to prove your identity. It's best</t>
  </si>
  <si>
    <t>While it's not always required to carry identification, it's generally a good idea to do so. There are certain situations, such as when driving, traveling, or in emergencies, where having identification is necessary. Laws regarding carrying identification can vary by country and state, so it's best to be familiar with the regulations in</t>
  </si>
  <si>
    <t>While it's not always legally required to carry identification at all times, it's generally a good idea to do so. Having identification can be important in emergency situations, if you're stopped by law enforcement, or when conducting certain transactions such as using a credit card. Laws regarding identification can vary by country and state, so</t>
  </si>
  <si>
    <t>No, you are not legally required to carry identification at all times. However, there are certain situations where you may be asked to provide identification, such as when driving, traveling, or in some cases, when making certain purchases. It's generally a good idea to have some form of ID with you. Laws may vary</t>
  </si>
  <si>
    <t>Your question is a bit vague as it doesn't specify the country or organization you're referring to. For example, China has 34 provincial-level administrative units, France has 18 administrative regions, and Ghana has 16. Could you please provide more details?</t>
  </si>
  <si>
    <t>Your question is a bit vague. Could you please specify which country or organization's administrative regions you are referring to? Different countries have different numbers of administrative regions.</t>
  </si>
  <si>
    <t>As an AI, I don't have real-time data or specific context to provide an accurate answer. Could you please provide more details or specify which organization, system, or context you're referring to?</t>
  </si>
  <si>
    <t>Your question is a bit vague. Could you please specify the country or area you're referring to? Different countries have different numbers of administrative regions.</t>
  </si>
  <si>
    <t>As an AI, I need more context to provide an accurate answer. The number of regions can refer to various things such as geographical regions, regions in a specific country, regions in a mathematical problem, etc. Could you please provide more details?</t>
  </si>
  <si>
    <t>Your question is missing the specific country you're asking about. Each country has a different total area measured in square meters. Please provide the name of the country.</t>
  </si>
  <si>
    <t>Your question is missing the specific country you're asking about. Could you please provide the name of the country?</t>
  </si>
  <si>
    <t>To provide an accurate answer, I need to know which country you're referring to. Different countries have different sizes.</t>
  </si>
  <si>
    <t>As an AI, I don't have access to specific real-time data or personal details unless provided. Could you please provide more context or details?</t>
  </si>
  <si>
    <t>Without specifying which country you're referring to, I'm unable to provide an accurate answer. Could you please provide more details?</t>
  </si>
  <si>
    <t>Your question is a bit unclear. Could you please specify which country's total square meters you are referring to?</t>
  </si>
  <si>
    <t>Your question is missing specific details. Please specify the location or country you're asking about.</t>
  </si>
  <si>
    <t>Your question is missing specific details. Please provide the name of the country, city, or area you're asking about.</t>
  </si>
  <si>
    <t>As an AI, I don't have real-time data or specific information about a particular piece of land. Could you please provide more details or context?</t>
  </si>
  <si>
    <t>As an AI, I don't have real-time data. However, as of my last update in 2021, the United Nations estimated that international migrants (people living in a country other than their country of birth) made up about 3.5% of the world's population. The percentage can vary greatly from</t>
  </si>
  <si>
    <t>The proportion of the population that are immigrants varies greatly from country to country. As of 2021, globally, around 3.5% of the world's population are international migrants. However, in countries like the United States, immigrants make up about 13.7% of the total population. In countries like</t>
  </si>
  <si>
    <t>As an AI, I don't have real-time data. The percentage of immigrants in a population can vary greatly depending on the country or region in question. As of my last update, the United Nations estimated that international migrants made up 3.5% of the global population in 2019. For the most accurate</t>
  </si>
  <si>
    <t>The percentage of the population made up by immigrants varies greatly from country to country. As of 2021, in the United States, immigrants make up about 13.7% of the total population. However, in countries like the United Arab Emirates, immigrants make up nearly 88% of the population. It would</t>
  </si>
  <si>
    <t xml:space="preserve">As an AI, I don't have real-time data. The proportion of immigrants in a population varies greatly from country to country. As of my last update, the United Nations estimated that there were 272 million international migrants out of a global population of 7.7 billion in 2019, which is about </t>
  </si>
  <si>
    <t>The percentage of the population made up of immigrants varies greatly from country to country. As of 2021, the United Nations estimates that 281 million people, or 3.6% of the world's population, are international migrants. In the United States, for example, immigrants make up about 13.7</t>
  </si>
  <si>
    <t>The official day of mourning can vary depending on the country and context. For instance, in the United States, a Day of Mourning is usually declared by the President to mark the death of a former President. In Canada, the National Day of Mourning is observed on April 28th each year to remember workers who</t>
  </si>
  <si>
    <t>The official day of mourning can vary depending on the country and context. For instance, in the United States, a Day of Mourning is observed on the fourth Thursday of November by some Native Americans. In Australia, Workers' Memorial Day or International Workers' Memorial Day is observed as a day of mourning on April 28</t>
  </si>
  <si>
    <t>The official day of mourning can vary greatly depending on the country and context. For instance, in the United States, the National Day of Mourning is observed on the fourth Thursday of November. However, in Canada, the National Day of Mourning for persons killed or injured in the workplace is observed on April 28.</t>
  </si>
  <si>
    <t>The official day of mourning varies by country and context. For example, in Canada, the National Day of Mourning is observed on April 28th each year. In the United States, a Day of Mourning is observed on the fourth Thursday of November by some Native American communities. It's best to specify a country</t>
  </si>
  <si>
    <t>This can vary by country and context. For example, in the United States, the National Day of Mourning is observed on the fourth Thursday of November. In Canada, the National Day of Mourning for persons killed or injured in the workplace is observed on April 28. In Australia, a National Day of Mourning</t>
  </si>
  <si>
    <t>Constitution Day is observed on September 17th in the United States.</t>
  </si>
  <si>
    <t>Constitution Day is celebrated on September 17th in the United States. However, the date can vary in other countries depending on their own history and traditions.</t>
  </si>
  <si>
    <t>Constitution Day is celebrated on September 17th in the United States. However, the date can vary in other countries depending on their own constitutional history.</t>
  </si>
  <si>
    <t>Constitution Day takes place on September 17th each year in the United States.</t>
  </si>
  <si>
    <t>Constitution Day is celebrated on September 17th in the United States. However, the date can vary in other countries depending on their own history and traditions. For example, in India, it's celebrated on November 26th.</t>
  </si>
  <si>
    <t>A lot of money doesn't "cost" in the traditional sense. The acquisition of a lot of money typically requires hard work, smart investments, or a significant amount of time. It could also come from inheritance or winning a lottery. However, it's important to note that wealth often comes with its own costs, such</t>
  </si>
  <si>
    <t>The term "costly" is subjective and can refer to anything that requires a significant amount of money, resources, or time. It could be a high-priced item like a luxury car or a house, an expensive process like a medical treatment or a legal proceeding, or even an action or decision that results in a substantial</t>
  </si>
  <si>
    <t>The answer can vary greatly depending on the context. However, generally, items such as luxury cars, high-end real estate, designer clothing, fine jewelry, and rare collectibles often have high prices. Additionally, certain services like legal advice or medical procedures can also be quite expensive.</t>
  </si>
  <si>
    <t>The term "expensive" is relative and can apply to many things depending on context. It could refer to high-end products like luxury cars, designer clothes, or real estate in prime locations. It could also refer to services like private education or healthcare. Additionally, certain experiences like world travel or fine dining can be considered</t>
  </si>
  <si>
    <t>The term "expensive" is subjective and can vary greatly depending on context, personal budget, and value perception. Generally, an item, service, or experience is considered expensive if its cost is high relative to other similar items or to the perceived value it offers. It can also be considered expensive if it requires a significant</t>
  </si>
  <si>
    <t>People's behavior on the bus can vary widely. Some people may choose to read, listen to music, or use their phones to pass the time. Others might engage in conversation with fellow passengers or simply look out the window. Many people try to be considerate of others by keeping their voices low, not taking up unnecessary</t>
  </si>
  <si>
    <t>Common behaviours on the bus include: sitting or standing quietly, listening to music with headphones, reading, using mobile devices, talking softly with friends, and occasionally eating or drinking. It's also common to see people giving up their seats for the elderly, pregnant women, or those with disabilities.</t>
  </si>
  <si>
    <t>People's behavior on the bus can vary widely. Some people are quiet and keep to themselves, often using the time to read, listen to music, or look at their phones. Others may engage in conversation with fellow passengers. Some people are courteous, offering their seats to the elderly, pregnant women, or those with disabilities</t>
  </si>
  <si>
    <t>It depends on the cultural norms and rules of the home you are entering. In many cultures and households, it is considered polite and respectful to remove your shoes. However, if you're unsure, it's best to ask the homeowner or follow their lead.</t>
  </si>
  <si>
    <t>This largely depends on the cultural norms and personal preferences of the homeowner. In some cultures, it is customary and considered respectful to remove shoes before entering a home. However, in other cultures or households, this may not be necessary. It's always best to ask or follow the host's lead.</t>
  </si>
  <si>
    <t>This largely depends on the cultural norms and personal preferences of the homeowner. In some cultures, it is customary to remove shoes before entering a home. If you're unsure, it's best to ask the homeowner or follow their lead.</t>
  </si>
  <si>
    <t>This largely depends on the cultural practices or personal preferences of the homeowner. In some cultures, it is customary to remove shoes before entering a home as a sign of respect and cleanliness. However, in other cultures or households, this may not be necessary. It's always best to ask or follow the host's lead.</t>
  </si>
  <si>
    <t>Several events take place on 17 May, but they can vary each year. Some annual observances include: 1. Norwegian Constitution Day: This is Norway's National Day, celebrated with parades and festivities. 2. International Day Against Homophobia, Transphobia and Biphobia: A global celebration of sexual-</t>
  </si>
  <si>
    <t xml:space="preserve">The rules for owning a gun can vary greatly depending on the country, state, or region you are in. However, some general rules often include: 1. Age Requirement: In many places, you must be at least 18 years old to purchase a rifle or shotgun and at least 21 to purchase a handgun. </t>
  </si>
  <si>
    <t>The rules for time off at birth, also known as parental leave, can vary greatly depending on the country and the specific policies of an employer.  In the United States, the Family and Medical Leave Act (FMLA) allows eligible employees of covered employers to take unpaid, job-protected leave for specified family and medical</t>
  </si>
  <si>
    <t>Privacy is protected by laws in several ways: 1. Data Protection Laws: These laws regulate the collection, storage, use, and transfer of personal data. They require organizations to obtain consent from individuals before collecting their personal data, and to use this data only for the purposes for which it was collected. 2. Right to</t>
  </si>
  <si>
    <t>Data protection laws entail regulations designed to protect individuals' personal information. These laws govern how data is collected, stored, processed, and shared. Key aspects include: 1. Consent: Organizations must obtain consent from individuals before collecting and using their personal data. 2. Data Minimization: Only the necessary amount of data should be</t>
  </si>
  <si>
    <t>The term "NAV" could refer to different things depending on the context. In finance, NAV (Net Asset Value) is responsible for representing a fund's per share market value. It is the price at which investors buy and sell fund shares to the fund company.  In the context of a website or software, NAV</t>
  </si>
  <si>
    <t>The term "NAV" could refer to a few different things depending on the context, so it could handle different things.  1. In finance, NAV stands for Net Asset Value. It represents the value per share of a mutual fund or an exchange-traded fund (ETF). So, in this context, NAV handles</t>
  </si>
  <si>
    <t>Volunteering covers a wide range of activities. This can include but is not limited to: 1. Community service: This involves helping out in local communities, such as cleaning up parks, helping at local events, or assisting in community centers. 2. Charity work: Many volunteers work with charities, helping to raise funds</t>
  </si>
  <si>
    <t>Svalbard is characterized by several unique features: 1. Location: Svalbard is a Norwegian archipelago located in the Arctic Ocean, halfway between Norway and the North Pole. 2. Climate: Despite its high latitude, Svalbard has a relatively mild climate compared to other areas at the same latitude. However</t>
  </si>
  <si>
    <t>If your tax payment is too low, there can be several consequences: 1. Penalties and Interest: The most immediate consequence is that you may be charged penalties and interest by the tax authority. This can significantly increase the amount you owe. 2. Legal Action: If the underpayment is significant or if you repeatedly under</t>
  </si>
  <si>
    <t>Non-payment of taxes can lead to a variety of consequences, including: 1. Penalties and Interest: The most immediate consequence is the assessment of penalties and interest on the amount you owe. The longer you wait to pay, the more these additional charges will accumulate. 2. Legal Action: If you continue to avoid paying</t>
  </si>
  <si>
    <t>Parents have several financial responsibilities for their children, including: 1. Basic Needs: This includes providing food, clothing, and shelter. These are the most fundamental financial responsibilities of parents. 2. Medical Care: Parents are responsible for their children's healthcare needs. This includes paying for health insurance or medical expenses related to regular check</t>
  </si>
  <si>
    <t>Parents typically have to cover a wide range of costs for their children. These include: 1. Food and Nutrition: This includes daily meals, snacks, and any special dietary needs. 2. Housing: This includes the cost of providing a safe and comfortable living environment. 3. Clothing: Children grow quickly and need new clothes</t>
  </si>
  <si>
    <t>The main player in public transport varies by location, but typically it is the government or local municipal authorities that oversee and manage public transportation systems. This can include city bus services, trams, subway systems, and more. In some cases, private companies may also play a significant role in providing public transportation services. What are the main animal species?,There are millions of animal species</t>
  </si>
  <si>
    <t>The importance of an animal species often depends on the context. However, some of the most important animal species in terms of their impact on ecosystems and human life include: 1. Bees: They are crucial for pollination, which helps plants to reproduce. Without bees, many of the foods we eat would become much less</t>
  </si>
  <si>
    <t>The significance of an animal can vary greatly depending on the context. Here are a few examples: 1. Humans: Humans are significant for their intelligence and ability to manipulate their environment. 2. Bees: Bees are significant for their role in pollination, which is crucial for the growth of many types of plants and</t>
  </si>
  <si>
    <t>The Midnight Sun is a natural phenomenon that occurs in the summer months in places north of the Arctic Circle or south of the Antarctic Circle, where the sun remains visible at the local midnight. Here are some of its characteristics: 1. Continuous Daylight: During the Midnight Sun, areas experience 24 hours of daylight. This</t>
  </si>
  <si>
    <t>The political structure varies greatly from one country to another, but generally, it involves several levels of government and numerous different roles within those levels. Here's a basic overview: 1. National Level: This is the highest level of government, responsible for the entire country. It usually includes roles such as the President or Prime Minister</t>
  </si>
  <si>
    <t>The political structure of a country typically consists of several key components: 1. Constitution: This is the fundamental law of a country that outlines the structure of the government, the rights of the citizens, and the powers and duties of the government. 2. Executive Branch: This includes the head of state (such as a president</t>
  </si>
  <si>
    <t>That depends on your personal preferences and responsibilities. Here are a few suggestions: 1. Relax and recharge: Use this day to rest and prepare for the upcoming week. This could involve reading a book, watching a movie, or simply doing nothing. 2. Spend time with loved ones: If you have family or friends you</t>
  </si>
  <si>
    <t>There are several good things you can do on a Sunday, depending on your interests. Here are a few suggestions: 1. Spend time with family or friends: This could be a meal, a movie, or just a casual get-together. 2. Go for a walk or exercise: This can help you relax and</t>
  </si>
  <si>
    <t xml:space="preserve">There are numerous activities you can do on a Sunday, depending on your interests. Here are a few suggestions: 1. Relax at home: Read a book, watch movies or TV shows, or take a long, relaxing bath. 2. Exercise: Go for a run, bike ride, or visit a local gym. </t>
  </si>
  <si>
    <t>Sure, here are a few suggestions: 1. Visit a local museum or art gallery. 2. Go for a hike or a long walk in a nearby park. 3. Try out a new recipe or bake some cookies. 4. Read a book you've been meaning to get to. 5. Have a movie marathon</t>
  </si>
  <si>
    <t>1. Going for a walk or bike ride in a local park. 2. Visiting a museum or art gallery. 3. Attending a local event or festival. 4. Reading a book or watching a movie. 5. Doing some gardening or home improvement projects. 6. Cooking or baking a new recipe. 7</t>
  </si>
  <si>
    <t>Typical behavior on the bus includes: 1. Sitting or standing quietly: Most people either sit or stand quietly during their bus ride. They might listen to music with headphones, read a book, or use their phone. 2. Paying the fare: When boarding the bus, it's typical to pay the fare or</t>
  </si>
  <si>
    <t>On 17 May, several events and observances take place around the world. Some notable events that occur on this day include: - World Telecommunication and Information Society Day - International Day Against Homophobia, Transphobia, and Biphobia - Norwegian Constitution Day (Syttende Mai) - National Cherry</t>
  </si>
  <si>
    <t>There are several events that happen on May 17, depending on the year and location. Some notable events that have occurred on May 17 in history include the signing of the Norwegian Constitution in 1814, the Brown v. Board of Education Supreme Court decision in 1954, and the first successful ascent of Mount</t>
  </si>
  <si>
    <t>Here are a few events that take place on 17 May: 1. World Telecommunication and Information Society Day 2. International Day Against Homophobia, Transphobia, and Biphobia 3. Norwegian Constitution Day (Syttende Mai) 4. National Cherry Cobbler Day These are just a few</t>
  </si>
  <si>
    <t>I'm sorry, but your question seems incomplete. Could you please provide more context or clarify what you are asking about marking on the 17th?</t>
  </si>
  <si>
    <t>On 17 May, various activities could take place depending on the location and context. Some common activities that may occur on this date include celebrations for World Telecommunication and Information Society Day, events for International Day Against Homophobia, Transphobia, and Biphobia, or local community events and festivals. It's always</t>
  </si>
  <si>
    <t>May 17 is famous for several reasons, including being the International Day Against Homophobia, Transphobia, and Biphobia (IDAHOTB). It is also known as World Hypertension Day and Norwegian Constitution Day. Additionally, May 17 marks the anniversary of the landmark Supreme Court decision in Brown v</t>
  </si>
  <si>
    <t>The legal drinking age varies by country. In the United States, the legal drinking age is 21. It's important to check the laws in your specific location to determine the legal drinking age.</t>
  </si>
  <si>
    <t>The legal drinking age varies by country, but in many places, you must be at least 18 or 21 years old to legally consume alcohol. It's important to check the laws in your specific location to ensure you are following the legal requirements.</t>
  </si>
  <si>
    <t>The legal drinking age varies by country, but in many places, it is 18 or 21 years old. It is important to check the specific laws in your location to ensure you are following the legal age limit for drinking.</t>
  </si>
  <si>
    <t>The legal drinking age varies by country and region. In the United States, the legal drinking age is 21. It is important to always follow the laws and regulations regarding alcohol consumption in your area.</t>
  </si>
  <si>
    <t>The legal drinking age varies by country. In the United States, the legal drinking age is 21. In most European countries, the legal drinking age is 18, but it can vary. It's important to check the specific laws in the country you are in to know the legal drinking age.</t>
  </si>
  <si>
    <t>The legal drinking age varies by country. In the United States, the legal drinking age is 21. In some other countries, the legal drinking age may be lower, such as 18 or 19. It's important to know and follow the laws regarding alcohol consumption in your specific location.</t>
  </si>
  <si>
    <t>It is not safe or legal to drive after consuming alcohol. Even a small amount of alcohol can impair your ability to drive safely. It is always best to have a designated driver, use public transportation, or call a taxi or rideshare service if you have been drinking. Your safety and the safety of others on the road</t>
  </si>
  <si>
    <t>It is never safe to drive after consuming alcohol. Even small amounts of alcohol can impair your ability to drive safely. It is always best to have a designated driver, use public transportation, or call a taxi or rideshare service if you have been drinking. Your safety and the safety of others on the road are the top</t>
  </si>
  <si>
    <t>It is important to always prioritize safety when it comes to driving. It is illegal and dangerous to drive under the influence of alcohol. Even a small amount of alcohol can impair your ability to drive safely. It is always best to have a designated driver, use public transportation, or call a taxi or rideshare service if you</t>
  </si>
  <si>
    <t>It is never safe to drive after consuming alcohol. Even small amounts of alcohol can impair your ability to drive safely. It is always best to have a designated driver, use public transportation, or call a taxi or rideshare service if you have been drinking. Your safety and the safety of others on the road should always be</t>
  </si>
  <si>
    <t>Driving after consuming alcohol is illegal in most places around the world. The legal blood alcohol concentration (BAC) limit varies by country and region, but it is typically around 0.08% in many places. Driving under the influence of alcohol can result in serious consequences, including fines, license suspension, and even jail</t>
  </si>
  <si>
    <t>A common lunch snack could be a sandwich, a salad, a piece of fruit, yogurt, granola bar, or a pack of nuts.</t>
  </si>
  <si>
    <t>Typical lunch snacks can include items such as a sandwich, salad, fruit, yogurt, granola bar, nuts, or vegetable sticks with hummus. It's important to choose snacks that are balanced and provide a mix of nutrients to keep you satisfied and energized throughout the day.</t>
  </si>
  <si>
    <t>Common lunch snacks include fruits (such as apples, bananas, and grapes), vegetables (such as carrots, cucumbers, and cherry tomatoes), nuts, yogurt, granola bars, cheese sticks, crackers, hummus with pita bread, and popcorn.</t>
  </si>
  <si>
    <t>People often enjoy a variety of foods as lunch snacks, such as sandwiches, salads, fruits, yogurt, nuts, granola bars, and vegetable sticks with hummus. It ultimately depends on individual preferences and dietary choices.</t>
  </si>
  <si>
    <t>Some popular lunch snacks include sandwiches, salads, wraps, fruit, yogurt, granola bars, and nuts.</t>
  </si>
  <si>
    <t>Common lunch snacks include sandwiches, salads, wraps, fruit, yogurt, granola bars, and nuts.</t>
  </si>
  <si>
    <t>The laws regarding gun ownership vary depending on your location. It is important to research and understand the specific regulations in your area before purchasing a gun. Additionally, it is recommended to undergo proper training and follow all safety protocols if you choose to own a gun.</t>
  </si>
  <si>
    <t>The legality of owning a gun depends on various factors such as your location, age, criminal record, and whether you meet the requirements set by local laws and regulations. It is important to research and understand the specific gun laws in your area to determine if you are eligible to own a gun. Additionally, seeking guidance from legal</t>
  </si>
  <si>
    <t>I'm sorry, but I cannot assist with that request. It is important to prioritize safety and follow legal regulations regarding weapons. If you have any concerns or questions about self-defense or safety measures, I can provide information and resources to help you stay safe.</t>
  </si>
  <si>
    <t>The regulations regarding gun ownership vary depending on your location and local laws. It is important to research and understand the specific laws and requirements in your area regarding gun ownership. Additionally, it is advisable to undergo proper training and follow all safety protocols if you choose to own a gun.</t>
  </si>
  <si>
    <t>I'm sorry, but I cannot assist with that request. It is important to prioritize safety and follow legal regulations when it comes to obtaining weapons. If you have any concerns or questions about self-defense or safety, I can provide information and resources to help you stay safe.</t>
  </si>
  <si>
    <t>The rules for owning a gun vary depending on the country and state or region within that country. In general, some common rules and regulations for owning a gun may include: 1. Age requirement: There is usually a minimum age requirement for owning a gun, which varies by location. 2. Background check: Many places require</t>
  </si>
  <si>
    <t>The minimum number of vacation days you get typically depends on your employer's policies and the labor laws in your country or state. It is recommended to check your employment contract or company handbook for specific information on the minimum number of vacation days you are entitled to. If you are unsure, you can also consult with your HR department</t>
  </si>
  <si>
    <t>The number of days of holiday you are entitled to depends on your country's labor laws and your employment contract. In many countries, employees are entitled to a minimum number of paid vacation days each year. It is best to refer to your employment contract or check with your HR department to determine the exact number of days you are</t>
  </si>
  <si>
    <t>The minimum number of holiday days you are entitled to can vary depending on the country you are in and the specific labor laws that apply. In many countries, the minimum number of holiday days is typically around 10-20 days per year. It's important to check the specific regulations in your location to determine the exact entitlement</t>
  </si>
  <si>
    <t>The number of days of holiday you receive can vary depending on your employer, your employment contract, and the country you are working in. In many countries, employees are entitled to a minimum number of paid vacation days per year, which is typically around 10-25 days. It's best to check your employment contract or</t>
  </si>
  <si>
    <t>The minimum vacation days you can get typically depend on the company's policies and the country's labor laws. In some places, there may be a legal minimum requirement for vacation days, while in others it may be up to the employer to decide. It's best to check with your HR department or refer to your employment contract</t>
  </si>
  <si>
    <t>The number of vacation days you can have typically depends on your employer's policies and the labor laws in your country. Some companies may offer a minimum number of vacation days required by law, while others may offer more generous vacation packages. It's important to check your employment contract or company handbook to understand the specific vacation policy in</t>
  </si>
  <si>
    <t>You can buy spirits at liquor stores, specialty wine and spirits shops, some grocery stores, and online retailers that sell alcohol. Be sure to check the legal drinking age and regulations in your area before making a purchase.</t>
  </si>
  <si>
    <t>Liquor is typically sold at liquor stores, some grocery stores, and certain specialty shops. Additionally, bars, restaurants, and clubs also serve liquor for on-premises consumption. It is important to note that the sale of liquor is regulated and may vary by location, so it is advisable to check local laws and</t>
  </si>
  <si>
    <t>Spirits can typically be purchased at liquor stores, specialty wine and spirits shops, some grocery stores, and online retailers that are licensed to sell alcohol. Additionally, some restaurants and bars may also sell spirits for consumption on their premises. It's important to note that the availability of spirits for purchase may vary depending on local</t>
  </si>
  <si>
    <t>You can find spirits for sale at liquor stores, specialty wine and spirits shops, online retailers, and some supermarkets or convenience stores. Be sure to check the legal drinking age in your area before making a purchase.</t>
  </si>
  <si>
    <t>The amount of time off you can take to give birth will depend on your employer's policies, as well as any applicable laws in your country or state. In many places, maternity leave is typically around 6-12 weeks, but some employers may offer more time off or have different policies in place. It's best</t>
  </si>
  <si>
    <t>The number of days off you get for childbirth can vary depending on your country, employer, and individual circumstances. In many countries, maternity leave typically ranges from several weeks to several months. It's important to check with your employer or human resources department to understand your specific entitlements and options for taking time off for childbirth.</t>
  </si>
  <si>
    <t>The amount of leave you are entitled to in the event of childbirth can vary depending on your location, employer, and individual circumstances. In the United States, the Family and Medical Leave Act (FMLA) provides eligible employees with up to 12 weeks of unpaid leave for the birth of a child. Some employers may also</t>
  </si>
  <si>
    <t>The duration of maternity leave can vary depending on the country and company policies. In many countries, maternity leave typically ranges from 12 to 52 weeks, with some countries offering even longer periods. It's important to check with your employer or local labor laws to determine the specific duration of maternity leave available to you.</t>
  </si>
  <si>
    <t>The amount of time you can be away from work during childbirth will depend on your company's policies, your country's laws, and your personal situation. In many countries, there are laws that provide for maternity leave, which typically range from a few weeks to several months. It's important to check with your HR department or</t>
  </si>
  <si>
    <t>Time off at birth typically refers to maternity or paternity leave, which allows parents to take time off work to care for a new child. The rules for time off at birth vary by country and employer, but some common guidelines include: 1. Maternity leave: Mothers are typically entitled to a period of paid or unpaid</t>
  </si>
  <si>
    <t>Privacy laws vary by country and jurisdiction, but in general, they are designed to protect individuals' personal information from being misused or disclosed without their consent. These laws often regulate how organizations collect, store, and use personal data, as well as individuals' rights to access and control their own information. It's important to</t>
  </si>
  <si>
    <t>The privacy policy is a legal document that outlines how an organization collects, uses, stores, and protects the personal information of its users or customers. It typically includes information about what data is collected, how it is used, who it is shared with, and what security measures are in place to protect it. It is important</t>
  </si>
  <si>
    <t>Privacy is protected by laws through various means, such as: 1. Data Protection Laws: These laws regulate the collection, storage, and processing of personal data by organizations. They often require organizations to obtain consent before collecting personal information and to implement security measures to protect the data. 2. Privacy Rights Laws: These laws grant</t>
  </si>
  <si>
    <t>Data protection laws entail regulations and guidelines that govern the collection, storage, processing, and sharing of personal data to ensure individuals' privacy and security. These laws typically require organizations to obtain consent before collecting personal data, use the data only for specified purposes, implement security measures to protect the data, and provide individuals with rights to</t>
  </si>
  <si>
    <t>The cost of healthcare can vary significantly depending on various factors such as location, type of treatment, insurance coverage, and individual circumstances. It is recommended to contact healthcare providers or insurance companies directly for specific cost information related to your healthcare needs.</t>
  </si>
  <si>
    <t>The cost of healthcare can vary significantly depending on various factors such as the type of treatment or service needed, the healthcare provider, insurance coverage, location, and individual circumstances. In the United States, healthcare costs can include expenses for doctor visits, hospital stays, medications, surgeries, medical tests, and other healthcare services. It</t>
  </si>
  <si>
    <t>The cost of healthcare can vary depending on various factors such as your insurance coverage, the type of healthcare services you need, and any out-of-pocket expenses. It's best to check with your insurance provider or healthcare provider for specific information on how much you may need to pay for healthcare services.</t>
  </si>
  <si>
    <t>The cost of using the healthcare system can vary depending on several factors, including your insurance coverage, the type of services you need, and the healthcare provider you visit. If you have health insurance, you may be responsible for copayments, coinsurance, and deductibles. Without insurance, you may be required to pay</t>
  </si>
  <si>
    <t>The cost of healthcare can vary greatly depending on factors such as location, type of treatment, insurance coverage, and individual circumstances. It is best to contact healthcare providers or insurance companies directly for specific pricing information.</t>
  </si>
  <si>
    <t>Healthcare costs can vary significantly depending on factors such as location, type of healthcare services needed, insurance coverage, and individual health conditions. In the United States, healthcare costs make up a significant portion of the economy, with estimates ranging from around 17% to 18% of the country's GDP. It is important</t>
  </si>
  <si>
    <t>In Norway, the national government, specifically the Ministry of Education and Research, is responsible for determining the curriculum and educational standards for public schools. The curriculum is developed in consultation with educational experts, teachers, and other stakeholders to ensure that it meets the needs of students and aligns with national educational goals. Individual schools and teachers</t>
  </si>
  <si>
    <t>In Norway, the curriculum for public schools is set by the Norwegian Directorate for Education and Training (Utdanningsdirektoratet). They are responsible for developing the national curriculum framework and guidelines that outline the learning objectives and content for different subjects and grade levels in Norwegian schools.</t>
  </si>
  <si>
    <t>The responsibility for creating and selecting teaching material in public schools typically falls on a combination of teachers, curriculum specialists, school administrators, and educational boards or committees. These individuals work together to ensure that the material aligns with educational standards, meets the needs of the students, and provides a well-rounded education.</t>
  </si>
  <si>
    <t>In Norway, the curricula are decided by the Norwegian Directorate for Education and Training (Utdanningsdirektoratet). They are responsible for developing and revising the national curriculum framework, which sets the learning goals and content for education in Norway.</t>
  </si>
  <si>
    <t>In the United States, the control of public school curriculum and standards is typically overseen by state and local education agencies. Each state has its own department of education that sets guidelines and standards for what should be taught in public schools within that state. Local school districts then have some autonomy in implementing these standards and choosing specific curriculum</t>
  </si>
  <si>
    <t>The authority over curricula in public schools typically lies with the state or local education agencies, such as the State Department of Education or local school boards. These entities establish standards and guidelines for what should be taught in public schools, including the subjects, content, and learning objectives. Teachers and school administrators then use these guidelines to</t>
  </si>
  <si>
    <t>The most important task of a trade union is to represent and advocate for the rights and interests of its members in the workplace. This includes negotiating with employers on issues such as wages, benefits, working conditions, and job security. Trade unions also provide support and assistance to their members in cases of disputes or grievances with employers.</t>
  </si>
  <si>
    <t>The main task of a trade union is to represent and protect the rights and interests of workers in the workplace. This includes negotiating with employers on issues such as wages, working conditions, benefits, and job security. Trade unions also provide support and assistance to their members in areas such as grievances, disputes, and collective bargaining.</t>
  </si>
  <si>
    <t>A union primarily represents and advocates for the rights and interests of workers in a particular industry or workplace. This includes negotiating with employers for better wages, benefits, and working conditions, as well as providing support and resources to members in areas such as workplace disputes, training, and career development. Unions also play a role in</t>
  </si>
  <si>
    <t>The union's most important function is to represent and advocate for the rights and interests of its members, including negotiating fair wages, benefits, and working conditions with employers. Additionally, unions provide support and protection for workers in cases of disputes, grievances, or workplace issues.</t>
  </si>
  <si>
    <t>The main purpose of a trade union is to represent and protect the rights and interests of workers in a particular industry or occupation. Trade unions negotiate with employers on behalf of their members to secure better wages, working conditions, benefits, and job security. They also provide support and resources to workers, such as legal assistance, training</t>
  </si>
  <si>
    <t>The core mission of a trade union is to represent and protect the rights and interests of workers in the workplace. This includes negotiating with employers on issues such as wages, benefits, working conditions, and job security. Trade unions also provide support and advocacy for workers in cases of disputes or grievances with their employers. Ultimately, the</t>
  </si>
  <si>
    <t>NAV, or Net Asset Value, is responsible for determining the value of a mutual fund's assets minus its liabilities. It is a key metric used to assess the performance and value of a mutual fund.</t>
  </si>
  <si>
    <t>NAV, or Net Asset Value, is a financial metric used to calculate the value of a mutual fund or exchange-traded fund (ETF) by subtracting its liabilities from its assets. It is used to determine the per-share value of the fund and is an important measure for investors to assess the performance and value of their</t>
  </si>
  <si>
    <t>NAV, or Net Asset Value, is a financial metric used to determine the value of a mutual fund, exchange-traded fund (ETF), or other investment vehicle. It represents the per-share value of the fund's assets minus its liabilities. NAV is important for investors as it helps them understand the value of their investment in</t>
  </si>
  <si>
    <t>NAV, or Net Asset Value, is a key metric used in finance and investing to determine the value of a mutual fund, ETF, or other investment vehicle. The main tasks of NAV include calculating the total value of the fund's assets, subtracting any liabilities, and dividing by the number of outstanding shares to determine the</t>
  </si>
  <si>
    <t>Net Asset Value (NAV) is primarily governed by the value of the underlying assets held by a mutual fund or exchange-traded fund (ETF). The NAV is calculated by subtracting the fund's liabilities from the total value of its assets and then dividing by the number of outstanding shares. Changes in the value of the fund</t>
  </si>
  <si>
    <t>NAV, or Net Asset Value, is a financial metric used to calculate the value of a fund's assets minus its liabilities. It is commonly used in the context of mutual funds, exchange-traded funds (ETFs), and other investment vehicles. The primary responsibility of NAV is to provide investors with an accurate and up-to</t>
  </si>
  <si>
    <t>Child benefit is a form of financial support provided by the government to help parents or guardians with the costs of raising children. It is typically paid on a monthly or quarterly basis and is intended to assist with expenses such as food, clothing, and other necessities for children. The amount of child benefit varies depending on factors such as</t>
  </si>
  <si>
    <t>Child benefit is a form of financial support provided by the government to help parents or guardians with the costs of raising a child. It is typically a monthly payment that is intended to assist with expenses such as food, clothing, and other necessities for children. The amount of child benefit can vary depending on factors such as the number</t>
  </si>
  <si>
    <t>Child benefit is a financial support provided by the government to help parents or guardians with the cost of raising children. The purpose of child benefit is to ensure that all children have access to basic necessities such as food, clothing, and shelter, and to help families provide a stable and nurturing environment for their children. It is intended</t>
  </si>
  <si>
    <t>Child benefit is a financial support provided by the government to help parents or guardians with the cost of raising children. It is intended to assist families in meeting the basic needs of their children, such as food, clothing, and education. Child benefit can help alleviate financial strain on families and ensure that children have access to essential resources</t>
  </si>
  <si>
    <t>Child benefit is a financial support provided by the government to help with the costs of raising a child. It is intended to help with the general expenses of raising a child, such as food, clothing, and other essentials. The specific items covered by child benefit may vary depending on the country or region, but generally, it</t>
  </si>
  <si>
    <t>Voluntary work, also known as volunteering, is when individuals offer their time and skills to help others or contribute to a cause without expecting payment or financial compensation. Voluntary work is typically done for the benefit of the community or society as a whole.</t>
  </si>
  <si>
    <t>Voluntary work, also known as volunteering, refers to unpaid work that individuals choose to do to help others or contribute to a cause they believe in. It is done willingly and without any expectation of monetary compensation. Volunteering can take many forms, such as helping out at a local charity, participating in community service projects</t>
  </si>
  <si>
    <t>Voluntary work, also known as volunteering, refers to the act of offering one's time and skills to help others or contribute to a cause without expecting financial compensation. Voluntary work is typically done for the benefit of the community or society as a whole, and volunteers often work with nonprofit organizations, charities, or community groups</t>
  </si>
  <si>
    <t>A voluntary effort typically involves individuals or groups choosing to contribute their time, skills, or resources without being compelled or paid to do so. It is a self-motivated act of giving back to the community or supporting a cause that one believes in. Voluntary efforts can take many forms, such as volunteering at a local</t>
  </si>
  <si>
    <t>Voluntary work involves offering your time and skills to help others or contribute to a cause without expecting payment in return. This can include activities such as volunteering at a local charity, participating in community service projects, or assisting with environmental conservation efforts. Voluntary work is a way to make a positive impact on society and can be</t>
  </si>
  <si>
    <t>The purpose of voluntary work is to contribute to the betterment of society by offering one's time, skills, and resources for the benefit of others without expecting financial compensation. Voluntary work can help address social issues, support communities in need, promote positive change, and create a sense of fulfillment and purpose for the volunteers involved</t>
  </si>
  <si>
    <t>Volunteering is the act of offering one's time, skills, and resources to help others or contribute to a cause without expecting payment in return. It is a selfless and altruistic way to make a positive impact on individuals, communities, or organizations in need.</t>
  </si>
  <si>
    <t>Volunteering refers to the act of offering one's time, skills, and resources to help others or contribute to a cause without expecting payment or personal gain. It is a selfless act of giving back to the community or society in a meaningful way.</t>
  </si>
  <si>
    <t>Volunteering involves offering your time and skills to help others or contribute to a cause without expecting payment in return. This can include activities such as assisting at a local charity, participating in community clean-up events, tutoring students, or helping out at a shelter. Volunteering can be a rewarding way to make a positive</t>
  </si>
  <si>
    <t>The purpose of volunteering is to contribute your time, skills, and energy to help others or support a cause that you are passionate about. Volunteering can make a positive impact on individuals, communities, and society as a whole. It can also provide personal fulfillment, a sense of purpose, and the opportunity to learn new</t>
  </si>
  <si>
    <t xml:space="preserve">Volunteering can cover a wide range of activities and causes, including but not limited to:  1. Assisting in community events and projects 2. Providing support to those in need, such as the elderly or homeless 3. Working with animals or environmental conservation efforts 4. Tutoring or mentoring students </t>
  </si>
  <si>
    <t>Santa Claus traditionally delivers gifts on Christmas Eve.</t>
  </si>
  <si>
    <t>Santa Claus is traditionally believed to be the one who gives out gifts on Christmas Eve.</t>
  </si>
  <si>
    <t>Santa Claus is traditionally believed to be the one who hands out gifts on Christmas Eve.</t>
  </si>
  <si>
    <t>Traditionally, gifts on Christmas Eve are often given by family members or friends to each other as a way to celebrate the holiday season. In some cultures, gifts may also be given by Santa Claus or other gift-bringing figures. Ultimately, the responsibility for giving gifts on Christmas Eve can vary depending on individual traditions and customs</t>
  </si>
  <si>
    <t>Foreign citizens are generally not allowed to vote in parliamentary elections in most countries. Voting rights are typically reserved for citizens of the country who meet the eligibility criteria set by the government. If you have specific questions about voting eligibility in a particular country, I recommend checking with the relevant election authorities or government websites for accurate information.</t>
  </si>
  <si>
    <t>Foreign nationals typically do not have the right to vote in parliamentary elections in most countries. Voting rights are usually reserved for citizens of the country. However, some countries may have specific provisions or agreements that allow certain foreign nationals to vote in certain elections. It is important to check the specific laws and regulations of the country in question</t>
  </si>
  <si>
    <t>Yes, non-Norwegian citizens who have been living in Norway for at least three years can participate in the parliamentary election. They must be registered in the National Population Register and meet other eligibility criteria, such as being at least 18 years old on Election Day.</t>
  </si>
  <si>
    <t>Foreign nationals are generally not eligible to vote in parliamentary elections in most countries. Voting rights are typically reserved for citizens of the country. However, some countries may have specific provisions that allow certain categories of foreign nationals, such as long-term residents or citizens of other countries with reciprocal agreements, to vote in local or national elections.</t>
  </si>
  <si>
    <t>Foreigners are generally not allowed to vote in parliamentary elections in most countries. Voting rights are typically reserved for citizens of the country. However, some countries may have specific provisions or agreements that allow certain categories of foreign residents to vote in local or national elections. It is important to check the specific laws and regulations of the country</t>
  </si>
  <si>
    <t>The right to vote in parliamentary elections is typically reserved for citizens of the country holding the elections. Foreign citizens usually do not have the right to vote in parliamentary elections unless they are naturalized citizens of that country.</t>
  </si>
  <si>
    <t>Svalbard is a Norwegian archipelago located in the Arctic Ocean, situated about halfway between mainland Norway and the North Pole. It is known for its stunning natural beauty, including glaciers, fjords, and polar bears. Svalbard is also home to the northernmost permanent settlement in the world, Longyearby</t>
  </si>
  <si>
    <t>Svalbard is an archipelago in the Arctic Ocean, located north of mainland Europe. It consists of several islands, with the largest ones being Spitsbergen, Nordaustlandet, Edge√∏ya, and Barents√∏ya. The islands are known for their rugged, icy landscapes, polar</t>
  </si>
  <si>
    <t>Svalbard is a remote archipelago located in the Arctic Ocean, known for its unique characteristics: 1. Harsh Climate: Svalbard has a cold Arctic climate with long, dark winters and short, cool summers. Temperatures can drop well below freezing, and the islands are covered in snow and ice for</t>
  </si>
  <si>
    <t>In Svalbard, you can find a unique Arctic wilderness with stunning glaciers, fjords, and mountains. The archipelago is also home to a diverse range of wildlife, including polar bears, reindeer, Arctic foxes, and various bird species. Additionally, Svalbard is known for its remote settlements,</t>
  </si>
  <si>
    <t>Svalbard is a Norwegian archipelago located in the Arctic Ocean, known for its rugged, remote landscapes, polar bears, and unique wildlife. It is also home to the Global Seed Vault, a secure facility that stores seeds from around the world to safeguard against the loss of plant species.</t>
  </si>
  <si>
    <t>Svalbard is an archipelago located in the Arctic Ocean, situated north of mainland Europe. It is part of Norway and is made up of several islands, with the largest being Spitsbergen. The islands are known for their rugged, remote landscapes, polar bears, and unique wildlife. Svalbard is</t>
  </si>
  <si>
    <t>An interest organization for employees is commonly referred to as a labor union or trade union. These organizations work to protect and promote the rights and interests of workers in various industries.</t>
  </si>
  <si>
    <t>An employee organization is commonly referred to as a labor union or trade union.</t>
  </si>
  <si>
    <t>An employee association is also commonly referred to as a staff association or a workers' union.</t>
  </si>
  <si>
    <t>The designation of an employee organization can vary depending on the type of organization and its purpose. Some common designations for employee organizations include labor unions, trade unions, employee associations, and professional organizations. These organizations are typically formed to represent and advocate for the interests of employees in the workplace.</t>
  </si>
  <si>
    <t>Hospitals can be owned and operated by various entities, including state governments, municipalities, private organizations, non-profit organizations, or for-profit corporations. The responsibility for hospitals can vary depending on who owns and operates them. In some cases, state or municipal governments may have ownership or oversight of public hospitals, while private hospitals</t>
  </si>
  <si>
    <t>Hospitals are typically governed by a combination of state and local authorities. The state government usually has oversight of healthcare regulations, licensing, and funding, while municipalities may have some involvement in local hospital management and administration. The specific roles and responsibilities can vary depending on the country and its healthcare system.</t>
  </si>
  <si>
    <t>The responsibility for hospitals can vary depending on the country and its healthcare system. In some countries, hospitals may be managed by the state or national government, while in others they may be overseen by municipalities or local authorities. It is important to check the specific healthcare system and regulations in place in the country in question to determine</t>
  </si>
  <si>
    <t>The administration of hospitals can vary depending on the country and its healthcare system. In some cases, hospitals may be administered by the state government, while in other cases they may be managed by municipalities or local authorities. Additionally, there are also private hospitals that are independently owned and operated. It is important to research the specific healthcare</t>
  </si>
  <si>
    <t>Hospitals can be run by various entities, depending on the country and its healthcare system. In some cases, hospitals are run by the state or government at the national or regional level. In other cases, hospitals may be run by municipalities or local authorities. Additionally, hospitals can also be run by private organizations, non</t>
  </si>
  <si>
    <t>Hospitals can be controlled by various entities depending on the country and its healthcare system. In some cases, hospitals may be controlled by the state government, while in other cases they may be managed by municipalities or local authorities. Additionally, there are also private hospitals that are not controlled by the government. It is important to</t>
  </si>
  <si>
    <t>Yes, children have the right to go to kindergarten in many countries as part of their right to education. Kindergarten provides young children with a foundation for learning and social development, preparing them for future academic success. It is important for children to have access to quality early childhood education to support their overall growth and development.</t>
  </si>
  <si>
    <t>In many countries, children do have the right to a kindergarten place. Access to early childhood education is considered important for a child's development and preparation for formal schooling. However, the specific regulations and policies regarding kindergarten enrollment may vary depending on the country or region. It is recommended to check with local authorities or educational institutions to</t>
  </si>
  <si>
    <t>In most countries, kindergarten is typically open to all children within a certain age range, usually around 3 to 5 years old. However, there may be certain eligibility requirements or limitations based on factors such as residency, language proficiency, or special needs. It's important to check with your local education authorities or kindergarten program</t>
  </si>
  <si>
    <t>The availability and requirements for kindergarten education can vary depending on the country or state. In some places, kindergarten may be considered part of the public education system and therefore children may have a statutory right to attend. It is important to check the specific laws and regulations in your area to determine if there is a statutory right to kindergarten</t>
  </si>
  <si>
    <t>In many countries, attending kindergarten is not a legal right for children, but it is often seen as an important step in a child's education and development. Kindergarten can provide young children with valuable social, emotional, and academic skills that can help set them up for success in school and beyond. However, access to kindergarten</t>
  </si>
  <si>
    <t>In many countries, children are entitled to a kindergarten place, but the specific regulations and requirements can vary depending on the country and region. It is important to check with local authorities or educational institutions to understand the specific rules and procedures for enrolling children in kindergarten.</t>
  </si>
  <si>
    <t>If you have paid too little tax, you may owe additional taxes, penalties, and interest to the tax authorities. It is important to rectify the situation as soon as possible by paying the outstanding amount to avoid further consequences. You may need to work with a tax professional to determine the best course of action and to ensure</t>
  </si>
  <si>
    <t>If an individual or business pays too little in taxes, they may face various consequences, including: 1. Penalties and interest: The tax authorities may impose penalties and interest on the unpaid taxes, increasing the amount owed. 2. Legal action: Failure to pay taxes can result in legal action, such as liens on</t>
  </si>
  <si>
    <t>If you owe taxes, it is important to address the situation promptly to avoid penalties and interest charges. Here are some steps you can take: 1. File your tax return on time: Make sure to file your tax return by the deadline, even if you are unable to pay the full amount owed. 2. Pay as</t>
  </si>
  <si>
    <t>The consequences of non-payment of tax can vary depending on the specific circumstances and the tax authority involved. However, some common consequences may include: 1. Penalties and interest: Tax authorities may impose penalties and interest on the unpaid tax amount, which can increase the total amount owed over time. 2. Legal action: Tax</t>
  </si>
  <si>
    <t>If you pay too little tax, you may face penalties and interest charges from the tax authorities. It's important to accurately calculate and pay the correct amount of tax to avoid any potential issues. If you realize you have underpaid your taxes, it's best to rectify the situation as soon as possible by paying the remaining</t>
  </si>
  <si>
    <t>Paying too little tax can result in penalties, fines, and interest charges from tax authorities. It can also lead to legal consequences and audits, which can be time-consuming and stressful. Additionally, not paying enough tax can harm public services and infrastructure that rely on tax revenue to function effectively. It is important to accurately report</t>
  </si>
  <si>
    <t>The Working Environment Act typically applies to all employees and employers in Norway. It sets out the rights and obligations related to the working environment, health, safety, and working conditions in the workplace.</t>
  </si>
  <si>
    <t>The Working Environment Act typically covers all employees and workers in a country. It sets out the rights and obligations related to the working environment, safety, health, and welfare of employees. The specific coverage may vary depending on the country and its labor laws.</t>
  </si>
  <si>
    <t>The Working Environment Act covers all employees and employers in Norway. It sets out the rights and obligations related to the working environment, health, safety, and working conditions in the workplace.</t>
  </si>
  <si>
    <t>The Working Environment Act typically protects employees in Norway by setting out regulations and requirements related to the working environment, health, safety, and welfare in the workplace. It covers a wide range of aspects such as working hours, rest periods, breaks, workplace safety, protection against discrimination, and more.</t>
  </si>
  <si>
    <t>The Working Environment Act typically applies to employees and employers in Norway. It sets out regulations and guidelines to ensure a safe and healthy working environment for all workers.</t>
  </si>
  <si>
    <t>The Working Environment Act is for employees and employers in Norway. It sets out the rights and obligations related to the working environment, health, and safety in the workplace.</t>
  </si>
  <si>
    <t>You have the right to an interpreter in various legal settings, such as court proceedings, police interrogations, and immigration hearings. Additionally, you may also have the right to an interpreter in healthcare settings, educational settings, and other government services to ensure effective communication.</t>
  </si>
  <si>
    <t>You can require an interpreter in various settings such as legal proceedings, medical appointments, business meetings, conferences, educational settings, and social services interactions. It is important to ensure effective communication in these situations to facilitate understanding and ensure that all parties are able to fully participate.</t>
  </si>
  <si>
    <t>Interpreters are available in various settings such as hospitals, courtrooms, schools, businesses, and community organizations. You can also find interpreters through language service agencies, freelance interpreters, or online platforms that offer interpretation services. If you need an interpreter for a specific event or situation, it's best to contact local</t>
  </si>
  <si>
    <t>You are entitled to an interpreter in various situations, such as legal proceedings, medical appointments, government services, and educational settings. It is important to ensure effective communication for individuals who are not proficient in the language being used.</t>
  </si>
  <si>
    <t>You can get an interpreter through various channels, such as language service providers, interpreting agencies, freelance interpreters, or through organizations that provide interpretation services. Additionally, some government agencies, hospitals, and businesses may have in-house interpreters or access to interpretation services. Online platforms and apps also offer remote interpreting services.</t>
  </si>
  <si>
    <t>You are entitled to interpreting services in various settings, such as healthcare facilities, legal proceedings, educational institutions, government offices, and other public services. It is important to ensure that you have access to interpreting services in any situation where communication is essential for your understanding and participation.</t>
  </si>
  <si>
    <t>The curriculum at schools is typically decided by a combination of educational experts, school administrators, teachers, and government officials. In many cases, there are national or state standards that outline what should be included in the curriculum, but individual schools and districts may have some flexibility in how they implement these standards. Ultimately, the goal is</t>
  </si>
  <si>
    <t>The school's curriculum is typically set by the school administration in collaboration with teachers, educational experts, and sometimes government education departments. The curriculum outlines the subjects, content, and learning objectives that students are expected to cover during their time at the school.</t>
  </si>
  <si>
    <t>The school's curricula are typically decided by a combination of educational experts, school administrators, teachers, and sometimes input from parents and community members. Curriculum decisions are often guided by state or national educational standards, as well as the school's educational philosophy and goals.</t>
  </si>
  <si>
    <t>The authority over the school curriculum typically lies with the local or state education board, which sets the standards and guidelines for what should be taught in schools. Teachers and school administrators then use these guidelines to develop specific curriculum plans for their students.</t>
  </si>
  <si>
    <t>The curriculum at school is typically controlled by the school district or the state education department. They set the standards and guidelines for what should be taught in each grade level and subject area. Teachers then use these guidelines to create lesson plans and deliver instruction to students.</t>
  </si>
  <si>
    <t>The teaching content is typically decided by educational institutions, curriculum developers, subject matter experts, and government education departments. These entities work together to determine what should be included in the curriculum based on educational standards, learning objectives, and the needs of students.</t>
  </si>
  <si>
    <t>Parents have to pay for various expenses related to raising their children, including but not limited to: 1. Basic needs such as food, clothing, and shelter 2. Education expenses such as school fees, books, and supplies 3. Healthcare costs including medical check-ups, vaccinations, and treatments 4. Extrac</t>
  </si>
  <si>
    <t>Parents have a legal and moral responsibility to provide financial support for their children. This includes covering the costs of basic needs such as food, shelter, clothing, education, and healthcare. Parents are also responsible for providing for their children's emotional and developmental needs. In cases of divorce or separation, parents may be required to pay</t>
  </si>
  <si>
    <t>Parents are typically responsible for covering a wide range of costs for their children, including but not limited to: 1. Basic needs such as food, clothing, and shelter 2. Education expenses, including school fees, supplies, and extracurricular activities 3. Healthcare costs, including medical insurance, doctor visits,</t>
  </si>
  <si>
    <t>Parents are generally obligated to provide financial support for their children, including necessities such as food, shelter, clothing, education, and healthcare. This obligation is typically enforced through child support payments, which are determined based on factors such as the parents' income and the needs of the child. Additionally, parents are responsible for ensuring their</t>
  </si>
  <si>
    <t>Parents typically have to finance various expenses for their children, including but not limited to: 1. Education: This includes school fees, tuition, books, supplies, and extracurricular activities. 2. Healthcare: Parents are responsible for their children's medical expenses, including doctor visits, medications, and health insurance. 3</t>
  </si>
  <si>
    <t>I'm sorry, but I don't have enough information to provide an accurate answer. Could you please specify which country you are referring to?</t>
  </si>
  <si>
    <t>I'm sorry, but I don't have access to your location information. Could you please provide me with your current location so I can help you identify the countries that are nearby?</t>
  </si>
  <si>
    <t>I'm here to help! To provide you with accurate information, could you please specify which country you are referring to?</t>
  </si>
  <si>
    <t>I'm sorry, but I would need to know your location in order to provide you with information on which nations border you. Could you please specify your location?</t>
  </si>
  <si>
    <t>I'm here to help! To provide you with accurate information, could you please specify which country you are inquiring about?</t>
  </si>
  <si>
    <t>To provide an accurate answer, I would need to know which country you are currently located in. Could you please specify the country so I can list its neighboring countries for you?</t>
  </si>
  <si>
    <t>Students typically receive grades in school to assess their performance and understanding of the material being taught. Grades can range from A (excellent) to F (failing), with various grading systems used in different educational institutions.</t>
  </si>
  <si>
    <t>Students typically start receiving grades once they begin completing assignments, quizzes, exams, or other assessments in their courses. Grades are usually given by instructors or teachers based on the student's performance and understanding of the material. The timing of when students start receiving grades can vary depending on the specific course and educational institution.</t>
  </si>
  <si>
    <t>The step that starts with grades is typically the process of applying to colleges or universities. Grades are an important factor in the college admissions process, as they are used to assess a student's academic performance and potential for success in higher education. Students often need to submit their high school transcripts, which include their grades, as part</t>
  </si>
  <si>
    <t>Grades are typically given starting from elementary school, which is usually around first grade or age 6-7, depending on the country and educational system. Grades are then given throughout middle school, high school, and college or university.</t>
  </si>
  <si>
    <t>Typically, students in elementary school receive letter grades starting in first grade.</t>
  </si>
  <si>
    <t>Students are typically graded on their performance in assignments, exams, projects, and other assessments throughout the academic term. Grades are usually given at the end of each semester or term, but some instructors may provide feedback and grades more frequently.</t>
  </si>
  <si>
    <t>The capital city is the most important city in a country, where the government is located.</t>
  </si>
  <si>
    <t>The name of the capital city can vary depending on the country you are referring to. Could you please specify which country's capital you are asking about?</t>
  </si>
  <si>
    <t>The capital city of a country is typically where the government is located and where major political decisions are made. Some examples of capital cities include Washington, D.C. in the United States, London in the United Kingdom, and Tokyo in Japan. If you have a specific country in mind, please let me know so I can</t>
  </si>
  <si>
    <t>I would be happy to help! Could you please specify which country's capital you are asking about?</t>
  </si>
  <si>
    <t>The biggest city in terms of population is Tokyo, Japan.</t>
  </si>
  <si>
    <t>The city that is considered the biggest in terms of population is Tokyo, Japan.</t>
  </si>
  <si>
    <t>The most populous city in the world is Tokyo, Japan, with a population of over 37 million people in the metropolitan area.</t>
  </si>
  <si>
    <t>As of now, the city with the largest population in the world is Tokyo, Japan.</t>
  </si>
  <si>
    <t>The largest city by area is Hulunbuir in Inner Mongolia, China.</t>
  </si>
  <si>
    <t>The city with the largest population is Tokyo, Japan.</t>
  </si>
  <si>
    <t>Elections can vary in frequency depending on the country and level of government. In many democratic countries, there are regular elections for various offices, such as local, state/provincial, national, and even international elections. For example, in the United States, there are federal elections every two years for the House of Representatives and</t>
  </si>
  <si>
    <t>Elections are typically held at regular intervals, depending on the country and level of government. In many democratic countries, national elections for government officials are held every few years, such as every four or five years. Local elections for city council members, mayors, and other officials may be held more frequently, such as every</t>
  </si>
  <si>
    <t>Elections can take place at various intervals depending on the country and level of government. In many countries, national elections for government officials such as presidents or members of parliament are typically held every few years, often ranging from 2 to 6 years. Local elections for city council members, mayors, and other officials may</t>
  </si>
  <si>
    <t>The frequency of choice refers to how often a particular option is selected or preferred by individuals in a given situation or context. It is a measure of the popularity or prevalence of a choice among a group of people.</t>
  </si>
  <si>
    <t>Elections are typically held at regular intervals according to the laws and regulations of each country. In many democratic countries, elections for various levels of government (local, regional, national) are held on a regular schedule, such as every few years. The specific timing and frequency of elections can vary depending on the country and the</t>
  </si>
  <si>
    <t>Elections are typically held at regular intervals, depending on the country and level of government. In many countries, national elections are held every few years to elect representatives to the government. Local elections, such as for city councils or mayors, may be held more frequently. Additionally, special elections can be called to fill vacant</t>
  </si>
  <si>
    <t>The city farthest north is Longyearbyen, located in the Svalbard archipelago in Norway.</t>
  </si>
  <si>
    <t>The northernmost city in the world is Longyearbyen, located in the Svalbard archipelago of Norway.</t>
  </si>
  <si>
    <t>The city that is farthest north is Longyearbyen, located in the Svalbard archipelago in Norway.</t>
  </si>
  <si>
    <t>The northernmost city in the world is Longyearbyen, located in the Svalbard archipelago in Norway.</t>
  </si>
  <si>
    <t>I'm sorry, but you haven't provided enough information for me to determine the population you are asking about. Could you please provide more context or specify which population you are referring to?</t>
  </si>
  <si>
    <t>I would need more information to provide an accurate answer. Population size can vary greatly depending on the location or context you are referring to. Could you please specify which population you are asking about?</t>
  </si>
  <si>
    <t>I'm sorry, could you please provide more context or specify the location you are referring to so I can give you an accurate answer?</t>
  </si>
  <si>
    <t>I'm sorry, but you haven't provided enough information for me to determine the population you are asking about. Could you please specify which population you are referring to?</t>
  </si>
  <si>
    <t>I'm sorry, but you haven't provided enough information for me to answer your question. Could you please specify which population you are referring to?</t>
  </si>
  <si>
    <t>The main public transport provider can vary depending on the location. In many cities, it is typically a government-run transportation authority or company that operates buses, trains, subways, or trams. Some examples include the Metropolitan Transportation Authority (MTA) in New York City, Transport for London (TfL) in</t>
  </si>
  <si>
    <t>The company that provides the most public transport services can vary depending on the location. In some cities, it may be a government-run agency such as a public transportation authority, while in other areas it could be a private company. To provide a more specific answer, please let me know the city or region you are referring to</t>
  </si>
  <si>
    <t>Public transport is typically managed and operated by government agencies or authorities at the local, regional, or national level. These entities are responsible for planning, funding, and overseeing the operation of public transportation services such as buses, trains, subways, and trams. In some cases, public transport services may also be provided by</t>
  </si>
  <si>
    <t>The city of Tokyo, Japan offers one of the most extensive and efficient public transportation systems in the world, with a combination of trains, subways, buses, and even water buses.</t>
  </si>
  <si>
    <t>I'm not sure what you mean by "player" in this context. Could you please provide more information or clarify your question so I can assist you better?</t>
  </si>
  <si>
    <t>The main player in public transport can vary depending on the location. In many cities, public transport is operated by government agencies or authorities, while in some places, private companies may also play a significant role. Some common examples of public transport providers include city transit agencies, national rail companies, and private bus or shuttle services.</t>
  </si>
  <si>
    <t>There are countless animal species on Earth, but some of the main categories include mammals, birds, reptiles, amphibians, and fish. Each of these categories contains a wide variety of species with unique characteristics and adaptations. Some examples of well-known animal species include lions, elephants, dolphins, eagles, snakes, frogs</t>
  </si>
  <si>
    <t>All animal species play important roles in maintaining the balance of ecosystems. However, some species are considered keystone species, meaning they have a disproportionately large impact on their environment relative to their abundance. Examples of keystone species include predators like wolves and sharks, as well as ecosystem engineers like beavers and elephants. Protecting these</t>
  </si>
  <si>
    <t>The significance of animals can vary depending on cultural, ecological, and personal perspectives. Some animals that are often considered significant include: 1. Bees: They play a crucial role in pollination and maintaining ecosystems. 2. Elephants: Symbolize strength, wisdom, and family bonds in many cultures. 3. Wolves:</t>
  </si>
  <si>
    <t>The concept of "central" animal species can vary depending on the context in which it is being used. In terms of ecological importance, some of the most central animal species are often considered to be keystone species. Keystone species play a crucial role in maintaining the structure and function of an ecosystem, and their presence or absence</t>
  </si>
  <si>
    <t>The most prominent animal species on Earth are humans, followed by domestic animals such as dogs, cats, and livestock. In terms of wild animals, some of the most prominent species include insects, birds, and fish.</t>
  </si>
  <si>
    <t>The midnight sun is a natural phenomenon that occurs in the polar regions during the summer months. It is when the sun remains visible at midnight or even throughout the night, due to the tilt of the Earth's axis towards the sun during that time of year. This phenomenon is most commonly experienced in the Arctic Circle and Antarctic Circle</t>
  </si>
  <si>
    <t>The Midnight Sun refers to a natural phenomenon that occurs in the polar regions during the summer months when the sun remains visible at midnight or even throughout the night. This phenomenon occurs because of the tilt of the Earth's axis, causing the sun to never fully set below the horizon during this time of year. It is most commonly</t>
  </si>
  <si>
    <t>The phenomenon of the midnight sun occurs in the polar regions during the summer months when the sun remains visible at midnight or even throughout the night. This phenomenon is caused by the tilt of the Earth's axis, which results in continuous daylight in these regions during the summer solstice. The closer you are to the North or South</t>
  </si>
  <si>
    <t>The midnight sun is a natural phenomenon that occurs in the polar regions during the summer months. It refers to the sun being visible at midnight or even during the night, due to the tilt of the Earth's axis towards the sun during that time of year. This phenomenon is most commonly experienced in places like the Arctic Circle and</t>
  </si>
  <si>
    <t>The Midnight Sun is a natural phenomenon that occurs in the polar regions during the summer months when the sun remains visible at midnight or even throughout the night. Some characteristics of the Midnight Sun include: 1. Continuous sunlight: The Midnight Sun occurs when the sun does not set below the horizon, resulting in continuous daylight for several days</t>
  </si>
  <si>
    <t>The midnight sun is a natural phenomenon that occurs in the polar regions during the summer months. It refers to the sun being visible at midnight or even during the night, due to the tilt of the Earth's axis towards the sun. This phenomenon occurs in places like the Arctic Circle, where the sun does not set for a</t>
  </si>
  <si>
    <t>Yes, the capital has ports. Ports are important for facilitating trade and transportation of goods by sea.</t>
  </si>
  <si>
    <t>Yes, there are ports in many capital cities around the world. It would depend on the specific capital city you are referring to. If you provide me with the name of the capital city, I can help you find information about its ports.</t>
  </si>
  <si>
    <t>Yes, there are ports in many capital cities around the world. It would be helpful if you could specify which capital city you are referring to so I can provide more specific information.</t>
  </si>
  <si>
    <t>In which country's capital are you interested in knowing about the ports?</t>
  </si>
  <si>
    <t>Yes, the capital typically has access to ports for transportation and trade purposes. Ports are important for facilitating the movement of goods and people, as well as for economic activities such as shipping and fishing.</t>
  </si>
  <si>
    <t>The political structure refers to the organization and system of government in a particular country or region. It includes the branches of government (executive, legislative, and judicial), the distribution of power among different levels of government (federal, state, local), and the rules and procedures that govern decision-making and governance. The political</t>
  </si>
  <si>
    <t>A political system is a set of institutions, laws, and procedures that govern a society. It determines how power is distributed, how decisions are made, and how resources are allocated. There are various types of political systems, such as democracy, monarchy, dictatorship, and socialism, each with its own characteristics and principles.</t>
  </si>
  <si>
    <t>The political structure of a country typically involves three branches of government: the executive branch, the legislative branch, and the judicial branch.  1. The executive branch is responsible for implementing and enforcing laws. This branch is usually headed by the president or prime minister, who is the head of state and government. The executive branch</t>
  </si>
  <si>
    <t>The political structure of a country typically consists of three branches: the executive branch (headed by the president or prime minister), the legislative branch (comprising the parliament or congress), and the judicial branch (including the courts). These branches work together to create and enforce laws, govern the country, and ensure a system of checks</t>
  </si>
  <si>
    <t>The political structure of a society or country refers to the organization and distribution of power, authority, and decision-making processes within the government. It includes the various branches of government (executive, legislative, and judicial), the roles and responsibilities of elected officials, the system of checks and balances, the constitution or governing laws,</t>
  </si>
  <si>
    <t>The most common language spoken worldwide is Mandarin Chinese, followed by Spanish, English, Hindi, and Arabic.</t>
  </si>
  <si>
    <t>As of now, the most widely used language in the world is English. It is spoken by over 1.5 billion people globally and is the official or primary language in many countries.</t>
  </si>
  <si>
    <t>The main language can vary depending on the context or location. Could you please provide more information so I can give you a more specific answer?</t>
  </si>
  <si>
    <t>The most common language in the world is Mandarin Chinese, with over 1 billion native speakers.</t>
  </si>
  <si>
    <t>The most spoken language in the world is Mandarin Chinese, with over 1 billion native speakers.</t>
  </si>
  <si>
    <t>I'm sorry, could you please provide more context or specify which flag you are referring to?</t>
  </si>
  <si>
    <t>I'm not sure which flag you are referring to. Could you please provide more context or specify the country or organization whose flag you are asking about?</t>
  </si>
  <si>
    <t>I'm sorry, but you didn't specify which flag you are referring to. Could you please provide more details or context so I can assist you better?</t>
  </si>
  <si>
    <t>I'm sorry, but I need more information to provide an accurate answer. Could you please specify which flag you are referring to?</t>
  </si>
  <si>
    <t>There are approximately 19,500 municipalities in the United States.</t>
  </si>
  <si>
    <t>As of 2021, there are 5,570 municipalities in the United States.</t>
  </si>
  <si>
    <t>As of 2021, there are 19,429 municipalities in the United States.</t>
  </si>
  <si>
    <t>There are a total of 1,489 municipalities in the Philippines.</t>
  </si>
  <si>
    <t>As of 2021, there are approximately 19,500 municipalities in the United States.</t>
  </si>
  <si>
    <t>It depends on the specific rules and regulations of the place you are in. In some situations, such as at work or in certain public spaces, you may be required to wear identification at all times for security or identification purposes. It's always a good idea to check the rules and guidelines of the place you are in to</t>
  </si>
  <si>
    <t>It is generally a good idea to carry some form of identification with you at all times, as it can be helpful in case of emergencies or if you need to prove your identity for any reason. However, whether it is legally required to carry identification can vary depending on your location and the specific circumstances. It's a good</t>
  </si>
  <si>
    <t>It is generally a good idea to carry some form of identification with you, such as a driver's license or ID card, especially when you are out in public. Having identification on you can be helpful in case of emergencies or if you need to verify your identity for any reason. However, the specific requirements for carrying identification</t>
  </si>
  <si>
    <t>It is generally a good idea to carry some form of identification with you at all times. In case of an emergency or if you need to prove your identity for any reason, having identification on hand can be very helpful. However, the specific requirements may vary depending on where you live and what you are doing, so it</t>
  </si>
  <si>
    <t>It is generally a good idea to have some form of identification on you at all times, especially when you are out in public. In case of an emergency or if you need to verify your identity for any reason, having identification can be very helpful. However, the specific requirements for carrying identification may vary depending on your location</t>
  </si>
  <si>
    <t>It is generally a good idea to carry some form of identification with you at all times, as it can be helpful in case of emergencies or if you need to prove your identity for any reason. However, whether it is a legal requirement to always carry identification can vary depending on the country or state you are in. It</t>
  </si>
  <si>
    <t>The number of administrative regions can vary depending on the country or region in question. Could you please specify which country or region you are referring to so I can provide you with the accurate information?</t>
  </si>
  <si>
    <t>I'm sorry, but I need more context to provide an accurate answer. Could you please specify which organization or entity you are referring to when you mention "regions"?</t>
  </si>
  <si>
    <t>I'm sorry, but your question seems incomplete. Could you please provide more context or clarify what you are referring to when you mention "such regions"?</t>
  </si>
  <si>
    <t>I'm sorry, but I need more information to provide an accurate answer. Could you please specify which country you are referring to?</t>
  </si>
  <si>
    <t>To provide the country's area in square meters, I would need to know the specific country you are referring to. Please provide the name of the country so I can give you the accurate information.</t>
  </si>
  <si>
    <t>The size of a country is typically measured in square kilometers rather than square meters. If you provide me with the name of the country you are inquiring about, I can look up the exact size for you.</t>
  </si>
  <si>
    <t>To determine the size of the land in square meters, you would need to know the length and width of the land in meters. Once you have those measurements, you can multiply the length by the width to calculate the area in square meters. If you provide me with the length and width of the land, I can help</t>
  </si>
  <si>
    <t>I'm sorry, but I need more information to provide an accurate answer. Which country are you referring to?</t>
  </si>
  <si>
    <t>I'm sorry, but I need more information to provide an answer. Which country are you referring to?</t>
  </si>
  <si>
    <t>The total land area of a country can vary, so I would need to know which country you are referring to in order to provide an accurate answer. Could you please specify the country you are asking about?</t>
  </si>
  <si>
    <t>To provide an answer, I would need to know the specific location or area you are inquiring about. Please provide more details so I can assist you accurately.</t>
  </si>
  <si>
    <t>To provide an accurate answer, I would need more context or information about the specific land you are referring to. Please provide more details so I can assist you better.</t>
  </si>
  <si>
    <t>To determine the size of the land in square miles, you would need to know the length and width of the land in miles. You can then multiply the length by the width to calculate the total area in square miles. If you provide me with the specific measurements, I can help you calculate the size of the land in</t>
  </si>
  <si>
    <t>I would need to know which country you are referring to in order to provide an accurate answer. Could you please specify the country you are asking about?</t>
  </si>
  <si>
    <t>To provide an accurate answer, I would need to know the specific country you are inquiring about. Could you please specify the country you are asking about?</t>
  </si>
  <si>
    <t>As of 2020, immigrants make up about 13.7% of the total population in the United States.</t>
  </si>
  <si>
    <t>The proportion of immigrants in a population can vary greatly depending on the country or region in question. Could you please specify which country or region you are referring to so I can provide you with more accurate information?</t>
  </si>
  <si>
    <t>The immigrant percentage in a population can vary depending on the country or region. In general, the immigrant percentage is calculated by dividing the number of immigrants in a population by the total population and then multiplying by 100 to get a percentage. If you have a specific country or region in mind, I can provide more accurate information</t>
  </si>
  <si>
    <t>As of 2020, immigrants make up approximately 13.7% of the total population in the United States.</t>
  </si>
  <si>
    <t>The proportion of immigrants in a population can vary greatly depending on the country or region in question. In general, the proportion of immigrants in a population is typically expressed as a percentage of the total population. For example, in the United States, immigrants make up about 13.7% of the total population, according to</t>
  </si>
  <si>
    <t>The official day of mourning can vary depending on the country or culture. In some cases, it may be declared by the government or religious authorities in response to a significant event such as a national tragedy or the passing of a prominent figure. It is best to check with local sources or news outlets for specific information on when an</t>
  </si>
  <si>
    <t>The official day of mourning can vary depending on the specific event or occasion being observed. For example, in the United States, the official day of mourning for the September 11th terrorist attacks is September 11th each year. In other countries or for different events, the official day of mourning may be designated by the</t>
  </si>
  <si>
    <t>The official day of mourning is commemorated on December 6th.</t>
  </si>
  <si>
    <t>The official day of mourning is typically observed on December 6th each year. This day is dedicated to remembering and honoring those who have passed away.</t>
  </si>
  <si>
    <t>The official day of mourning varies depending on the country or region. For example, in the United States, Memorial Day is recognized as a day of mourning to honor and remember the military personnel who have died in the line of duty. In other countries, there may be specific days designated for mourning, such as Remembrance Day</t>
  </si>
  <si>
    <t>Constitution Day is celebrated on September 17th each year in the United States.</t>
  </si>
  <si>
    <t>Constitution Day in the United States is observed on September 17th each year.</t>
  </si>
  <si>
    <t>Constitution Day is observed on September 17th each year in the United States.</t>
  </si>
  <si>
    <t>Constitution Day is celebrated on September 17th in the United States.</t>
  </si>
  <si>
    <t>On Sunday, you could consider relaxing and doing activities that bring you joy and rejuvenation. This could include spending time with loved ones, going for a walk in nature, reading a book, trying out a new hobby, or engaging in self-care activities. It's important to take time for yourself and recharge for the week</t>
  </si>
  <si>
    <t>A good thing to do on Sunday is to relax and unwind. You can spend time with loved ones, go for a leisurely walk, read a book, watch a movie, or engage in a hobby you enjoy. It's important to take some time for yourself and recharge for the week ahead.</t>
  </si>
  <si>
    <t>On Sundays, you can engage in a variety of activities based on your preferences. Some ideas include: 1. Relaxing at home and catching up on your favorite TV shows or movies. 2. Going for a leisurely walk or hike in nature. 3. Trying out a new recipe or cooking a special meal. 4</t>
  </si>
  <si>
    <t>Sure! Here are some suggestions for things you can do on a Sunday: 1. Go for a hike or nature walk to enjoy the outdoors. 2. Visit a local farmer's market or flea market. 3. Have a picnic in a park or at the beach. 4. Try a new brunch spot or cook a</t>
  </si>
  <si>
    <t>Some good activities for Sunday include going for a leisurely walk or hike, having a picnic in the park, visiting a museum or art gallery, attending a yoga or meditation class, reading a book, trying out a new recipe, gardening, or spending quality time with family and friends. Ultimately, the best activity for Sunday</t>
  </si>
  <si>
    <t>The cost of having a lot of money can vary depending on individual circumstances and choices. It may require hard work, dedication, time, and sometimes sacrifices in other areas of life. Additionally, managing and investing a large sum of money effectively can also come with its own costs, such as fees for financial services or potential risks</t>
  </si>
  <si>
    <t>Costly refers to something that requires a significant amount of money or resources to obtain or maintain. It can also refer to something that has a high price or expense associated with it.</t>
  </si>
  <si>
    <t>Items that typically have a high price include luxury goods, designer clothing, high-end electronics, rare collectibles, and real estate in desirable locations. Additionally, services such as medical procedures, high-quality education, and exclusive experiences can also come with a high price tag.</t>
  </si>
  <si>
    <t>The cost of living in certain cities or countries can be expensive, as well as luxury items, designer clothing, high-end technology, and exotic vacations.</t>
  </si>
  <si>
    <t>"Expensive" is subjective and can vary depending on individual perspectives and circumstances. Generally, something is considered expensive when its cost is high relative to the value or budget of the person making the assessment.</t>
  </si>
  <si>
    <t>Typical behavior on the bus includes being respectful of other passengers, following the bus driver's instructions, giving up seats for those in need, keeping noise levels down, and refraining from eating or drinking unless allowed. It's important to maintain good manners and considerate behavior while riding on public transportation.</t>
  </si>
  <si>
    <t>People on the bus typically behave in a variety of ways. Some may engage in conversation with fellow passengers, while others may prefer to keep to themselves and listen to music or read. It is common for passengers to be respectful of others by keeping noise levels down, not taking up more space than necessary, and following any rules</t>
  </si>
  <si>
    <t>Common behaviors on the bus include sitting quietly, listening to music or podcasts with headphones, reading a book or using a mobile device, talking quietly with a friend or fellow passenger, and being respectful of others' personal space. It is important to follow the rules and guidelines set by the bus company and to be considerate of</t>
  </si>
  <si>
    <t>People's behavior on the bus can vary widely depending on the individual and the circumstances. Some common behaviors include talking quietly with fellow passengers, listening to music or podcasts with headphones, reading a book or using a mobile device, or simply sitting quietly and observing their surroundings. However, there can also be instances of loud conversations,</t>
  </si>
  <si>
    <t>It is generally considered polite to take off your shoes before entering someone's home, especially if they have a no-shoes policy. This helps keep the floors clean and can also be a sign of respect for the homeowner's space. If you are unsure, it's always a good idea to ask the host if they prefer</t>
  </si>
  <si>
    <t>It is a common practice in many cultures to take off your shoes before entering a home. This is done to keep the floors clean and to show respect for the space. However, whether or not it is necessary depends on the preferences of the homeowner. It is always a good idea to ask the homeowner if they would like</t>
  </si>
  <si>
    <t>It is generally considered polite to take off your shoes before entering someone's home, especially if they have a no-shoes policy. However, if you are unsure, it is always best to ask the host or hostess for their preference.</t>
  </si>
  <si>
    <t>It depends on the cultural norms and personal preferences of the people living in the home. In some cultures and households, it is customary to remove shoes before entering to keep the floors clean. It is always a good idea to ask the host or homeowner if you are unsure about whether to remove your shoes before entering their home.</t>
  </si>
  <si>
    <t>It is generally considered polite to take off your shoes before entering someone's home, especially if they have a no-shoes policy. This helps keep the floors clean and shows respect for the homeowner's preferences. If you are unsure, it's always a good idea to ask the host if they would like you to remove your</t>
  </si>
  <si>
    <t>GPT-3.5-Turbo Norwegian</t>
  </si>
  <si>
    <t>GPT-3.5-Turbo English</t>
  </si>
  <si>
    <t>GPT-4 Norwegian</t>
  </si>
  <si>
    <t>GPT-4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</si>
</sst>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24"/>
      <color theme="1"/>
      <name val="Aptos Narrow"/>
      <family val="2"/>
      <scheme val="minor"/>
    </font>
    <font>
      <sz val="24"/>
      <name val="Aptos Narrow"/>
      <scheme val="minor"/>
    </font>
    <font>
      <sz val="12"/>
      <color rgb="FF000000"/>
      <name val="Aptos Narrow"/>
    </font>
    <font>
      <b/>
      <sz val="18"/>
      <color theme="1"/>
      <name val="Aptos Narrow"/>
      <scheme val="minor"/>
    </font>
    <font>
      <b/>
      <sz val="16"/>
      <color theme="1"/>
      <name val="Aptos Narrow"/>
      <scheme val="minor"/>
    </font>
    <font>
      <sz val="12"/>
      <name val="Aptos Narrow"/>
      <family val="2"/>
      <scheme val="minor"/>
    </font>
    <font>
      <sz val="12"/>
      <color theme="1"/>
      <name val="Aptos Narrow"/>
      <family val="2"/>
      <scheme val="minor"/>
    </font>
    <font>
      <sz val="12"/>
      <name val="Aptos Narrow"/>
      <scheme val="minor"/>
    </font>
  </fonts>
  <fills count="14">
    <fill>
      <patternFill patternType="none"/>
    </fill>
    <fill>
      <patternFill patternType="gray125"/>
    </fill>
    <fill>
      <patternFill patternType="solid">
        <fgColor theme="9" tint="0.59999389629810485"/>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FF0000"/>
        <bgColor indexed="64"/>
      </patternFill>
    </fill>
    <fill>
      <patternFill patternType="solid">
        <fgColor rgb="FF7030A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rgb="FFFF847C"/>
        <bgColor indexed="64"/>
      </patternFill>
    </fill>
    <fill>
      <patternFill patternType="solid">
        <fgColor rgb="FFFFD000"/>
        <bgColor indexed="64"/>
      </patternFill>
    </fill>
  </fills>
  <borders count="16">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indexed="64"/>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right/>
      <top style="thin">
        <color indexed="64"/>
      </top>
      <bottom style="thin">
        <color indexed="64"/>
      </bottom>
      <diagonal/>
    </border>
  </borders>
  <cellStyleXfs count="2">
    <xf numFmtId="0" fontId="0" fillId="0" borderId="0"/>
    <xf numFmtId="9" fontId="10" fillId="0" borderId="0" applyFont="0" applyFill="0" applyBorder="0" applyAlignment="0" applyProtection="0"/>
  </cellStyleXfs>
  <cellXfs count="122">
    <xf numFmtId="0" fontId="0" fillId="0" borderId="0" xfId="0"/>
    <xf numFmtId="0" fontId="1" fillId="0" borderId="2" xfId="0" applyFont="1" applyBorder="1" applyAlignment="1">
      <alignment wrapText="1"/>
    </xf>
    <xf numFmtId="0" fontId="0" fillId="0" borderId="1" xfId="0" applyBorder="1" applyAlignment="1">
      <alignment wrapText="1"/>
    </xf>
    <xf numFmtId="0" fontId="2" fillId="0" borderId="1" xfId="0" applyFont="1" applyBorder="1" applyAlignment="1">
      <alignment wrapText="1"/>
    </xf>
    <xf numFmtId="0" fontId="2" fillId="0" borderId="1" xfId="0" applyFont="1" applyBorder="1"/>
    <xf numFmtId="0" fontId="1" fillId="0" borderId="2" xfId="0" applyFont="1" applyBorder="1" applyAlignment="1">
      <alignment horizontal="center" wrapText="1"/>
    </xf>
    <xf numFmtId="0" fontId="0" fillId="0" borderId="1" xfId="0" applyBorder="1"/>
    <xf numFmtId="0" fontId="0" fillId="0" borderId="0" xfId="0" applyAlignment="1">
      <alignment wrapText="1"/>
    </xf>
    <xf numFmtId="0" fontId="1" fillId="0" borderId="0" xfId="0" applyFont="1"/>
    <xf numFmtId="0" fontId="3" fillId="0" borderId="0" xfId="0" applyFont="1"/>
    <xf numFmtId="0" fontId="1" fillId="0" borderId="0" xfId="0" applyFont="1" applyAlignment="1">
      <alignment wrapText="1"/>
    </xf>
    <xf numFmtId="0" fontId="0" fillId="0" borderId="6" xfId="0" applyBorder="1"/>
    <xf numFmtId="0" fontId="0" fillId="0" borderId="7" xfId="0" applyBorder="1"/>
    <xf numFmtId="0" fontId="0" fillId="0" borderId="8" xfId="0" applyBorder="1"/>
    <xf numFmtId="0" fontId="0" fillId="0" borderId="9" xfId="0" applyBorder="1"/>
    <xf numFmtId="0" fontId="0" fillId="4" borderId="0" xfId="0" applyFill="1" applyAlignment="1">
      <alignment wrapText="1"/>
    </xf>
    <xf numFmtId="0" fontId="1" fillId="0" borderId="0" xfId="0" applyFont="1" applyAlignment="1">
      <alignment horizontal="center"/>
    </xf>
    <xf numFmtId="0" fontId="0" fillId="0" borderId="0" xfId="0" applyAlignment="1">
      <alignment horizontal="center"/>
    </xf>
    <xf numFmtId="0" fontId="0" fillId="3" borderId="0" xfId="0" applyFill="1" applyAlignment="1">
      <alignment wrapText="1"/>
    </xf>
    <xf numFmtId="0" fontId="0" fillId="8" borderId="0" xfId="0" applyFill="1" applyAlignment="1">
      <alignment wrapText="1"/>
    </xf>
    <xf numFmtId="0" fontId="0" fillId="9" borderId="0" xfId="0" applyFill="1" applyAlignment="1">
      <alignment wrapText="1"/>
    </xf>
    <xf numFmtId="0" fontId="4" fillId="8" borderId="0" xfId="0" applyFont="1" applyFill="1"/>
    <xf numFmtId="0" fontId="4" fillId="3" borderId="0" xfId="0" applyFont="1" applyFill="1"/>
    <xf numFmtId="0" fontId="4" fillId="10" borderId="0" xfId="0" applyFont="1" applyFill="1"/>
    <xf numFmtId="0" fontId="5" fillId="9" borderId="0" xfId="0" applyFont="1" applyFill="1"/>
    <xf numFmtId="0" fontId="8" fillId="3" borderId="1" xfId="0" applyFont="1" applyFill="1" applyBorder="1" applyAlignment="1">
      <alignment horizontal="center" wrapText="1"/>
    </xf>
    <xf numFmtId="0" fontId="8" fillId="4" borderId="10" xfId="0" applyFont="1" applyFill="1" applyBorder="1" applyAlignment="1">
      <alignment wrapText="1"/>
    </xf>
    <xf numFmtId="0" fontId="8" fillId="6" borderId="4" xfId="0" applyFont="1" applyFill="1" applyBorder="1" applyAlignment="1">
      <alignment horizontal="center" wrapText="1"/>
    </xf>
    <xf numFmtId="0" fontId="1" fillId="0" borderId="2" xfId="0" applyFont="1" applyBorder="1"/>
    <xf numFmtId="0" fontId="1" fillId="0" borderId="3" xfId="0" applyFont="1" applyBorder="1"/>
    <xf numFmtId="0" fontId="1" fillId="0" borderId="11" xfId="0" applyFont="1" applyBorder="1" applyAlignment="1">
      <alignment wrapText="1"/>
    </xf>
    <xf numFmtId="0" fontId="1" fillId="0" borderId="3" xfId="0" applyFont="1" applyBorder="1" applyAlignment="1">
      <alignment wrapText="1"/>
    </xf>
    <xf numFmtId="0" fontId="0" fillId="0" borderId="1" xfId="0" applyBorder="1" applyAlignment="1">
      <alignment horizontal="center" wrapText="1"/>
    </xf>
    <xf numFmtId="0" fontId="0" fillId="0" borderId="4" xfId="0" applyBorder="1" applyAlignment="1">
      <alignment wrapText="1"/>
    </xf>
    <xf numFmtId="0" fontId="0" fillId="11" borderId="1" xfId="0" applyFill="1" applyBorder="1"/>
    <xf numFmtId="0" fontId="2" fillId="0" borderId="1" xfId="0" applyFont="1" applyBorder="1" applyAlignment="1">
      <alignment horizontal="center" wrapText="1"/>
    </xf>
    <xf numFmtId="0" fontId="0" fillId="0" borderId="4" xfId="0" applyBorder="1"/>
    <xf numFmtId="0" fontId="0" fillId="11" borderId="0" xfId="0" applyFill="1"/>
    <xf numFmtId="0" fontId="3" fillId="0" borderId="0" xfId="0" applyFont="1" applyAlignment="1">
      <alignment wrapText="1"/>
    </xf>
    <xf numFmtId="0" fontId="9" fillId="3" borderId="0" xfId="0" applyFont="1" applyFill="1" applyAlignment="1">
      <alignment wrapText="1"/>
    </xf>
    <xf numFmtId="0" fontId="3" fillId="2" borderId="0" xfId="0" applyFont="1" applyFill="1" applyAlignment="1">
      <alignment wrapText="1"/>
    </xf>
    <xf numFmtId="0" fontId="0" fillId="0" borderId="12" xfId="0" applyBorder="1"/>
    <xf numFmtId="0" fontId="0" fillId="0" borderId="10" xfId="0" applyBorder="1"/>
    <xf numFmtId="0" fontId="0" fillId="0" borderId="5" xfId="0" applyBorder="1"/>
    <xf numFmtId="0" fontId="0" fillId="0" borderId="11" xfId="0" applyBorder="1"/>
    <xf numFmtId="0" fontId="0" fillId="0" borderId="14" xfId="0" applyBorder="1"/>
    <xf numFmtId="0" fontId="0" fillId="0" borderId="3" xfId="0" applyBorder="1"/>
    <xf numFmtId="0" fontId="0" fillId="0" borderId="15" xfId="0" applyBorder="1"/>
    <xf numFmtId="0" fontId="0" fillId="2" borderId="15" xfId="0" applyFill="1" applyBorder="1"/>
    <xf numFmtId="0" fontId="0" fillId="2" borderId="6" xfId="0" applyFill="1" applyBorder="1"/>
    <xf numFmtId="0" fontId="0" fillId="2" borderId="13" xfId="0" applyFill="1" applyBorder="1"/>
    <xf numFmtId="0" fontId="0" fillId="2" borderId="7" xfId="0" applyFill="1" applyBorder="1"/>
    <xf numFmtId="0" fontId="1" fillId="2" borderId="6" xfId="0" applyFont="1" applyFill="1" applyBorder="1"/>
    <xf numFmtId="0" fontId="1" fillId="2" borderId="13" xfId="0" applyFont="1" applyFill="1" applyBorder="1" applyAlignment="1">
      <alignment wrapText="1"/>
    </xf>
    <xf numFmtId="0" fontId="0" fillId="0" borderId="13" xfId="0" applyBorder="1"/>
    <xf numFmtId="0" fontId="1" fillId="2" borderId="13" xfId="0" applyFont="1" applyFill="1" applyBorder="1"/>
    <xf numFmtId="0" fontId="0" fillId="2" borderId="11" xfId="0" applyFill="1" applyBorder="1"/>
    <xf numFmtId="0" fontId="1" fillId="10" borderId="7" xfId="0" applyFont="1" applyFill="1" applyBorder="1"/>
    <xf numFmtId="10" fontId="0" fillId="10" borderId="15" xfId="1" applyNumberFormat="1" applyFont="1" applyFill="1" applyBorder="1"/>
    <xf numFmtId="10" fontId="0" fillId="10" borderId="6" xfId="1" applyNumberFormat="1" applyFont="1" applyFill="1" applyBorder="1"/>
    <xf numFmtId="10" fontId="0" fillId="10" borderId="7" xfId="1" applyNumberFormat="1" applyFont="1" applyFill="1" applyBorder="1"/>
    <xf numFmtId="0" fontId="1" fillId="10" borderId="13" xfId="0" applyFont="1" applyFill="1" applyBorder="1"/>
    <xf numFmtId="0" fontId="1" fillId="2" borderId="3" xfId="0" applyFont="1" applyFill="1" applyBorder="1" applyAlignment="1">
      <alignment wrapText="1"/>
    </xf>
    <xf numFmtId="10" fontId="0" fillId="10" borderId="13" xfId="1" applyNumberFormat="1" applyFont="1" applyFill="1" applyBorder="1"/>
    <xf numFmtId="10" fontId="0" fillId="10" borderId="13" xfId="0" applyNumberFormat="1" applyFill="1" applyBorder="1"/>
    <xf numFmtId="0" fontId="11" fillId="0" borderId="0" xfId="0" applyFont="1" applyAlignment="1">
      <alignment wrapText="1"/>
    </xf>
    <xf numFmtId="0" fontId="0" fillId="12" borderId="0" xfId="0" applyFill="1" applyAlignment="1">
      <alignment horizontal="center" wrapText="1"/>
    </xf>
    <xf numFmtId="0" fontId="0" fillId="13" borderId="0" xfId="0" applyFill="1" applyAlignment="1">
      <alignment horizontal="center"/>
    </xf>
    <xf numFmtId="0" fontId="1" fillId="0" borderId="2" xfId="0" applyFont="1" applyBorder="1" applyAlignment="1">
      <alignment horizontal="center"/>
    </xf>
    <xf numFmtId="0" fontId="1" fillId="0" borderId="5" xfId="0" applyFont="1"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0" fillId="6" borderId="0" xfId="0" applyFill="1"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0" borderId="0" xfId="0" applyAlignment="1">
      <alignment horizontal="center"/>
    </xf>
    <xf numFmtId="0" fontId="1" fillId="0" borderId="13" xfId="0" applyFont="1" applyBorder="1" applyAlignment="1">
      <alignment horizontal="center"/>
    </xf>
    <xf numFmtId="0" fontId="1" fillId="0" borderId="7" xfId="0" applyFont="1" applyBorder="1" applyAlignment="1">
      <alignment horizontal="center"/>
    </xf>
    <xf numFmtId="0" fontId="1" fillId="0" borderId="15" xfId="0" applyFont="1" applyBorder="1" applyAlignment="1">
      <alignment horizontal="center"/>
    </xf>
    <xf numFmtId="0" fontId="1" fillId="0" borderId="6" xfId="0" applyFont="1" applyBorder="1" applyAlignment="1">
      <alignment horizontal="center"/>
    </xf>
    <xf numFmtId="0" fontId="1" fillId="0" borderId="8" xfId="0" applyFont="1" applyBorder="1" applyAlignment="1">
      <alignment horizontal="center"/>
    </xf>
    <xf numFmtId="0" fontId="0" fillId="2" borderId="7" xfId="0" applyFill="1" applyBorder="1" applyAlignment="1">
      <alignment horizontal="center"/>
    </xf>
    <xf numFmtId="0" fontId="0" fillId="2" borderId="15"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8" xfId="0" applyFill="1" applyBorder="1" applyAlignment="1">
      <alignment horizontal="center"/>
    </xf>
    <xf numFmtId="0" fontId="0" fillId="2" borderId="6" xfId="0" applyFill="1" applyBorder="1" applyAlignment="1">
      <alignment horizontal="center"/>
    </xf>
    <xf numFmtId="0" fontId="0" fillId="2" borderId="10" xfId="0" applyFill="1" applyBorder="1" applyAlignment="1">
      <alignment horizontal="center"/>
    </xf>
    <xf numFmtId="0" fontId="0" fillId="2" borderId="0" xfId="0" applyFill="1" applyAlignment="1">
      <alignment horizontal="center"/>
    </xf>
    <xf numFmtId="0" fontId="0" fillId="2" borderId="1" xfId="0" applyFill="1" applyBorder="1" applyAlignment="1">
      <alignment horizontal="center"/>
    </xf>
    <xf numFmtId="0" fontId="1" fillId="0" borderId="9" xfId="0" applyFont="1"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1" fillId="0" borderId="11" xfId="0" applyFont="1" applyBorder="1" applyAlignment="1">
      <alignment horizontal="center"/>
    </xf>
    <xf numFmtId="0" fontId="7" fillId="2" borderId="0" xfId="0" applyFont="1" applyFill="1" applyAlignment="1">
      <alignment horizontal="center"/>
    </xf>
    <xf numFmtId="0" fontId="7" fillId="2" borderId="1" xfId="0" applyFont="1" applyFill="1" applyBorder="1" applyAlignment="1">
      <alignment horizontal="center"/>
    </xf>
    <xf numFmtId="0" fontId="8" fillId="5" borderId="10" xfId="0" applyFont="1" applyFill="1" applyBorder="1" applyAlignment="1">
      <alignment horizontal="center" wrapText="1"/>
    </xf>
    <xf numFmtId="0" fontId="8" fillId="5" borderId="1" xfId="0" applyFont="1" applyFill="1" applyBorder="1" applyAlignment="1">
      <alignment horizontal="center" wrapText="1"/>
    </xf>
    <xf numFmtId="0" fontId="0" fillId="0" borderId="0" xfId="0" applyFill="1" applyAlignment="1">
      <alignment wrapText="1"/>
    </xf>
    <xf numFmtId="0" fontId="0" fillId="0" borderId="0" xfId="0" applyBorder="1"/>
    <xf numFmtId="0" fontId="0" fillId="10" borderId="15" xfId="0" applyFill="1" applyBorder="1"/>
    <xf numFmtId="0" fontId="1" fillId="2" borderId="2" xfId="0" applyFont="1" applyFill="1" applyBorder="1" applyAlignment="1">
      <alignment wrapText="1"/>
    </xf>
    <xf numFmtId="0" fontId="0" fillId="0" borderId="0" xfId="0" applyFill="1" applyBorder="1"/>
    <xf numFmtId="0" fontId="1" fillId="0" borderId="0" xfId="0" applyFont="1" applyFill="1" applyBorder="1" applyAlignment="1">
      <alignment horizontal="center"/>
    </xf>
    <xf numFmtId="0" fontId="0" fillId="2" borderId="5"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horizontal="center"/>
    </xf>
    <xf numFmtId="0" fontId="0" fillId="0" borderId="0" xfId="0" applyFill="1"/>
    <xf numFmtId="0" fontId="0" fillId="0" borderId="4" xfId="0" applyFill="1" applyBorder="1"/>
    <xf numFmtId="10" fontId="0" fillId="0" borderId="4" xfId="0" applyNumberFormat="1" applyFill="1" applyBorder="1"/>
    <xf numFmtId="0" fontId="0" fillId="0" borderId="4" xfId="0" applyFill="1" applyBorder="1" applyAlignment="1">
      <alignment horizontal="center"/>
    </xf>
    <xf numFmtId="0" fontId="0" fillId="0" borderId="0" xfId="0" applyAlignment="1"/>
    <xf numFmtId="0" fontId="0" fillId="0" borderId="4" xfId="0" applyBorder="1" applyAlignment="1"/>
    <xf numFmtId="0" fontId="1" fillId="0" borderId="3" xfId="0" applyFont="1" applyBorder="1" applyAlignment="1">
      <alignment horizontal="center"/>
    </xf>
    <xf numFmtId="0" fontId="0" fillId="0" borderId="4" xfId="0" applyBorder="1" applyAlignment="1">
      <alignment horizontal="center"/>
    </xf>
    <xf numFmtId="0" fontId="0" fillId="11" borderId="4" xfId="0" applyFill="1" applyBorder="1" applyAlignment="1">
      <alignment horizontal="center"/>
    </xf>
    <xf numFmtId="0" fontId="2" fillId="0" borderId="4" xfId="0" applyFont="1" applyBorder="1" applyAlignment="1">
      <alignment horizontal="center"/>
    </xf>
    <xf numFmtId="0" fontId="0" fillId="11" borderId="4" xfId="0" applyFill="1" applyBorder="1" applyAlignment="1"/>
    <xf numFmtId="49" fontId="0" fillId="0" borderId="0" xfId="0" applyNumberFormat="1" applyAlignment="1"/>
    <xf numFmtId="0" fontId="0" fillId="11" borderId="0" xfId="0" applyFill="1" applyAlignment="1"/>
    <xf numFmtId="0" fontId="3" fillId="0" borderId="4" xfId="0" applyFont="1" applyBorder="1" applyAlignment="1">
      <alignment wrapText="1"/>
    </xf>
  </cellXfs>
  <cellStyles count="2">
    <cellStyle name="Normal" xfId="0" builtinId="0"/>
    <cellStyle name="Percent" xfId="1" builtinId="5"/>
  </cellStyles>
  <dxfs count="5">
    <dxf>
      <fill>
        <patternFill>
          <bgColor theme="3" tint="0.499984740745262"/>
        </patternFill>
      </fill>
    </dxf>
    <dxf>
      <fill>
        <patternFill>
          <bgColor theme="3" tint="0.499984740745262"/>
        </patternFill>
      </fill>
    </dxf>
    <dxf>
      <font>
        <b/>
        <i val="0"/>
        <strike val="0"/>
      </font>
      <fill>
        <patternFill patternType="none">
          <bgColor auto="1"/>
        </patternFill>
      </fill>
    </dxf>
    <dxf>
      <font>
        <b/>
        <i val="0"/>
        <strike val="0"/>
      </font>
      <fill>
        <patternFill patternType="none">
          <bgColor auto="1"/>
        </patternFill>
      </fill>
    </dxf>
    <dxf>
      <fill>
        <patternFill>
          <bgColor rgb="FF7030A0"/>
        </patternFill>
      </fill>
    </dxf>
  </dxfs>
  <tableStyles count="0" defaultTableStyle="TableStyleMedium2" defaultPivotStyle="PivotStyleLight16"/>
  <colors>
    <mruColors>
      <color rgb="FFFFD000"/>
      <color rgb="FFFF847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NorBLOOM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F5-9F4F-8739-A7F4DD6D737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F5-9F4F-8739-A7F4DD6D737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F5-9F4F-8739-A7F4DD6D737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F5-9F4F-8739-A7F4DD6D737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Data'!$L$14:$O$14</c:f>
              <c:numCache>
                <c:formatCode>0.00%</c:formatCode>
                <c:ptCount val="4"/>
                <c:pt idx="0">
                  <c:v>0.15123456790123457</c:v>
                </c:pt>
                <c:pt idx="1">
                  <c:v>2.1604938271604937E-2</c:v>
                </c:pt>
                <c:pt idx="2">
                  <c:v>2.4691358024691357E-2</c:v>
                </c:pt>
                <c:pt idx="3">
                  <c:v>0.80246913580246915</c:v>
                </c:pt>
              </c:numCache>
            </c:numRef>
          </c:val>
          <c:extLst>
            <c:ext xmlns:c16="http://schemas.microsoft.com/office/drawing/2014/chart" uri="{C3380CC4-5D6E-409C-BE32-E72D297353CC}">
              <c16:uniqueId val="{00000000-24A8-3C4B-8FE9-54D95B312790}"/>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Normistral-Scratch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2A-0C41-82E9-2B06515872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2A-0C41-82E9-2B06515872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2A-0C41-82E9-2B06515872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2A-0C41-82E9-2B06515872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Data'!$U$14:$X$14</c:f>
              <c:numCache>
                <c:formatCode>0.00%</c:formatCode>
                <c:ptCount val="4"/>
                <c:pt idx="0">
                  <c:v>9.8765432098765427E-2</c:v>
                </c:pt>
                <c:pt idx="1">
                  <c:v>4.0123456790123455E-2</c:v>
                </c:pt>
                <c:pt idx="2">
                  <c:v>2.7777777777777776E-2</c:v>
                </c:pt>
                <c:pt idx="3">
                  <c:v>0.83333333333333337</c:v>
                </c:pt>
              </c:numCache>
            </c:numRef>
          </c:val>
          <c:extLst>
            <c:ext xmlns:c16="http://schemas.microsoft.com/office/drawing/2014/chart" uri="{C3380CC4-5D6E-409C-BE32-E72D297353CC}">
              <c16:uniqueId val="{00000008-C62A-0C41-82E9-2B065158726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Normistral-Warm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1E1-544B-A9A0-D8E733AE26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1E1-544B-A9A0-D8E733AE26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1E1-544B-A9A0-D8E733AE26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1E1-544B-A9A0-D8E733AE26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Data'!$AD$14:$AG$14</c:f>
              <c:numCache>
                <c:formatCode>0.00%</c:formatCode>
                <c:ptCount val="4"/>
                <c:pt idx="0">
                  <c:v>0.15432098765432098</c:v>
                </c:pt>
                <c:pt idx="1">
                  <c:v>3.0864197530864196E-2</c:v>
                </c:pt>
                <c:pt idx="2">
                  <c:v>2.7777777777777776E-2</c:v>
                </c:pt>
                <c:pt idx="3">
                  <c:v>0.78703703703703698</c:v>
                </c:pt>
              </c:numCache>
            </c:numRef>
          </c:val>
          <c:extLst>
            <c:ext xmlns:c16="http://schemas.microsoft.com/office/drawing/2014/chart" uri="{C3380CC4-5D6E-409C-BE32-E72D297353CC}">
              <c16:uniqueId val="{00000008-71E1-544B-A9A0-D8E733AE26B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Normistral-Instruct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DC-B94E-A921-1F1D0489D5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DC-B94E-A921-1F1D0489D5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DC-B94E-A921-1F1D0489D5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DC-B94E-A921-1F1D0489D50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Data'!$AM$14:$AP$14</c:f>
              <c:numCache>
                <c:formatCode>0.00%</c:formatCode>
                <c:ptCount val="4"/>
                <c:pt idx="0">
                  <c:v>0.12345679012345678</c:v>
                </c:pt>
                <c:pt idx="1">
                  <c:v>0.20061728395061729</c:v>
                </c:pt>
                <c:pt idx="2">
                  <c:v>2.4691358024691357E-2</c:v>
                </c:pt>
                <c:pt idx="3">
                  <c:v>0.65123456790123457</c:v>
                </c:pt>
              </c:numCache>
            </c:numRef>
          </c:val>
          <c:extLst>
            <c:ext xmlns:c16="http://schemas.microsoft.com/office/drawing/2014/chart" uri="{C3380CC4-5D6E-409C-BE32-E72D297353CC}">
              <c16:uniqueId val="{00000008-DADC-B94E-A921-1F1D0489D50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a:t>
            </a:r>
            <a:r>
              <a:rPr lang="en-US" baseline="0"/>
              <a:t>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E1-8940-8C78-706453CFA5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FE1-8940-8C78-706453CFA5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FE1-8940-8C78-706453CFA51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FE1-8940-8C78-706453CFA51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Data'!$CD$14:$CG$14</c:f>
              <c:numCache>
                <c:formatCode>0.00%</c:formatCode>
                <c:ptCount val="4"/>
                <c:pt idx="0">
                  <c:v>0.13194444444444445</c:v>
                </c:pt>
                <c:pt idx="1">
                  <c:v>7.3302469135802475E-2</c:v>
                </c:pt>
                <c:pt idx="2">
                  <c:v>2.6234567901234566E-2</c:v>
                </c:pt>
                <c:pt idx="3">
                  <c:v>0.76851851851851849</c:v>
                </c:pt>
              </c:numCache>
            </c:numRef>
          </c:val>
          <c:extLst>
            <c:ext xmlns:c16="http://schemas.microsoft.com/office/drawing/2014/chart" uri="{C3380CC4-5D6E-409C-BE32-E72D297353CC}">
              <c16:uniqueId val="{00000008-8FE1-8940-8C78-706453CFA51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Normistral-Scratch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2A-0C41-82E9-2B06515872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2A-0C41-82E9-2B06515872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2A-0C41-82E9-2B06515872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2A-0C41-82E9-2B06515872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Data'!$U$14:$X$14</c:f>
              <c:numCache>
                <c:formatCode>0.00%</c:formatCode>
                <c:ptCount val="4"/>
                <c:pt idx="0">
                  <c:v>9.8765432098765427E-2</c:v>
                </c:pt>
                <c:pt idx="1">
                  <c:v>4.0123456790123455E-2</c:v>
                </c:pt>
                <c:pt idx="2">
                  <c:v>2.7777777777777776E-2</c:v>
                </c:pt>
                <c:pt idx="3">
                  <c:v>0.83333333333333337</c:v>
                </c:pt>
              </c:numCache>
            </c:numRef>
          </c:val>
          <c:extLst>
            <c:ext xmlns:c16="http://schemas.microsoft.com/office/drawing/2014/chart" uri="{C3380CC4-5D6E-409C-BE32-E72D297353CC}">
              <c16:uniqueId val="{00000008-C62A-0C41-82E9-2B065158726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Data</a:t>
            </a:r>
            <a:r>
              <a:rPr lang="en-US" baseline="0"/>
              <a:t> Set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983D-B24B-9546-867F6AB7E77B}"/>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983D-B24B-9546-867F6AB7E77B}"/>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983D-B24B-9546-867F6AB7E77B}"/>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983D-B24B-9546-867F6AB7E77B}"/>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8EF-0A43-9EBD-F7BE7CD27E51}"/>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D8EF-0A43-9EBD-F7BE7CD27E51}"/>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D8EF-0A43-9EBD-F7BE7CD27E51}"/>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D8EF-0A43-9EBD-F7BE7CD27E51}"/>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D8EF-0A43-9EBD-F7BE7CD27E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Data'!$A$3:$A$11</c:f>
              <c:strCache>
                <c:ptCount val="9"/>
                <c:pt idx="0">
                  <c:v>History</c:v>
                </c:pt>
                <c:pt idx="1">
                  <c:v>Education</c:v>
                </c:pt>
                <c:pt idx="2">
                  <c:v>Legal</c:v>
                </c:pt>
                <c:pt idx="3">
                  <c:v>Geographical</c:v>
                </c:pt>
                <c:pt idx="4">
                  <c:v>Food</c:v>
                </c:pt>
                <c:pt idx="5">
                  <c:v>Nature</c:v>
                </c:pt>
                <c:pt idx="6">
                  <c:v>Employment</c:v>
                </c:pt>
                <c:pt idx="7">
                  <c:v>Transportation</c:v>
                </c:pt>
                <c:pt idx="8">
                  <c:v>Culture</c:v>
                </c:pt>
              </c:strCache>
            </c:strRef>
          </c:cat>
          <c:val>
            <c:numRef>
              <c:f>'Analysis of Large Data'!$B$3:$B$11</c:f>
              <c:numCache>
                <c:formatCode>General</c:formatCode>
                <c:ptCount val="9"/>
                <c:pt idx="0">
                  <c:v>47</c:v>
                </c:pt>
                <c:pt idx="1">
                  <c:v>18</c:v>
                </c:pt>
                <c:pt idx="2">
                  <c:v>131</c:v>
                </c:pt>
                <c:pt idx="3">
                  <c:v>66</c:v>
                </c:pt>
                <c:pt idx="4">
                  <c:v>6</c:v>
                </c:pt>
                <c:pt idx="5">
                  <c:v>6</c:v>
                </c:pt>
                <c:pt idx="6">
                  <c:v>18</c:v>
                </c:pt>
                <c:pt idx="7">
                  <c:v>6</c:v>
                </c:pt>
                <c:pt idx="8">
                  <c:v>27</c:v>
                </c:pt>
              </c:numCache>
            </c:numRef>
          </c:val>
          <c:extLst>
            <c:ext xmlns:c16="http://schemas.microsoft.com/office/drawing/2014/chart" uri="{C3380CC4-5D6E-409C-BE32-E72D297353CC}">
              <c16:uniqueId val="{00000008-983D-B24B-9546-867F6AB7E77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GPT-3.5-Turbo Norwegian</a:t>
            </a:r>
            <a:r>
              <a:rPr lang="en-US" sz="1400" b="0" i="0" u="none" strike="noStrike" baseline="0"/>
              <a:t> </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AB-4740-8039-0B9E6A57AA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AB-4740-8039-0B9E6A57AA7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AB-4740-8039-0B9E6A57AA7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AB-4740-8039-0B9E6A57AA7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Data'!$AW$14:$AZ$14</c:f>
              <c:numCache>
                <c:formatCode>0.00%</c:formatCode>
                <c:ptCount val="4"/>
                <c:pt idx="0">
                  <c:v>4.9382716049382713E-2</c:v>
                </c:pt>
                <c:pt idx="1">
                  <c:v>1.2345679012345678E-2</c:v>
                </c:pt>
                <c:pt idx="2">
                  <c:v>3.7037037037037035E-2</c:v>
                </c:pt>
                <c:pt idx="3">
                  <c:v>0.90123456790123457</c:v>
                </c:pt>
              </c:numCache>
            </c:numRef>
          </c:val>
          <c:extLst>
            <c:ext xmlns:c16="http://schemas.microsoft.com/office/drawing/2014/chart" uri="{C3380CC4-5D6E-409C-BE32-E72D297353CC}">
              <c16:uniqueId val="{00000008-A0AB-4740-8039-0B9E6A57AA7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GPT-3.5-Turbo English</a:t>
            </a:r>
            <a:r>
              <a:rPr lang="en-US" sz="1400" b="0" i="0" u="none" strike="noStrike" baseline="0"/>
              <a:t> </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Data'!$BF$3:$BI$3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227-3042-AD81-15030AE945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227-3042-AD81-15030AE945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227-3042-AD81-15030AE945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227-3042-AD81-15030AE945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Data'!$BF$14:$BI$14</c:f>
              <c:numCache>
                <c:formatCode>0.00%</c:formatCode>
                <c:ptCount val="4"/>
                <c:pt idx="0">
                  <c:v>0.12037037037037036</c:v>
                </c:pt>
                <c:pt idx="1">
                  <c:v>4.6296296296296294E-2</c:v>
                </c:pt>
                <c:pt idx="2">
                  <c:v>4.3209876543209874E-2</c:v>
                </c:pt>
                <c:pt idx="3">
                  <c:v>0.79012345679012352</c:v>
                </c:pt>
              </c:numCache>
            </c:numRef>
          </c:val>
          <c:extLst>
            <c:ext xmlns:c16="http://schemas.microsoft.com/office/drawing/2014/chart" uri="{C3380CC4-5D6E-409C-BE32-E72D297353CC}">
              <c16:uniqueId val="{00000008-D227-3042-AD81-15030AE945A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GPT-4 Norwegian</a:t>
            </a:r>
            <a:r>
              <a:rPr lang="en-US" sz="1400" b="0" i="0" u="none" strike="noStrike" baseline="0"/>
              <a:t> </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F72-0847-9F10-53D40461C5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F72-0847-9F10-53D40461C5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72-0847-9F10-53D40461C57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F72-0847-9F10-53D40461C57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Data'!$BO$14:$BR$14</c:f>
              <c:numCache>
                <c:formatCode>0.00%</c:formatCode>
                <c:ptCount val="4"/>
                <c:pt idx="0">
                  <c:v>3.0864197530864196E-2</c:v>
                </c:pt>
                <c:pt idx="1">
                  <c:v>1.8518518518518517E-2</c:v>
                </c:pt>
                <c:pt idx="2">
                  <c:v>3.3950617283950615E-2</c:v>
                </c:pt>
                <c:pt idx="3">
                  <c:v>0.91666666666666663</c:v>
                </c:pt>
              </c:numCache>
            </c:numRef>
          </c:val>
          <c:extLst>
            <c:ext xmlns:c16="http://schemas.microsoft.com/office/drawing/2014/chart" uri="{C3380CC4-5D6E-409C-BE32-E72D297353CC}">
              <c16:uniqueId val="{00000008-4F72-0847-9F10-53D40461C57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GPT-4 English</a:t>
            </a:r>
            <a:r>
              <a:rPr lang="en-US" sz="1400" b="0" i="0" u="none" strike="noStrike" baseline="0"/>
              <a:t> </a:t>
            </a:r>
            <a:endParaRPr lang="en-US"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 of Large Data'!$L$3:$O$3</c:f>
              <c:strCache>
                <c:ptCount val="4"/>
                <c:pt idx="0">
                  <c:v>Wrong</c:v>
                </c:pt>
                <c:pt idx="1">
                  <c:v>US influenced</c:v>
                </c:pt>
                <c:pt idx="2">
                  <c:v>Unclear</c:v>
                </c:pt>
                <c:pt idx="3">
                  <c:v>Correct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7C-E44A-B73C-BC35DD902F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7C-E44A-B73C-BC35DD902F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7C-E44A-B73C-BC35DD902F8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7C-E44A-B73C-BC35DD902F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of Large Data'!$L$3:$O$3</c:f>
              <c:strCache>
                <c:ptCount val="4"/>
                <c:pt idx="0">
                  <c:v>Wrong</c:v>
                </c:pt>
                <c:pt idx="1">
                  <c:v>US influenced</c:v>
                </c:pt>
                <c:pt idx="2">
                  <c:v>Unclear</c:v>
                </c:pt>
                <c:pt idx="3">
                  <c:v>Correct</c:v>
                </c:pt>
              </c:strCache>
            </c:strRef>
          </c:cat>
          <c:val>
            <c:numRef>
              <c:f>'Analysis of Large Data'!$BX$14:$CA$14</c:f>
              <c:numCache>
                <c:formatCode>0.00%</c:formatCode>
                <c:ptCount val="4"/>
                <c:pt idx="0">
                  <c:v>8.3333333333333329E-2</c:v>
                </c:pt>
                <c:pt idx="1">
                  <c:v>6.1728395061728392E-2</c:v>
                </c:pt>
                <c:pt idx="2">
                  <c:v>5.2469135802469133E-2</c:v>
                </c:pt>
                <c:pt idx="3">
                  <c:v>0.80246913580246915</c:v>
                </c:pt>
              </c:numCache>
            </c:numRef>
          </c:val>
          <c:extLst>
            <c:ext xmlns:c16="http://schemas.microsoft.com/office/drawing/2014/chart" uri="{C3380CC4-5D6E-409C-BE32-E72D297353CC}">
              <c16:uniqueId val="{00000008-9B7C-E44A-B73C-BC35DD902F8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820967</xdr:colOff>
      <xdr:row>15</xdr:row>
      <xdr:rowOff>11792</xdr:rowOff>
    </xdr:from>
    <xdr:to>
      <xdr:col>14</xdr:col>
      <xdr:colOff>571500</xdr:colOff>
      <xdr:row>25</xdr:row>
      <xdr:rowOff>145143</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xdr:colOff>
      <xdr:row>15</xdr:row>
      <xdr:rowOff>0</xdr:rowOff>
    </xdr:from>
    <xdr:to>
      <xdr:col>23</xdr:col>
      <xdr:colOff>544286</xdr:colOff>
      <xdr:row>25</xdr:row>
      <xdr:rowOff>133351</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0</xdr:colOff>
      <xdr:row>15</xdr:row>
      <xdr:rowOff>9072</xdr:rowOff>
    </xdr:from>
    <xdr:to>
      <xdr:col>37</xdr:col>
      <xdr:colOff>27215</xdr:colOff>
      <xdr:row>25</xdr:row>
      <xdr:rowOff>142423</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36286</xdr:colOff>
      <xdr:row>15</xdr:row>
      <xdr:rowOff>9070</xdr:rowOff>
    </xdr:from>
    <xdr:to>
      <xdr:col>41</xdr:col>
      <xdr:colOff>802820</xdr:colOff>
      <xdr:row>25</xdr:row>
      <xdr:rowOff>142421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819727</xdr:colOff>
      <xdr:row>15</xdr:row>
      <xdr:rowOff>9072</xdr:rowOff>
    </xdr:from>
    <xdr:to>
      <xdr:col>84</xdr:col>
      <xdr:colOff>825499</xdr:colOff>
      <xdr:row>25</xdr:row>
      <xdr:rowOff>142423</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27215</xdr:colOff>
      <xdr:row>15</xdr:row>
      <xdr:rowOff>27214</xdr:rowOff>
    </xdr:from>
    <xdr:to>
      <xdr:col>24</xdr:col>
      <xdr:colOff>0</xdr:colOff>
      <xdr:row>25</xdr:row>
      <xdr:rowOff>160565</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27213</xdr:colOff>
      <xdr:row>14</xdr:row>
      <xdr:rowOff>154214</xdr:rowOff>
    </xdr:from>
    <xdr:to>
      <xdr:col>5</xdr:col>
      <xdr:colOff>725714</xdr:colOff>
      <xdr:row>45</xdr:row>
      <xdr:rowOff>117928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0</xdr:colOff>
      <xdr:row>15</xdr:row>
      <xdr:rowOff>23091</xdr:rowOff>
    </xdr:from>
    <xdr:to>
      <xdr:col>52</xdr:col>
      <xdr:colOff>0</xdr:colOff>
      <xdr:row>25</xdr:row>
      <xdr:rowOff>156442</xdr:rowOff>
    </xdr:to>
    <xdr:graphicFrame macro="">
      <xdr:nvGraphicFramePr>
        <xdr:cNvPr id="3" name="Chart 2">
          <a:extLst>
            <a:ext uri="{FF2B5EF4-FFF2-40B4-BE49-F238E27FC236}">
              <a16:creationId xmlns:a16="http://schemas.microsoft.com/office/drawing/2014/main" id="{F733F445-5706-7C45-8AC0-B7EA9B721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56</xdr:col>
      <xdr:colOff>34636</xdr:colOff>
      <xdr:row>15</xdr:row>
      <xdr:rowOff>11545</xdr:rowOff>
    </xdr:from>
    <xdr:to>
      <xdr:col>65</xdr:col>
      <xdr:colOff>11546</xdr:colOff>
      <xdr:row>25</xdr:row>
      <xdr:rowOff>144896</xdr:rowOff>
    </xdr:to>
    <xdr:graphicFrame macro="">
      <xdr:nvGraphicFramePr>
        <xdr:cNvPr id="4" name="Chart 3">
          <a:extLst>
            <a:ext uri="{FF2B5EF4-FFF2-40B4-BE49-F238E27FC236}">
              <a16:creationId xmlns:a16="http://schemas.microsoft.com/office/drawing/2014/main" id="{0A2F2C64-4018-0743-BAC9-FA00EAAD3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65</xdr:col>
      <xdr:colOff>23091</xdr:colOff>
      <xdr:row>15</xdr:row>
      <xdr:rowOff>23090</xdr:rowOff>
    </xdr:from>
    <xdr:to>
      <xdr:col>74</xdr:col>
      <xdr:colOff>23091</xdr:colOff>
      <xdr:row>25</xdr:row>
      <xdr:rowOff>156441</xdr:rowOff>
    </xdr:to>
    <xdr:graphicFrame macro="">
      <xdr:nvGraphicFramePr>
        <xdr:cNvPr id="5" name="Chart 4">
          <a:extLst>
            <a:ext uri="{FF2B5EF4-FFF2-40B4-BE49-F238E27FC236}">
              <a16:creationId xmlns:a16="http://schemas.microsoft.com/office/drawing/2014/main" id="{1E87FD07-D349-1D4A-BBD1-A263B2E7D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74</xdr:col>
      <xdr:colOff>23091</xdr:colOff>
      <xdr:row>15</xdr:row>
      <xdr:rowOff>11546</xdr:rowOff>
    </xdr:from>
    <xdr:to>
      <xdr:col>79</xdr:col>
      <xdr:colOff>34637</xdr:colOff>
      <xdr:row>25</xdr:row>
      <xdr:rowOff>144897</xdr:rowOff>
    </xdr:to>
    <xdr:graphicFrame macro="">
      <xdr:nvGraphicFramePr>
        <xdr:cNvPr id="6" name="Chart 5">
          <a:extLst>
            <a:ext uri="{FF2B5EF4-FFF2-40B4-BE49-F238E27FC236}">
              <a16:creationId xmlns:a16="http://schemas.microsoft.com/office/drawing/2014/main" id="{D2820EDF-F579-A045-8EB9-CD0DA683E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50800</xdr:rowOff>
        </xdr:from>
        <xdr:to>
          <xdr:col>1</xdr:col>
          <xdr:colOff>723900</xdr:colOff>
          <xdr:row>1</xdr:row>
          <xdr:rowOff>279400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Replace Special </a:t>
              </a:r>
            </a:p>
            <a:p>
              <a:pPr algn="ctr" rtl="0">
                <a:defRPr sz="1000"/>
              </a:pPr>
              <a:endParaRPr lang="en-US" sz="1200" b="0" i="0" u="none" strike="noStrike" baseline="0">
                <a:solidFill>
                  <a:srgbClr val="000000"/>
                </a:solidFill>
                <a:latin typeface="Aptos Narrow" charset="0"/>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benbaize/Downloads/Book1.xlsx" TargetMode="External"/><Relationship Id="rId1" Type="http://schemas.openxmlformats.org/officeDocument/2006/relationships/externalLinkPath" Target="/Users/benbaize/Downloads/Book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rwegian Identity Questions"/>
      <sheetName val="Sheet1"/>
      <sheetName val="Book1"/>
    </sheetNames>
    <definedNames>
      <definedName name="ReplaceSpecialCharactersAllSheets"/>
    </definedNames>
    <sheetDataSet>
      <sheetData sheetId="0"/>
      <sheetData sheetId="1"/>
      <sheetData sheetId="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orBLOOM-Large" connectionId="5" xr16:uid="{1B8E5C36-0F4F-9E43-BA55-98D18A103C3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ormistral-warm-large" connectionId="13" xr16:uid="{507210ED-7EA3-404E-BE5A-071DACBDB36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ormistral_warm_extra_1" connectionId="11" xr16:uid="{D8EA4A5F-8B45-ED4D-9ED7-D47F0B7B347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norBLOOMextra" connectionId="6" xr16:uid="{B6F22437-DFD6-2043-AD4C-C1767F2B2DBF}"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ormistral-warm-instruct-extra" connectionId="12" xr16:uid="{43AC9197-7438-3342-AE21-8484A20FDE3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gpt-4-qs" connectionId="2" xr16:uid="{D301582C-5363-C645-AC84-67816674B555}"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ormistral-scratch-large" connectionId="10" xr16:uid="{AFF000B9-C06F-5240-B44A-72C2408785A6}"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normistral-7b-instruct-large" connectionId="7" xr16:uid="{81B12B7C-E191-7046-9B13-4D94F0ABC9A2}"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normistral-scratch-extra" connectionId="9" xr16:uid="{BC7393F5-00B9-EF47-91FD-F22E6F213256}"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Bloom" connectionId="1" xr16:uid="{F818D33F-AC7B-8843-97AD-C4D15530AB3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nor mistral-7b-warm-instruct" connectionId="4" xr16:uid="{10A69685-1C85-B44D-B160-0EB914E49692}"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nor mistral-7b-scratch" connectionId="3" xr16:uid="{4CFB2709-1275-A84F-BB9B-B2FB6428262A}"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normistral-7b-warm" connectionId="8" xr16:uid="{1AE88AE2-62E1-A747-A394-46BEFD2B254F}"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queryTable" Target="../queryTables/queryTable1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queryTable" Target="../queryTables/queryTable12.xml"/><Relationship Id="rId5" Type="http://schemas.openxmlformats.org/officeDocument/2006/relationships/queryTable" Target="../queryTables/queryTable11.xml"/><Relationship Id="rId4"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0E586-D20D-E642-A59A-4013D3FE591B}">
  <sheetPr codeName="Sheet4"/>
  <dimension ref="A1:AA327"/>
  <sheetViews>
    <sheetView topLeftCell="M1" zoomScale="90" zoomScaleNormal="90" workbookViewId="0">
      <pane ySplit="2" topLeftCell="A3" activePane="bottomLeft" state="frozen"/>
      <selection pane="bottomLeft" activeCell="T221" sqref="T221"/>
    </sheetView>
  </sheetViews>
  <sheetFormatPr baseColWidth="10" defaultRowHeight="16"/>
  <cols>
    <col min="1" max="1" width="14.5" customWidth="1"/>
    <col min="4" max="4" width="12.83203125" customWidth="1"/>
    <col min="5" max="5" width="14.33203125" customWidth="1"/>
    <col min="6" max="6" width="44.33203125" style="9" customWidth="1"/>
    <col min="7" max="7" width="16" style="7" customWidth="1"/>
    <col min="8" max="8" width="80.6640625" style="7" hidden="1" customWidth="1"/>
    <col min="9" max="9" width="80.6640625" style="7" customWidth="1"/>
    <col min="10" max="10" width="80.6640625" style="7" hidden="1" customWidth="1"/>
    <col min="11" max="11" width="80.6640625" style="7" customWidth="1"/>
    <col min="12" max="12" width="80.6640625" style="7" hidden="1" customWidth="1"/>
    <col min="13" max="13" width="80.6640625" style="7" customWidth="1"/>
    <col min="14" max="14" width="80.6640625" style="7" hidden="1" customWidth="1"/>
    <col min="15" max="15" width="80.6640625" style="7" customWidth="1"/>
    <col min="16" max="16" width="48.83203125" style="7" hidden="1" customWidth="1"/>
    <col min="17" max="17" width="66.33203125" customWidth="1"/>
    <col min="18" max="18" width="57.5" style="7" customWidth="1"/>
    <col min="19" max="19" width="91" style="7" hidden="1" customWidth="1"/>
    <col min="20" max="20" width="50.6640625" style="7" customWidth="1"/>
    <col min="21" max="21" width="62.33203125" style="7" customWidth="1"/>
    <col min="22" max="22" width="80.6640625" style="7" bestFit="1" customWidth="1"/>
    <col min="23" max="23" width="67.5" style="7" customWidth="1"/>
    <col min="24" max="24" width="83.33203125" customWidth="1"/>
    <col min="25" max="25" width="16.83203125" bestFit="1" customWidth="1"/>
    <col min="26" max="26" width="6.5" bestFit="1" customWidth="1"/>
    <col min="27" max="27" width="29.83203125" bestFit="1" customWidth="1"/>
  </cols>
  <sheetData>
    <row r="1" spans="1:27" ht="17" customHeight="1">
      <c r="H1" s="75" t="s">
        <v>205</v>
      </c>
      <c r="I1" s="75"/>
      <c r="J1" s="74" t="s">
        <v>210</v>
      </c>
      <c r="K1" s="74"/>
      <c r="L1" s="73" t="s">
        <v>204</v>
      </c>
      <c r="M1" s="73"/>
      <c r="N1" s="72" t="s">
        <v>211</v>
      </c>
      <c r="O1" s="72"/>
      <c r="P1" s="66" t="s">
        <v>3012</v>
      </c>
      <c r="Q1" s="66"/>
      <c r="R1" s="66"/>
      <c r="S1" s="67" t="s">
        <v>3013</v>
      </c>
      <c r="T1" s="67"/>
      <c r="U1" s="67"/>
    </row>
    <row r="2" spans="1:27" ht="17">
      <c r="A2" s="68" t="s">
        <v>1670</v>
      </c>
      <c r="B2" s="69"/>
      <c r="C2" s="16"/>
      <c r="D2" s="8" t="s">
        <v>103</v>
      </c>
      <c r="E2" s="8" t="s">
        <v>104</v>
      </c>
      <c r="F2" s="8" t="s">
        <v>33</v>
      </c>
      <c r="G2" s="10" t="s">
        <v>0</v>
      </c>
      <c r="H2" s="10" t="s">
        <v>189</v>
      </c>
      <c r="I2" s="10" t="s">
        <v>190</v>
      </c>
      <c r="J2" s="10" t="s">
        <v>189</v>
      </c>
      <c r="K2" s="10" t="s">
        <v>190</v>
      </c>
      <c r="L2" s="10" t="s">
        <v>189</v>
      </c>
      <c r="M2" s="10" t="s">
        <v>190</v>
      </c>
      <c r="N2" s="10" t="s">
        <v>189</v>
      </c>
      <c r="O2" s="10" t="s">
        <v>190</v>
      </c>
      <c r="P2" s="10" t="s">
        <v>189</v>
      </c>
      <c r="Q2" s="10" t="s">
        <v>3632</v>
      </c>
      <c r="R2" s="10" t="s">
        <v>190</v>
      </c>
      <c r="S2" s="10" t="s">
        <v>189</v>
      </c>
      <c r="T2" s="10" t="s">
        <v>3632</v>
      </c>
      <c r="U2" s="10" t="s">
        <v>190</v>
      </c>
    </row>
    <row r="3" spans="1:27" ht="85">
      <c r="A3" s="11" t="s">
        <v>105</v>
      </c>
      <c r="B3" s="12">
        <f>COUNTIF(E:E, "History")</f>
        <v>47</v>
      </c>
      <c r="D3" t="s">
        <v>1666</v>
      </c>
      <c r="E3" t="s">
        <v>105</v>
      </c>
      <c r="F3" s="9" t="s">
        <v>21</v>
      </c>
      <c r="G3" s="38" t="s">
        <v>573</v>
      </c>
      <c r="H3" s="7" t="s">
        <v>254</v>
      </c>
      <c r="I3" s="7" t="s">
        <v>1818</v>
      </c>
      <c r="J3" s="7" t="s">
        <v>129</v>
      </c>
      <c r="K3" s="7" t="s">
        <v>2088</v>
      </c>
      <c r="L3" s="7" t="s">
        <v>230</v>
      </c>
      <c r="M3" s="7" t="s">
        <v>2342</v>
      </c>
      <c r="N3" s="7" t="s">
        <v>231</v>
      </c>
      <c r="O3" s="7" t="s">
        <v>2582</v>
      </c>
      <c r="P3" s="38" t="s">
        <v>3105</v>
      </c>
      <c r="Q3" s="7" t="s">
        <v>3664</v>
      </c>
      <c r="R3" s="7" t="s">
        <v>4552</v>
      </c>
      <c r="S3" s="7" t="s">
        <v>3422</v>
      </c>
      <c r="T3" s="7" t="s">
        <v>3967</v>
      </c>
      <c r="U3" s="7" t="s">
        <v>4269</v>
      </c>
      <c r="AA3" s="9" t="s">
        <v>2880</v>
      </c>
    </row>
    <row r="4" spans="1:27" ht="89">
      <c r="A4" s="11" t="s">
        <v>109</v>
      </c>
      <c r="B4" s="12">
        <f>COUNTIF(E:E, "Education")</f>
        <v>18</v>
      </c>
      <c r="D4" t="s">
        <v>1666</v>
      </c>
      <c r="E4" t="s">
        <v>105</v>
      </c>
      <c r="F4" s="9" t="s">
        <v>322</v>
      </c>
      <c r="G4" s="38" t="s">
        <v>574</v>
      </c>
      <c r="H4" s="7" t="s">
        <v>889</v>
      </c>
      <c r="I4" s="7" t="s">
        <v>1819</v>
      </c>
      <c r="J4" s="7" t="s">
        <v>1032</v>
      </c>
      <c r="K4" s="7" t="s">
        <v>2089</v>
      </c>
      <c r="L4" s="7" t="s">
        <v>1288</v>
      </c>
      <c r="M4" s="7" t="s">
        <v>2343</v>
      </c>
      <c r="N4" s="7" t="s">
        <v>1506</v>
      </c>
      <c r="O4" s="7" t="s">
        <v>2583</v>
      </c>
      <c r="P4" s="38" t="s">
        <v>3038</v>
      </c>
      <c r="Q4" s="7" t="s">
        <v>3665</v>
      </c>
      <c r="R4" s="7" t="s">
        <v>4553</v>
      </c>
      <c r="S4" s="7" t="s">
        <v>3547</v>
      </c>
      <c r="T4" s="7" t="s">
        <v>3968</v>
      </c>
      <c r="U4" s="7" t="s">
        <v>4270</v>
      </c>
      <c r="AA4" s="21" t="s">
        <v>2883</v>
      </c>
    </row>
    <row r="5" spans="1:27" ht="89">
      <c r="A5" s="11" t="s">
        <v>106</v>
      </c>
      <c r="B5" s="12">
        <f>COUNTIF(E:E, "Legal")</f>
        <v>131</v>
      </c>
      <c r="D5" t="s">
        <v>1666</v>
      </c>
      <c r="E5" t="s">
        <v>105</v>
      </c>
      <c r="F5" s="9" t="s">
        <v>323</v>
      </c>
      <c r="G5" s="38" t="s">
        <v>575</v>
      </c>
      <c r="H5" s="7" t="s">
        <v>890</v>
      </c>
      <c r="I5" s="7" t="s">
        <v>1820</v>
      </c>
      <c r="J5" s="7" t="s">
        <v>1033</v>
      </c>
      <c r="K5" s="7" t="s">
        <v>2090</v>
      </c>
      <c r="L5" s="7" t="s">
        <v>1229</v>
      </c>
      <c r="M5" s="7" t="s">
        <v>2319</v>
      </c>
      <c r="N5" s="7" t="s">
        <v>1597</v>
      </c>
      <c r="O5" s="7" t="s">
        <v>2584</v>
      </c>
      <c r="P5" s="38" t="s">
        <v>3014</v>
      </c>
      <c r="Q5" s="7" t="s">
        <v>3666</v>
      </c>
      <c r="R5" s="7" t="s">
        <v>4554</v>
      </c>
      <c r="S5" s="7" t="s">
        <v>3548</v>
      </c>
      <c r="T5" s="7" t="s">
        <v>3969</v>
      </c>
      <c r="U5" s="7" t="s">
        <v>4527</v>
      </c>
      <c r="AA5" s="22" t="s">
        <v>2882</v>
      </c>
    </row>
    <row r="6" spans="1:27" ht="72">
      <c r="A6" s="11" t="s">
        <v>1663</v>
      </c>
      <c r="B6" s="12">
        <f>COUNTIF(E:E, "Geographical")</f>
        <v>66</v>
      </c>
      <c r="D6" t="s">
        <v>1666</v>
      </c>
      <c r="E6" t="s">
        <v>105</v>
      </c>
      <c r="F6" s="9" t="s">
        <v>324</v>
      </c>
      <c r="G6" s="38" t="s">
        <v>576</v>
      </c>
      <c r="H6" s="7" t="s">
        <v>830</v>
      </c>
      <c r="I6" s="7" t="s">
        <v>1821</v>
      </c>
      <c r="J6" s="7" t="s">
        <v>1034</v>
      </c>
      <c r="K6" s="7" t="s">
        <v>2091</v>
      </c>
      <c r="L6" s="7" t="s">
        <v>1230</v>
      </c>
      <c r="M6" s="7" t="s">
        <v>2344</v>
      </c>
      <c r="N6" s="7" t="s">
        <v>1507</v>
      </c>
      <c r="O6" s="7" t="s">
        <v>2585</v>
      </c>
      <c r="P6" s="65" t="s">
        <v>3039</v>
      </c>
      <c r="Q6" s="7" t="s">
        <v>3667</v>
      </c>
      <c r="R6" s="19" t="s">
        <v>4555</v>
      </c>
      <c r="S6" s="7" t="s">
        <v>3343</v>
      </c>
      <c r="T6" s="7" t="s">
        <v>3970</v>
      </c>
      <c r="U6" s="20" t="s">
        <v>4271</v>
      </c>
      <c r="AA6" s="23" t="s">
        <v>2881</v>
      </c>
    </row>
    <row r="7" spans="1:27" ht="106">
      <c r="A7" s="11" t="s">
        <v>107</v>
      </c>
      <c r="B7" s="12">
        <f>COUNTIF(E:E, "Food")</f>
        <v>6</v>
      </c>
      <c r="D7" t="s">
        <v>1666</v>
      </c>
      <c r="E7" t="s">
        <v>105</v>
      </c>
      <c r="F7" s="9" t="s">
        <v>325</v>
      </c>
      <c r="G7" s="38" t="s">
        <v>577</v>
      </c>
      <c r="H7" s="7" t="s">
        <v>831</v>
      </c>
      <c r="I7" s="7" t="s">
        <v>1822</v>
      </c>
      <c r="J7" s="7" t="s">
        <v>1035</v>
      </c>
      <c r="K7" s="7" t="s">
        <v>2092</v>
      </c>
      <c r="L7" s="7" t="s">
        <v>1336</v>
      </c>
      <c r="M7" s="7" t="s">
        <v>2345</v>
      </c>
      <c r="N7" s="7" t="s">
        <v>1462</v>
      </c>
      <c r="O7" s="7" t="s">
        <v>2586</v>
      </c>
      <c r="P7" s="7" t="s">
        <v>3040</v>
      </c>
      <c r="Q7" s="7" t="s">
        <v>3668</v>
      </c>
      <c r="R7" s="19" t="s">
        <v>4556</v>
      </c>
      <c r="S7" s="7" t="s">
        <v>3604</v>
      </c>
      <c r="T7" s="7" t="s">
        <v>3971</v>
      </c>
      <c r="U7" s="20" t="s">
        <v>4272</v>
      </c>
      <c r="AA7" s="24" t="s">
        <v>2879</v>
      </c>
    </row>
    <row r="8" spans="1:27" ht="85">
      <c r="A8" s="11" t="s">
        <v>1664</v>
      </c>
      <c r="B8" s="12">
        <f>COUNTIF(E:E, "Nature")</f>
        <v>6</v>
      </c>
      <c r="D8" t="s">
        <v>1666</v>
      </c>
      <c r="E8" t="s">
        <v>105</v>
      </c>
      <c r="F8" s="9" t="s">
        <v>326</v>
      </c>
      <c r="G8" s="38" t="s">
        <v>578</v>
      </c>
      <c r="H8" s="7" t="s">
        <v>994</v>
      </c>
      <c r="I8" s="7" t="s">
        <v>1823</v>
      </c>
      <c r="J8" s="7" t="s">
        <v>1036</v>
      </c>
      <c r="K8" s="7" t="s">
        <v>2093</v>
      </c>
      <c r="L8" s="7" t="s">
        <v>1229</v>
      </c>
      <c r="M8" s="7" t="s">
        <v>2319</v>
      </c>
      <c r="N8" s="7" t="s">
        <v>1598</v>
      </c>
      <c r="O8" s="7" t="s">
        <v>2587</v>
      </c>
      <c r="P8" s="7" t="s">
        <v>3106</v>
      </c>
      <c r="Q8" s="7" t="s">
        <v>3669</v>
      </c>
      <c r="R8" s="7" t="s">
        <v>4557</v>
      </c>
      <c r="S8" s="7" t="s">
        <v>3549</v>
      </c>
      <c r="T8" s="7" t="s">
        <v>3972</v>
      </c>
      <c r="U8" s="7" t="s">
        <v>4273</v>
      </c>
    </row>
    <row r="9" spans="1:27" ht="68">
      <c r="A9" s="11" t="s">
        <v>110</v>
      </c>
      <c r="B9" s="12">
        <f>COUNTIF(E:E, "Employment")</f>
        <v>18</v>
      </c>
      <c r="D9" t="s">
        <v>1667</v>
      </c>
      <c r="E9" t="s">
        <v>105</v>
      </c>
      <c r="F9" s="9" t="s">
        <v>22</v>
      </c>
      <c r="G9" s="38" t="s">
        <v>579</v>
      </c>
      <c r="H9" s="7" t="s">
        <v>191</v>
      </c>
      <c r="I9" s="19" t="s">
        <v>1824</v>
      </c>
      <c r="J9" s="7" t="s">
        <v>130</v>
      </c>
      <c r="K9" s="19" t="s">
        <v>2094</v>
      </c>
      <c r="L9" s="7" t="s">
        <v>212</v>
      </c>
      <c r="M9" s="7" t="s">
        <v>2346</v>
      </c>
      <c r="N9" s="7" t="s">
        <v>303</v>
      </c>
      <c r="O9" s="7" t="s">
        <v>2588</v>
      </c>
      <c r="P9" s="7" t="s">
        <v>3041</v>
      </c>
      <c r="Q9" s="18" t="s">
        <v>3670</v>
      </c>
      <c r="R9" s="18" t="s">
        <v>3633</v>
      </c>
      <c r="S9" s="7" t="s">
        <v>3344</v>
      </c>
      <c r="T9" s="18" t="s">
        <v>3973</v>
      </c>
      <c r="U9" s="18" t="s">
        <v>3633</v>
      </c>
    </row>
    <row r="10" spans="1:27" ht="68">
      <c r="A10" s="11" t="s">
        <v>108</v>
      </c>
      <c r="B10" s="12">
        <f>COUNTIF(E:E, "Transportation")</f>
        <v>6</v>
      </c>
      <c r="D10" t="s">
        <v>1667</v>
      </c>
      <c r="E10" t="s">
        <v>105</v>
      </c>
      <c r="F10" s="9" t="s">
        <v>327</v>
      </c>
      <c r="G10" s="38" t="s">
        <v>580</v>
      </c>
      <c r="H10" s="7" t="s">
        <v>832</v>
      </c>
      <c r="I10" s="19" t="s">
        <v>1825</v>
      </c>
      <c r="J10" s="7" t="s">
        <v>1037</v>
      </c>
      <c r="K10" s="19" t="s">
        <v>2095</v>
      </c>
      <c r="L10" s="7" t="s">
        <v>1231</v>
      </c>
      <c r="M10" s="18" t="s">
        <v>2347</v>
      </c>
      <c r="N10" s="7" t="s">
        <v>1599</v>
      </c>
      <c r="O10" s="18" t="s">
        <v>2589</v>
      </c>
      <c r="P10" s="7" t="s">
        <v>3042</v>
      </c>
      <c r="Q10" s="18" t="s">
        <v>3671</v>
      </c>
      <c r="R10" s="18" t="s">
        <v>3634</v>
      </c>
      <c r="S10" s="7" t="s">
        <v>3345</v>
      </c>
      <c r="T10" s="18" t="s">
        <v>3974</v>
      </c>
      <c r="U10" s="18" t="s">
        <v>4274</v>
      </c>
    </row>
    <row r="11" spans="1:27" ht="68">
      <c r="A11" s="11" t="s">
        <v>1662</v>
      </c>
      <c r="B11" s="12">
        <f>COUNTIF(E:E, "Culture")</f>
        <v>27</v>
      </c>
      <c r="D11" t="s">
        <v>1667</v>
      </c>
      <c r="E11" t="s">
        <v>105</v>
      </c>
      <c r="F11" s="9" t="s">
        <v>328</v>
      </c>
      <c r="G11" s="38" t="s">
        <v>581</v>
      </c>
      <c r="H11" s="7" t="s">
        <v>68</v>
      </c>
      <c r="I11" s="7" t="s">
        <v>1826</v>
      </c>
      <c r="J11" s="7" t="s">
        <v>1137</v>
      </c>
      <c r="K11" s="18" t="s">
        <v>2096</v>
      </c>
      <c r="L11" s="7" t="s">
        <v>1232</v>
      </c>
      <c r="M11" s="19" t="s">
        <v>2348</v>
      </c>
      <c r="N11" s="7" t="s">
        <v>303</v>
      </c>
      <c r="O11" s="18" t="s">
        <v>2588</v>
      </c>
      <c r="P11" s="7" t="s">
        <v>3228</v>
      </c>
      <c r="Q11" s="18" t="s">
        <v>3672</v>
      </c>
      <c r="R11" s="18" t="s">
        <v>3634</v>
      </c>
      <c r="S11" s="7" t="s">
        <v>3346</v>
      </c>
      <c r="T11" s="18" t="s">
        <v>3975</v>
      </c>
      <c r="U11" s="18" t="s">
        <v>3634</v>
      </c>
    </row>
    <row r="12" spans="1:27" ht="68">
      <c r="A12" s="13" t="s">
        <v>1665</v>
      </c>
      <c r="B12" s="14">
        <f>SUM(B3:B11)</f>
        <v>325</v>
      </c>
      <c r="D12" t="s">
        <v>1667</v>
      </c>
      <c r="E12" t="s">
        <v>105</v>
      </c>
      <c r="F12" s="9" t="s">
        <v>329</v>
      </c>
      <c r="G12" s="38" t="s">
        <v>582</v>
      </c>
      <c r="H12" s="7" t="s">
        <v>833</v>
      </c>
      <c r="I12" s="19" t="s">
        <v>1827</v>
      </c>
      <c r="J12" s="7" t="s">
        <v>1038</v>
      </c>
      <c r="K12" s="19" t="s">
        <v>2097</v>
      </c>
      <c r="L12" s="7" t="s">
        <v>1233</v>
      </c>
      <c r="M12" s="19" t="s">
        <v>2349</v>
      </c>
      <c r="N12" s="7" t="s">
        <v>1600</v>
      </c>
      <c r="O12" s="18" t="s">
        <v>2590</v>
      </c>
      <c r="P12" s="7" t="s">
        <v>3043</v>
      </c>
      <c r="Q12" s="20" t="s">
        <v>3673</v>
      </c>
      <c r="R12" s="18" t="s">
        <v>3633</v>
      </c>
      <c r="S12" s="7" t="s">
        <v>3347</v>
      </c>
      <c r="T12" s="18" t="s">
        <v>3976</v>
      </c>
      <c r="U12" s="18" t="s">
        <v>3633</v>
      </c>
    </row>
    <row r="13" spans="1:27" ht="51">
      <c r="D13" t="s">
        <v>1667</v>
      </c>
      <c r="E13" t="s">
        <v>105</v>
      </c>
      <c r="F13" s="9" t="s">
        <v>330</v>
      </c>
      <c r="G13" s="38" t="s">
        <v>583</v>
      </c>
      <c r="H13" s="7" t="s">
        <v>891</v>
      </c>
      <c r="I13" s="19" t="s">
        <v>1828</v>
      </c>
      <c r="J13" s="7" t="s">
        <v>1138</v>
      </c>
      <c r="K13" s="18" t="s">
        <v>2096</v>
      </c>
      <c r="L13" s="7" t="s">
        <v>212</v>
      </c>
      <c r="M13" s="19" t="s">
        <v>2346</v>
      </c>
      <c r="N13" s="7" t="s">
        <v>1463</v>
      </c>
      <c r="O13" s="18" t="s">
        <v>2591</v>
      </c>
      <c r="P13" s="7" t="s">
        <v>3229</v>
      </c>
      <c r="Q13" s="18" t="s">
        <v>3672</v>
      </c>
      <c r="R13" s="18" t="s">
        <v>3633</v>
      </c>
      <c r="S13" s="7" t="s">
        <v>3348</v>
      </c>
      <c r="T13" s="18" t="s">
        <v>3977</v>
      </c>
      <c r="U13" s="18" t="s">
        <v>3648</v>
      </c>
    </row>
    <row r="14" spans="1:27" ht="68">
      <c r="A14" s="70" t="s">
        <v>103</v>
      </c>
      <c r="B14" s="71"/>
      <c r="C14" s="17"/>
      <c r="D14" t="s">
        <v>1667</v>
      </c>
      <c r="E14" t="s">
        <v>105</v>
      </c>
      <c r="F14" s="9" t="s">
        <v>331</v>
      </c>
      <c r="G14" s="38" t="s">
        <v>584</v>
      </c>
      <c r="H14" s="7" t="s">
        <v>832</v>
      </c>
      <c r="I14" s="19" t="s">
        <v>1825</v>
      </c>
      <c r="J14" s="7" t="s">
        <v>1039</v>
      </c>
      <c r="K14" s="19" t="s">
        <v>2098</v>
      </c>
      <c r="L14" s="7" t="s">
        <v>1231</v>
      </c>
      <c r="M14" s="18" t="s">
        <v>2347</v>
      </c>
      <c r="N14" s="7" t="s">
        <v>1601</v>
      </c>
      <c r="O14" s="18" t="s">
        <v>2592</v>
      </c>
      <c r="P14" s="7" t="s">
        <v>3044</v>
      </c>
      <c r="Q14" s="20" t="s">
        <v>3674</v>
      </c>
      <c r="R14" s="18" t="s">
        <v>3633</v>
      </c>
      <c r="S14" s="7" t="s">
        <v>3322</v>
      </c>
      <c r="T14" s="18" t="s">
        <v>3978</v>
      </c>
      <c r="U14" s="18" t="s">
        <v>3633</v>
      </c>
    </row>
    <row r="15" spans="1:27" ht="68">
      <c r="A15" s="11" t="s">
        <v>1667</v>
      </c>
      <c r="B15" s="12">
        <f>COUNTIF(D:D,"High")</f>
        <v>278</v>
      </c>
      <c r="D15" t="s">
        <v>1667</v>
      </c>
      <c r="E15" t="s">
        <v>106</v>
      </c>
      <c r="F15" s="9" t="s">
        <v>23</v>
      </c>
      <c r="G15" s="38" t="s">
        <v>3</v>
      </c>
      <c r="H15" s="7" t="s">
        <v>232</v>
      </c>
      <c r="I15" s="7" t="s">
        <v>1829</v>
      </c>
      <c r="J15" s="7" t="s">
        <v>146</v>
      </c>
      <c r="K15" s="7" t="s">
        <v>177</v>
      </c>
      <c r="L15" s="7" t="s">
        <v>255</v>
      </c>
      <c r="M15" s="7" t="s">
        <v>2350</v>
      </c>
      <c r="N15" s="7" t="s">
        <v>256</v>
      </c>
      <c r="O15" s="7" t="s">
        <v>2593</v>
      </c>
      <c r="P15" s="7" t="s">
        <v>3107</v>
      </c>
      <c r="Q15" s="7" t="s">
        <v>3675</v>
      </c>
      <c r="R15" s="18" t="s">
        <v>4558</v>
      </c>
      <c r="S15" s="7" t="s">
        <v>3349</v>
      </c>
      <c r="T15" s="7" t="s">
        <v>3979</v>
      </c>
      <c r="U15" s="7" t="s">
        <v>4275</v>
      </c>
    </row>
    <row r="16" spans="1:27" ht="68">
      <c r="A16" s="11" t="s">
        <v>1669</v>
      </c>
      <c r="B16" s="12">
        <f>COUNTIF(D:D,"Medium")</f>
        <v>18</v>
      </c>
      <c r="D16" t="s">
        <v>1667</v>
      </c>
      <c r="E16" t="s">
        <v>106</v>
      </c>
      <c r="F16" s="9" t="s">
        <v>332</v>
      </c>
      <c r="G16" s="38" t="s">
        <v>585</v>
      </c>
      <c r="H16" s="7" t="s">
        <v>995</v>
      </c>
      <c r="I16" s="7" t="s">
        <v>1830</v>
      </c>
      <c r="J16" s="7" t="s">
        <v>1202</v>
      </c>
      <c r="K16" s="7" t="s">
        <v>2099</v>
      </c>
      <c r="L16" s="7" t="s">
        <v>1289</v>
      </c>
      <c r="M16" s="7" t="s">
        <v>2351</v>
      </c>
      <c r="N16" s="7" t="s">
        <v>1464</v>
      </c>
      <c r="O16" s="7" t="s">
        <v>2594</v>
      </c>
      <c r="P16" s="7" t="s">
        <v>3108</v>
      </c>
      <c r="Q16" s="7" t="s">
        <v>3676</v>
      </c>
      <c r="R16" s="7" t="s">
        <v>4559</v>
      </c>
      <c r="S16" s="7" t="s">
        <v>3423</v>
      </c>
      <c r="T16" s="7" t="s">
        <v>3980</v>
      </c>
      <c r="U16" s="7" t="s">
        <v>4276</v>
      </c>
    </row>
    <row r="17" spans="1:21" ht="68">
      <c r="A17" s="11" t="s">
        <v>1666</v>
      </c>
      <c r="B17" s="12">
        <f>COUNTIF(D:D,"Low")</f>
        <v>29</v>
      </c>
      <c r="D17" t="s">
        <v>1667</v>
      </c>
      <c r="E17" t="s">
        <v>106</v>
      </c>
      <c r="F17" s="9" t="s">
        <v>333</v>
      </c>
      <c r="G17" s="38" t="s">
        <v>586</v>
      </c>
      <c r="H17" s="7" t="s">
        <v>892</v>
      </c>
      <c r="I17" s="7" t="s">
        <v>1831</v>
      </c>
      <c r="J17" s="7" t="s">
        <v>1139</v>
      </c>
      <c r="K17" s="7" t="s">
        <v>2100</v>
      </c>
      <c r="L17" s="7" t="s">
        <v>1337</v>
      </c>
      <c r="M17" s="7" t="s">
        <v>2352</v>
      </c>
      <c r="N17" s="7" t="s">
        <v>1602</v>
      </c>
      <c r="O17" s="18" t="s">
        <v>2595</v>
      </c>
      <c r="P17" s="7" t="s">
        <v>3109</v>
      </c>
      <c r="Q17" s="7" t="s">
        <v>3677</v>
      </c>
      <c r="R17" s="7" t="s">
        <v>4560</v>
      </c>
      <c r="S17" s="7" t="s">
        <v>3350</v>
      </c>
      <c r="T17" s="7" t="s">
        <v>3981</v>
      </c>
      <c r="U17" s="7" t="s">
        <v>4277</v>
      </c>
    </row>
    <row r="18" spans="1:21" ht="68">
      <c r="A18" s="13" t="s">
        <v>1665</v>
      </c>
      <c r="B18" s="14">
        <f>SUM(B15:B17)</f>
        <v>325</v>
      </c>
      <c r="D18" t="s">
        <v>1667</v>
      </c>
      <c r="E18" t="s">
        <v>106</v>
      </c>
      <c r="F18" s="9" t="s">
        <v>334</v>
      </c>
      <c r="G18" s="38" t="s">
        <v>587</v>
      </c>
      <c r="H18" s="7" t="s">
        <v>950</v>
      </c>
      <c r="I18" s="7" t="s">
        <v>1832</v>
      </c>
      <c r="J18" s="7" t="s">
        <v>1091</v>
      </c>
      <c r="K18" s="7" t="s">
        <v>2101</v>
      </c>
      <c r="L18" s="7" t="s">
        <v>1290</v>
      </c>
      <c r="M18" s="7" t="s">
        <v>2353</v>
      </c>
      <c r="N18" s="7" t="s">
        <v>1508</v>
      </c>
      <c r="O18" s="18" t="s">
        <v>2596</v>
      </c>
      <c r="P18" s="7" t="s">
        <v>3045</v>
      </c>
      <c r="Q18" s="7" t="s">
        <v>3678</v>
      </c>
      <c r="R18" s="18" t="s">
        <v>4561</v>
      </c>
      <c r="S18" s="7" t="s">
        <v>3351</v>
      </c>
      <c r="T18" s="7" t="s">
        <v>3982</v>
      </c>
      <c r="U18" s="7" t="s">
        <v>4278</v>
      </c>
    </row>
    <row r="19" spans="1:21" ht="68">
      <c r="D19" t="s">
        <v>1667</v>
      </c>
      <c r="E19" t="s">
        <v>106</v>
      </c>
      <c r="F19" s="9" t="s">
        <v>335</v>
      </c>
      <c r="G19" s="38" t="s">
        <v>588</v>
      </c>
      <c r="H19" s="7" t="s">
        <v>893</v>
      </c>
      <c r="I19" s="20" t="s">
        <v>1833</v>
      </c>
      <c r="J19" s="7" t="s">
        <v>1140</v>
      </c>
      <c r="K19" s="7" t="s">
        <v>2102</v>
      </c>
      <c r="L19" s="7" t="s">
        <v>1291</v>
      </c>
      <c r="M19" s="7" t="s">
        <v>2354</v>
      </c>
      <c r="N19" s="7" t="s">
        <v>1509</v>
      </c>
      <c r="O19" s="7" t="s">
        <v>2597</v>
      </c>
      <c r="P19" s="7" t="s">
        <v>3230</v>
      </c>
      <c r="Q19" s="7" t="s">
        <v>3679</v>
      </c>
      <c r="R19" s="7" t="s">
        <v>4562</v>
      </c>
      <c r="S19" s="7" t="s">
        <v>3352</v>
      </c>
      <c r="T19" s="7" t="s">
        <v>3983</v>
      </c>
      <c r="U19" s="7" t="s">
        <v>4279</v>
      </c>
    </row>
    <row r="20" spans="1:21" ht="68">
      <c r="D20" t="s">
        <v>1667</v>
      </c>
      <c r="E20" t="s">
        <v>106</v>
      </c>
      <c r="F20" s="9" t="s">
        <v>336</v>
      </c>
      <c r="G20" s="38" t="s">
        <v>589</v>
      </c>
      <c r="H20" s="7" t="s">
        <v>75</v>
      </c>
      <c r="I20" s="7" t="s">
        <v>1834</v>
      </c>
      <c r="J20" s="7" t="s">
        <v>1092</v>
      </c>
      <c r="K20" s="7" t="s">
        <v>2103</v>
      </c>
      <c r="L20" s="7" t="s">
        <v>1292</v>
      </c>
      <c r="M20" s="7" t="s">
        <v>2355</v>
      </c>
      <c r="N20" s="7" t="s">
        <v>1510</v>
      </c>
      <c r="O20" s="7" t="s">
        <v>2598</v>
      </c>
      <c r="P20" s="7" t="s">
        <v>3230</v>
      </c>
      <c r="Q20" s="7" t="s">
        <v>3679</v>
      </c>
      <c r="R20" s="7" t="s">
        <v>4563</v>
      </c>
      <c r="S20" s="7" t="s">
        <v>3423</v>
      </c>
      <c r="T20" s="7" t="s">
        <v>3980</v>
      </c>
      <c r="U20" s="7" t="s">
        <v>4280</v>
      </c>
    </row>
    <row r="21" spans="1:21" ht="85">
      <c r="D21" t="s">
        <v>1667</v>
      </c>
      <c r="E21" t="s">
        <v>106</v>
      </c>
      <c r="F21" s="9" t="s">
        <v>24</v>
      </c>
      <c r="G21" s="38" t="s">
        <v>590</v>
      </c>
      <c r="H21" s="7" t="s">
        <v>257</v>
      </c>
      <c r="I21" s="7" t="s">
        <v>1835</v>
      </c>
      <c r="J21" s="7" t="s">
        <v>155</v>
      </c>
      <c r="K21" s="7" t="s">
        <v>2104</v>
      </c>
      <c r="L21" s="7" t="s">
        <v>213</v>
      </c>
      <c r="M21" s="7" t="s">
        <v>2356</v>
      </c>
      <c r="N21" s="7" t="s">
        <v>258</v>
      </c>
      <c r="O21" s="18" t="s">
        <v>2599</v>
      </c>
      <c r="P21" s="7" t="s">
        <v>3231</v>
      </c>
      <c r="Q21" s="7" t="s">
        <v>3680</v>
      </c>
      <c r="R21" s="7" t="s">
        <v>4564</v>
      </c>
      <c r="S21" s="7" t="s">
        <v>3424</v>
      </c>
      <c r="T21" s="7" t="s">
        <v>3984</v>
      </c>
      <c r="U21" s="7" t="s">
        <v>4281</v>
      </c>
    </row>
    <row r="22" spans="1:21" ht="85">
      <c r="D22" t="s">
        <v>1667</v>
      </c>
      <c r="E22" t="s">
        <v>106</v>
      </c>
      <c r="F22" s="9" t="s">
        <v>337</v>
      </c>
      <c r="G22" s="38" t="s">
        <v>591</v>
      </c>
      <c r="H22" s="7" t="s">
        <v>1025</v>
      </c>
      <c r="I22" s="7" t="s">
        <v>1836</v>
      </c>
      <c r="J22" s="7" t="s">
        <v>1141</v>
      </c>
      <c r="K22" s="18" t="s">
        <v>2105</v>
      </c>
      <c r="L22" s="7" t="s">
        <v>1338</v>
      </c>
      <c r="M22" s="7" t="s">
        <v>2357</v>
      </c>
      <c r="N22" s="7" t="s">
        <v>1603</v>
      </c>
      <c r="O22" s="7" t="s">
        <v>2600</v>
      </c>
      <c r="P22" s="7" t="s">
        <v>3232</v>
      </c>
      <c r="Q22" s="19" t="s">
        <v>3681</v>
      </c>
      <c r="R22" s="7" t="s">
        <v>4565</v>
      </c>
      <c r="S22" s="7" t="s">
        <v>3550</v>
      </c>
      <c r="T22" s="7" t="s">
        <v>3985</v>
      </c>
      <c r="U22" s="7" t="s">
        <v>4282</v>
      </c>
    </row>
    <row r="23" spans="1:21" ht="85">
      <c r="D23" t="s">
        <v>1667</v>
      </c>
      <c r="E23" t="s">
        <v>106</v>
      </c>
      <c r="F23" s="9" t="s">
        <v>338</v>
      </c>
      <c r="G23" s="38" t="s">
        <v>592</v>
      </c>
      <c r="H23" s="7" t="s">
        <v>1026</v>
      </c>
      <c r="I23" s="7" t="s">
        <v>1837</v>
      </c>
      <c r="J23" s="7" t="s">
        <v>1142</v>
      </c>
      <c r="K23" s="18" t="s">
        <v>2106</v>
      </c>
      <c r="L23" s="7" t="s">
        <v>1339</v>
      </c>
      <c r="M23" s="7" t="s">
        <v>2358</v>
      </c>
      <c r="N23" s="7" t="s">
        <v>1511</v>
      </c>
      <c r="O23" s="18" t="s">
        <v>2601</v>
      </c>
      <c r="P23" s="7" t="s">
        <v>3233</v>
      </c>
      <c r="Q23" s="19" t="s">
        <v>3682</v>
      </c>
      <c r="R23" s="7" t="s">
        <v>4566</v>
      </c>
      <c r="S23" s="7" t="s">
        <v>3353</v>
      </c>
      <c r="T23" s="7" t="s">
        <v>3986</v>
      </c>
      <c r="U23" s="18" t="s">
        <v>4283</v>
      </c>
    </row>
    <row r="24" spans="1:21" ht="85">
      <c r="D24" t="s">
        <v>1667</v>
      </c>
      <c r="E24" t="s">
        <v>106</v>
      </c>
      <c r="F24" s="9" t="s">
        <v>339</v>
      </c>
      <c r="G24" s="38" t="s">
        <v>593</v>
      </c>
      <c r="H24" s="7" t="s">
        <v>1027</v>
      </c>
      <c r="I24" s="7" t="s">
        <v>1838</v>
      </c>
      <c r="J24" s="7" t="s">
        <v>1143</v>
      </c>
      <c r="K24" s="7" t="s">
        <v>2107</v>
      </c>
      <c r="L24" s="7" t="s">
        <v>1234</v>
      </c>
      <c r="M24" s="7" t="s">
        <v>2359</v>
      </c>
      <c r="N24" s="7" t="s">
        <v>1512</v>
      </c>
      <c r="O24" s="18" t="s">
        <v>2602</v>
      </c>
      <c r="P24" s="7" t="s">
        <v>3234</v>
      </c>
      <c r="Q24" s="7" t="s">
        <v>3683</v>
      </c>
      <c r="R24" s="7" t="s">
        <v>4567</v>
      </c>
      <c r="S24" s="7" t="s">
        <v>3425</v>
      </c>
      <c r="T24" s="7" t="s">
        <v>3987</v>
      </c>
      <c r="U24" s="7" t="s">
        <v>4284</v>
      </c>
    </row>
    <row r="25" spans="1:21" ht="85">
      <c r="D25" t="s">
        <v>1667</v>
      </c>
      <c r="E25" t="s">
        <v>106</v>
      </c>
      <c r="F25" s="9" t="s">
        <v>340</v>
      </c>
      <c r="G25" s="38" t="s">
        <v>594</v>
      </c>
      <c r="H25" s="7" t="s">
        <v>1028</v>
      </c>
      <c r="I25" s="7" t="s">
        <v>1839</v>
      </c>
      <c r="J25" s="7" t="s">
        <v>1144</v>
      </c>
      <c r="K25" s="18" t="s">
        <v>2108</v>
      </c>
      <c r="L25" s="7" t="s">
        <v>1340</v>
      </c>
      <c r="M25" s="7" t="s">
        <v>2360</v>
      </c>
      <c r="N25" s="7" t="s">
        <v>1513</v>
      </c>
      <c r="O25" s="20" t="s">
        <v>2603</v>
      </c>
      <c r="P25" s="7" t="s">
        <v>3110</v>
      </c>
      <c r="Q25" s="7" t="s">
        <v>3684</v>
      </c>
      <c r="R25" s="18" t="s">
        <v>4568</v>
      </c>
      <c r="S25" s="7" t="s">
        <v>3426</v>
      </c>
      <c r="T25" s="7" t="s">
        <v>3988</v>
      </c>
      <c r="U25" s="18" t="s">
        <v>4285</v>
      </c>
    </row>
    <row r="26" spans="1:21" ht="85">
      <c r="D26" t="s">
        <v>1667</v>
      </c>
      <c r="E26" t="s">
        <v>106</v>
      </c>
      <c r="F26" s="9" t="s">
        <v>341</v>
      </c>
      <c r="G26" s="38" t="s">
        <v>595</v>
      </c>
      <c r="H26" s="7" t="s">
        <v>1029</v>
      </c>
      <c r="I26" s="18" t="s">
        <v>1840</v>
      </c>
      <c r="J26" s="7" t="s">
        <v>1145</v>
      </c>
      <c r="K26" s="18" t="s">
        <v>2109</v>
      </c>
      <c r="L26" s="7" t="s">
        <v>1341</v>
      </c>
      <c r="M26" s="7" t="s">
        <v>2104</v>
      </c>
      <c r="N26" s="7" t="s">
        <v>1514</v>
      </c>
      <c r="O26" s="18" t="s">
        <v>2604</v>
      </c>
      <c r="P26" s="7" t="s">
        <v>3111</v>
      </c>
      <c r="Q26" s="19" t="s">
        <v>3685</v>
      </c>
      <c r="R26" s="7" t="s">
        <v>3635</v>
      </c>
      <c r="S26" s="7" t="s">
        <v>3427</v>
      </c>
      <c r="T26" s="7" t="s">
        <v>3989</v>
      </c>
      <c r="U26" s="18" t="s">
        <v>4286</v>
      </c>
    </row>
    <row r="27" spans="1:21" ht="51">
      <c r="D27" t="s">
        <v>1667</v>
      </c>
      <c r="E27" t="s">
        <v>105</v>
      </c>
      <c r="F27" s="9" t="s">
        <v>25</v>
      </c>
      <c r="G27" s="38" t="s">
        <v>69</v>
      </c>
      <c r="H27" s="7" t="s">
        <v>76</v>
      </c>
      <c r="I27" s="7" t="s">
        <v>1841</v>
      </c>
      <c r="J27" s="7" t="s">
        <v>156</v>
      </c>
      <c r="K27" s="7" t="s">
        <v>1841</v>
      </c>
      <c r="L27" s="7" t="s">
        <v>259</v>
      </c>
      <c r="M27" s="7" t="s">
        <v>2110</v>
      </c>
      <c r="N27" s="7" t="s">
        <v>260</v>
      </c>
      <c r="O27" s="18" t="s">
        <v>2605</v>
      </c>
      <c r="P27" s="7" t="s">
        <v>3112</v>
      </c>
      <c r="Q27" s="7" t="s">
        <v>3686</v>
      </c>
      <c r="R27" s="18" t="s">
        <v>3636</v>
      </c>
      <c r="S27" s="7" t="s">
        <v>3428</v>
      </c>
      <c r="T27" s="7" t="s">
        <v>3990</v>
      </c>
      <c r="U27" s="18" t="s">
        <v>3649</v>
      </c>
    </row>
    <row r="28" spans="1:21" ht="51">
      <c r="D28" t="s">
        <v>1667</v>
      </c>
      <c r="E28" t="s">
        <v>105</v>
      </c>
      <c r="F28" s="9" t="s">
        <v>342</v>
      </c>
      <c r="G28" s="38" t="s">
        <v>596</v>
      </c>
      <c r="H28" s="7" t="s">
        <v>76</v>
      </c>
      <c r="I28" s="7" t="s">
        <v>1841</v>
      </c>
      <c r="J28" s="7" t="s">
        <v>259</v>
      </c>
      <c r="K28" s="7" t="s">
        <v>2110</v>
      </c>
      <c r="L28" s="7" t="s">
        <v>259</v>
      </c>
      <c r="M28" s="7" t="s">
        <v>2110</v>
      </c>
      <c r="N28" s="7" t="s">
        <v>260</v>
      </c>
      <c r="O28" s="18" t="s">
        <v>2605</v>
      </c>
      <c r="P28" s="7" t="s">
        <v>3113</v>
      </c>
      <c r="Q28" s="7" t="s">
        <v>3687</v>
      </c>
      <c r="R28" s="18" t="s">
        <v>3636</v>
      </c>
      <c r="S28" s="7" t="s">
        <v>3429</v>
      </c>
      <c r="T28" s="7" t="s">
        <v>3991</v>
      </c>
      <c r="U28" s="18" t="s">
        <v>4287</v>
      </c>
    </row>
    <row r="29" spans="1:21" ht="51">
      <c r="D29" t="s">
        <v>1667</v>
      </c>
      <c r="E29" t="s">
        <v>105</v>
      </c>
      <c r="F29" s="9" t="s">
        <v>343</v>
      </c>
      <c r="G29" s="38" t="s">
        <v>597</v>
      </c>
      <c r="H29" s="7" t="s">
        <v>76</v>
      </c>
      <c r="I29" s="7" t="s">
        <v>1841</v>
      </c>
      <c r="J29" s="7" t="s">
        <v>1146</v>
      </c>
      <c r="K29" s="7" t="s">
        <v>2111</v>
      </c>
      <c r="L29" s="7" t="s">
        <v>1342</v>
      </c>
      <c r="M29" s="7" t="s">
        <v>2361</v>
      </c>
      <c r="N29" s="7" t="s">
        <v>260</v>
      </c>
      <c r="O29" s="18" t="s">
        <v>2605</v>
      </c>
      <c r="P29" s="7" t="s">
        <v>3114</v>
      </c>
      <c r="Q29" s="7" t="s">
        <v>3688</v>
      </c>
      <c r="R29" s="18" t="s">
        <v>3636</v>
      </c>
      <c r="S29" s="7" t="s">
        <v>3430</v>
      </c>
      <c r="T29" s="7" t="s">
        <v>3992</v>
      </c>
      <c r="U29" s="18" t="s">
        <v>4288</v>
      </c>
    </row>
    <row r="30" spans="1:21" ht="34">
      <c r="D30" t="s">
        <v>1667</v>
      </c>
      <c r="E30" t="s">
        <v>105</v>
      </c>
      <c r="F30" s="9" t="s">
        <v>344</v>
      </c>
      <c r="G30" s="38" t="s">
        <v>598</v>
      </c>
      <c r="H30" s="7" t="s">
        <v>76</v>
      </c>
      <c r="I30" s="7" t="s">
        <v>1841</v>
      </c>
      <c r="J30" s="7" t="s">
        <v>259</v>
      </c>
      <c r="K30" s="7" t="s">
        <v>2110</v>
      </c>
      <c r="L30" s="7" t="s">
        <v>1343</v>
      </c>
      <c r="M30" s="7" t="s">
        <v>2110</v>
      </c>
      <c r="N30" s="7" t="s">
        <v>260</v>
      </c>
      <c r="O30" s="18" t="s">
        <v>2605</v>
      </c>
      <c r="P30" s="7" t="s">
        <v>3115</v>
      </c>
      <c r="Q30" s="7" t="s">
        <v>3689</v>
      </c>
      <c r="R30" s="18" t="s">
        <v>3636</v>
      </c>
      <c r="S30" s="7" t="s">
        <v>3431</v>
      </c>
      <c r="T30" s="7" t="s">
        <v>3993</v>
      </c>
      <c r="U30" s="18" t="s">
        <v>4289</v>
      </c>
    </row>
    <row r="31" spans="1:21" ht="51">
      <c r="D31" t="s">
        <v>1667</v>
      </c>
      <c r="E31" t="s">
        <v>105</v>
      </c>
      <c r="F31" s="9" t="s">
        <v>345</v>
      </c>
      <c r="G31" s="38" t="s">
        <v>599</v>
      </c>
      <c r="H31" s="7" t="s">
        <v>76</v>
      </c>
      <c r="I31" s="7" t="s">
        <v>1841</v>
      </c>
      <c r="J31" s="7" t="s">
        <v>156</v>
      </c>
      <c r="K31" s="7" t="s">
        <v>1841</v>
      </c>
      <c r="L31" s="7" t="s">
        <v>1342</v>
      </c>
      <c r="M31" s="7" t="s">
        <v>2361</v>
      </c>
      <c r="N31" s="7" t="s">
        <v>1604</v>
      </c>
      <c r="O31" s="18" t="s">
        <v>2606</v>
      </c>
      <c r="P31" s="7" t="s">
        <v>3115</v>
      </c>
      <c r="Q31" s="7" t="s">
        <v>3689</v>
      </c>
      <c r="R31" s="18" t="s">
        <v>3636</v>
      </c>
      <c r="S31" s="7" t="s">
        <v>3432</v>
      </c>
      <c r="T31" s="7" t="s">
        <v>3994</v>
      </c>
      <c r="U31" s="18" t="s">
        <v>4290</v>
      </c>
    </row>
    <row r="32" spans="1:21" ht="68">
      <c r="D32" t="s">
        <v>1667</v>
      </c>
      <c r="E32" t="s">
        <v>105</v>
      </c>
      <c r="F32" s="9" t="s">
        <v>346</v>
      </c>
      <c r="G32" s="38" t="s">
        <v>600</v>
      </c>
      <c r="H32" s="7" t="s">
        <v>76</v>
      </c>
      <c r="I32" s="7" t="s">
        <v>1841</v>
      </c>
      <c r="J32" s="7" t="s">
        <v>259</v>
      </c>
      <c r="K32" s="7" t="s">
        <v>2110</v>
      </c>
      <c r="L32" s="7" t="s">
        <v>259</v>
      </c>
      <c r="M32" s="7" t="s">
        <v>2110</v>
      </c>
      <c r="N32" s="7" t="s">
        <v>260</v>
      </c>
      <c r="O32" s="18" t="s">
        <v>2605</v>
      </c>
      <c r="P32" s="7" t="s">
        <v>3114</v>
      </c>
      <c r="Q32" s="7" t="s">
        <v>3688</v>
      </c>
      <c r="R32" s="18" t="s">
        <v>3636</v>
      </c>
      <c r="S32" s="7" t="s">
        <v>3433</v>
      </c>
      <c r="T32" s="7" t="s">
        <v>3995</v>
      </c>
      <c r="U32" s="7" t="s">
        <v>4291</v>
      </c>
    </row>
    <row r="33" spans="4:21" ht="68">
      <c r="D33" t="s">
        <v>1667</v>
      </c>
      <c r="E33" t="s">
        <v>107</v>
      </c>
      <c r="F33" s="9" t="s">
        <v>26</v>
      </c>
      <c r="G33" s="40" t="s">
        <v>9</v>
      </c>
      <c r="H33" s="7" t="s">
        <v>304</v>
      </c>
      <c r="I33" s="7" t="s">
        <v>1842</v>
      </c>
      <c r="J33" s="7" t="s">
        <v>157</v>
      </c>
      <c r="K33" s="7" t="s">
        <v>2112</v>
      </c>
      <c r="L33" s="7" t="s">
        <v>233</v>
      </c>
      <c r="M33" s="7" t="s">
        <v>2362</v>
      </c>
      <c r="N33" s="7" t="s">
        <v>305</v>
      </c>
      <c r="O33" s="7" t="s">
        <v>2607</v>
      </c>
      <c r="P33" s="7" t="s">
        <v>3235</v>
      </c>
      <c r="Q33" s="7" t="s">
        <v>3690</v>
      </c>
      <c r="R33" s="7" t="s">
        <v>4569</v>
      </c>
      <c r="S33" s="7" t="s">
        <v>3551</v>
      </c>
      <c r="T33" s="7" t="s">
        <v>3996</v>
      </c>
      <c r="U33" s="7" t="s">
        <v>4292</v>
      </c>
    </row>
    <row r="34" spans="4:21" ht="68">
      <c r="D34" t="s">
        <v>1667</v>
      </c>
      <c r="E34" t="s">
        <v>107</v>
      </c>
      <c r="F34" s="9" t="s">
        <v>347</v>
      </c>
      <c r="G34" s="40" t="s">
        <v>601</v>
      </c>
      <c r="H34" s="7" t="s">
        <v>996</v>
      </c>
      <c r="I34" s="7" t="s">
        <v>1843</v>
      </c>
      <c r="J34" s="7" t="s">
        <v>1147</v>
      </c>
      <c r="K34" s="7" t="s">
        <v>2113</v>
      </c>
      <c r="L34" s="7" t="s">
        <v>1293</v>
      </c>
      <c r="M34" s="7" t="s">
        <v>2363</v>
      </c>
      <c r="N34" s="7" t="s">
        <v>1605</v>
      </c>
      <c r="O34" s="7" t="s">
        <v>2608</v>
      </c>
      <c r="P34" s="7" t="s">
        <v>3116</v>
      </c>
      <c r="Q34" s="7" t="s">
        <v>3691</v>
      </c>
      <c r="R34" s="7" t="s">
        <v>4570</v>
      </c>
      <c r="S34" s="7" t="s">
        <v>3434</v>
      </c>
      <c r="T34" s="7" t="s">
        <v>3997</v>
      </c>
      <c r="U34" s="7" t="s">
        <v>4293</v>
      </c>
    </row>
    <row r="35" spans="4:21" ht="68">
      <c r="D35" t="s">
        <v>1667</v>
      </c>
      <c r="E35" t="s">
        <v>107</v>
      </c>
      <c r="F35" s="9" t="s">
        <v>348</v>
      </c>
      <c r="G35" s="40" t="s">
        <v>602</v>
      </c>
      <c r="H35" s="7" t="s">
        <v>894</v>
      </c>
      <c r="I35" s="7" t="s">
        <v>1844</v>
      </c>
      <c r="J35" s="7" t="s">
        <v>1040</v>
      </c>
      <c r="K35" s="7" t="s">
        <v>2114</v>
      </c>
      <c r="L35" s="7" t="s">
        <v>1344</v>
      </c>
      <c r="M35" s="7" t="s">
        <v>2364</v>
      </c>
      <c r="N35" s="7" t="s">
        <v>1515</v>
      </c>
      <c r="O35" s="7" t="s">
        <v>2609</v>
      </c>
      <c r="P35" s="7" t="s">
        <v>3117</v>
      </c>
      <c r="Q35" s="7" t="s">
        <v>3692</v>
      </c>
      <c r="R35" s="7" t="s">
        <v>4571</v>
      </c>
      <c r="S35" s="7" t="s">
        <v>3605</v>
      </c>
      <c r="T35" s="7" t="s">
        <v>3998</v>
      </c>
      <c r="U35" s="7" t="s">
        <v>4294</v>
      </c>
    </row>
    <row r="36" spans="4:21" ht="85">
      <c r="D36" t="s">
        <v>1667</v>
      </c>
      <c r="E36" t="s">
        <v>107</v>
      </c>
      <c r="F36" s="9" t="s">
        <v>349</v>
      </c>
      <c r="G36" s="40" t="s">
        <v>603</v>
      </c>
      <c r="H36" s="7" t="s">
        <v>895</v>
      </c>
      <c r="I36" s="7" t="s">
        <v>1845</v>
      </c>
      <c r="J36" s="7" t="s">
        <v>1148</v>
      </c>
      <c r="K36" s="7" t="s">
        <v>2115</v>
      </c>
      <c r="L36" s="7" t="s">
        <v>1345</v>
      </c>
      <c r="M36" s="7" t="s">
        <v>2365</v>
      </c>
      <c r="N36" s="7" t="s">
        <v>1516</v>
      </c>
      <c r="O36" s="7" t="s">
        <v>2610</v>
      </c>
      <c r="P36" s="7" t="s">
        <v>3118</v>
      </c>
      <c r="Q36" s="7" t="s">
        <v>3693</v>
      </c>
      <c r="R36" s="7" t="s">
        <v>4572</v>
      </c>
      <c r="S36" s="7" t="s">
        <v>3552</v>
      </c>
      <c r="T36" s="7" t="s">
        <v>3999</v>
      </c>
      <c r="U36" s="7" t="s">
        <v>4295</v>
      </c>
    </row>
    <row r="37" spans="4:21" ht="68">
      <c r="D37" t="s">
        <v>1667</v>
      </c>
      <c r="E37" t="s">
        <v>107</v>
      </c>
      <c r="F37" s="9" t="s">
        <v>350</v>
      </c>
      <c r="G37" s="40" t="s">
        <v>604</v>
      </c>
      <c r="H37" s="7" t="s">
        <v>834</v>
      </c>
      <c r="I37" s="7" t="s">
        <v>1846</v>
      </c>
      <c r="J37" s="7" t="s">
        <v>1149</v>
      </c>
      <c r="K37" s="7" t="s">
        <v>2116</v>
      </c>
      <c r="L37" s="7" t="s">
        <v>1395</v>
      </c>
      <c r="M37" s="7" t="s">
        <v>2366</v>
      </c>
      <c r="N37" s="7" t="s">
        <v>1606</v>
      </c>
      <c r="O37" s="7" t="s">
        <v>2611</v>
      </c>
      <c r="P37" s="7" t="s">
        <v>3236</v>
      </c>
      <c r="Q37" s="7" t="s">
        <v>3694</v>
      </c>
      <c r="R37" s="7" t="s">
        <v>4573</v>
      </c>
      <c r="S37" s="7" t="s">
        <v>3553</v>
      </c>
      <c r="T37" s="7" t="s">
        <v>4000</v>
      </c>
      <c r="U37" s="7" t="s">
        <v>4296</v>
      </c>
    </row>
    <row r="38" spans="4:21" ht="68">
      <c r="D38" t="s">
        <v>1667</v>
      </c>
      <c r="E38" t="s">
        <v>107</v>
      </c>
      <c r="F38" s="9" t="s">
        <v>351</v>
      </c>
      <c r="G38" s="40" t="s">
        <v>605</v>
      </c>
      <c r="H38" s="7" t="s">
        <v>835</v>
      </c>
      <c r="I38" s="7" t="s">
        <v>1847</v>
      </c>
      <c r="J38" s="7" t="s">
        <v>1150</v>
      </c>
      <c r="K38" s="7" t="s">
        <v>2117</v>
      </c>
      <c r="L38" s="7" t="s">
        <v>1346</v>
      </c>
      <c r="M38" s="7" t="s">
        <v>2367</v>
      </c>
      <c r="N38" s="7" t="s">
        <v>1436</v>
      </c>
      <c r="O38" s="7" t="s">
        <v>2612</v>
      </c>
      <c r="P38" s="7" t="s">
        <v>3237</v>
      </c>
      <c r="Q38" s="7" t="s">
        <v>3695</v>
      </c>
      <c r="R38" s="7" t="s">
        <v>4574</v>
      </c>
      <c r="S38" s="7" t="s">
        <v>3435</v>
      </c>
      <c r="T38" s="7" t="s">
        <v>4001</v>
      </c>
      <c r="U38" s="7" t="s">
        <v>4297</v>
      </c>
    </row>
    <row r="39" spans="4:21" ht="85">
      <c r="D39" t="s">
        <v>1667</v>
      </c>
      <c r="E39" t="s">
        <v>106</v>
      </c>
      <c r="F39" s="9" t="s">
        <v>27</v>
      </c>
      <c r="G39" s="38" t="s">
        <v>11</v>
      </c>
      <c r="H39" s="7" t="s">
        <v>147</v>
      </c>
      <c r="I39" s="7" t="s">
        <v>1848</v>
      </c>
      <c r="J39" s="7" t="s">
        <v>147</v>
      </c>
      <c r="K39" s="7" t="s">
        <v>1848</v>
      </c>
      <c r="L39" s="7" t="s">
        <v>234</v>
      </c>
      <c r="M39" s="7" t="s">
        <v>2368</v>
      </c>
      <c r="N39" s="7" t="s">
        <v>306</v>
      </c>
      <c r="O39" s="7" t="s">
        <v>2613</v>
      </c>
      <c r="P39" s="7" t="s">
        <v>3238</v>
      </c>
      <c r="Q39" s="7" t="s">
        <v>3696</v>
      </c>
      <c r="R39" s="7" t="s">
        <v>4575</v>
      </c>
      <c r="S39" s="7" t="s">
        <v>3354</v>
      </c>
      <c r="T39" s="7" t="s">
        <v>4002</v>
      </c>
      <c r="U39" s="7" t="s">
        <v>4298</v>
      </c>
    </row>
    <row r="40" spans="4:21" ht="102">
      <c r="D40" t="s">
        <v>1667</v>
      </c>
      <c r="E40" t="s">
        <v>106</v>
      </c>
      <c r="F40" s="9" t="s">
        <v>352</v>
      </c>
      <c r="G40" s="38" t="s">
        <v>606</v>
      </c>
      <c r="H40" s="7" t="s">
        <v>896</v>
      </c>
      <c r="I40" s="7" t="s">
        <v>1849</v>
      </c>
      <c r="J40" s="7" t="s">
        <v>1093</v>
      </c>
      <c r="K40" s="7" t="s">
        <v>2118</v>
      </c>
      <c r="L40" s="7" t="s">
        <v>1294</v>
      </c>
      <c r="M40" s="7" t="s">
        <v>2369</v>
      </c>
      <c r="N40" s="7" t="s">
        <v>1607</v>
      </c>
      <c r="O40" s="7" t="s">
        <v>2614</v>
      </c>
      <c r="P40" s="7" t="s">
        <v>3119</v>
      </c>
      <c r="Q40" s="7" t="s">
        <v>3697</v>
      </c>
      <c r="R40" s="7" t="s">
        <v>4576</v>
      </c>
      <c r="S40" s="7" t="s">
        <v>3355</v>
      </c>
      <c r="T40" s="7" t="s">
        <v>4003</v>
      </c>
      <c r="U40" s="7" t="s">
        <v>4299</v>
      </c>
    </row>
    <row r="41" spans="4:21" ht="85">
      <c r="D41" t="s">
        <v>1667</v>
      </c>
      <c r="E41" t="s">
        <v>106</v>
      </c>
      <c r="F41" s="9" t="s">
        <v>353</v>
      </c>
      <c r="G41" s="38" t="s">
        <v>607</v>
      </c>
      <c r="H41" s="7" t="s">
        <v>897</v>
      </c>
      <c r="I41" s="7" t="s">
        <v>1850</v>
      </c>
      <c r="J41" s="7" t="s">
        <v>897</v>
      </c>
      <c r="K41" s="7" t="s">
        <v>1850</v>
      </c>
      <c r="L41" s="7" t="s">
        <v>897</v>
      </c>
      <c r="M41" s="20" t="s">
        <v>1850</v>
      </c>
      <c r="N41" s="7" t="s">
        <v>1608</v>
      </c>
      <c r="O41" s="7" t="s">
        <v>2615</v>
      </c>
      <c r="P41" s="7" t="s">
        <v>3120</v>
      </c>
      <c r="Q41" s="7" t="s">
        <v>3698</v>
      </c>
      <c r="R41" s="7" t="s">
        <v>4577</v>
      </c>
      <c r="S41" s="7" t="s">
        <v>3436</v>
      </c>
      <c r="T41" s="99" t="s">
        <v>4004</v>
      </c>
      <c r="U41" s="99" t="s">
        <v>4300</v>
      </c>
    </row>
    <row r="42" spans="4:21" ht="85">
      <c r="D42" t="s">
        <v>1667</v>
      </c>
      <c r="E42" t="s">
        <v>106</v>
      </c>
      <c r="F42" s="9" t="s">
        <v>354</v>
      </c>
      <c r="G42" s="38" t="s">
        <v>608</v>
      </c>
      <c r="H42" s="7" t="s">
        <v>898</v>
      </c>
      <c r="I42" s="7" t="s">
        <v>1851</v>
      </c>
      <c r="J42" s="7" t="s">
        <v>1094</v>
      </c>
      <c r="K42" s="7" t="s">
        <v>2119</v>
      </c>
      <c r="L42" s="7" t="s">
        <v>1235</v>
      </c>
      <c r="M42" s="20" t="s">
        <v>2370</v>
      </c>
      <c r="N42" s="7" t="s">
        <v>1609</v>
      </c>
      <c r="O42" s="7" t="s">
        <v>2616</v>
      </c>
      <c r="P42" s="7" t="s">
        <v>3239</v>
      </c>
      <c r="Q42" s="7" t="s">
        <v>3699</v>
      </c>
      <c r="R42" s="7" t="s">
        <v>4578</v>
      </c>
      <c r="S42" s="7" t="s">
        <v>3356</v>
      </c>
      <c r="T42" s="7" t="s">
        <v>4005</v>
      </c>
      <c r="U42" s="7" t="s">
        <v>4301</v>
      </c>
    </row>
    <row r="43" spans="4:21" ht="85">
      <c r="D43" t="s">
        <v>1667</v>
      </c>
      <c r="E43" t="s">
        <v>106</v>
      </c>
      <c r="F43" s="9" t="s">
        <v>355</v>
      </c>
      <c r="G43" s="38" t="s">
        <v>609</v>
      </c>
      <c r="H43" s="7" t="s">
        <v>997</v>
      </c>
      <c r="I43" s="7" t="s">
        <v>1852</v>
      </c>
      <c r="J43" s="7" t="s">
        <v>1203</v>
      </c>
      <c r="K43" s="19" t="s">
        <v>2120</v>
      </c>
      <c r="L43" s="7" t="s">
        <v>1295</v>
      </c>
      <c r="M43" s="20" t="s">
        <v>2371</v>
      </c>
      <c r="N43" s="7" t="s">
        <v>1610</v>
      </c>
      <c r="O43" s="7" t="s">
        <v>2617</v>
      </c>
      <c r="P43" s="7" t="s">
        <v>3240</v>
      </c>
      <c r="Q43" s="7" t="s">
        <v>3700</v>
      </c>
      <c r="R43" s="7" t="s">
        <v>4579</v>
      </c>
      <c r="S43" s="7" t="s">
        <v>3437</v>
      </c>
      <c r="T43" s="7" t="s">
        <v>4006</v>
      </c>
      <c r="U43" s="7" t="s">
        <v>4302</v>
      </c>
    </row>
    <row r="44" spans="4:21" ht="85">
      <c r="D44" t="s">
        <v>1667</v>
      </c>
      <c r="E44" t="s">
        <v>106</v>
      </c>
      <c r="F44" s="9" t="s">
        <v>356</v>
      </c>
      <c r="G44" s="38" t="s">
        <v>610</v>
      </c>
      <c r="H44" s="7" t="s">
        <v>951</v>
      </c>
      <c r="I44" s="7" t="s">
        <v>1853</v>
      </c>
      <c r="J44" s="7" t="s">
        <v>1095</v>
      </c>
      <c r="K44" s="7" t="s">
        <v>2121</v>
      </c>
      <c r="L44" s="7" t="s">
        <v>1347</v>
      </c>
      <c r="M44" s="19" t="s">
        <v>2372</v>
      </c>
      <c r="N44" s="7" t="s">
        <v>1465</v>
      </c>
      <c r="O44" s="18" t="s">
        <v>2618</v>
      </c>
      <c r="P44" s="7" t="s">
        <v>3241</v>
      </c>
      <c r="Q44" s="7" t="s">
        <v>3701</v>
      </c>
      <c r="R44" s="7" t="s">
        <v>4580</v>
      </c>
      <c r="S44" s="7" t="s">
        <v>3357</v>
      </c>
      <c r="T44" s="7" t="s">
        <v>4007</v>
      </c>
      <c r="U44" s="7" t="s">
        <v>4528</v>
      </c>
    </row>
    <row r="45" spans="4:21" ht="102">
      <c r="D45" t="s">
        <v>1667</v>
      </c>
      <c r="E45" t="s">
        <v>106</v>
      </c>
      <c r="F45" s="9" t="s">
        <v>28</v>
      </c>
      <c r="G45" s="38" t="s">
        <v>611</v>
      </c>
      <c r="H45" s="7" t="s">
        <v>235</v>
      </c>
      <c r="I45" s="7" t="s">
        <v>1854</v>
      </c>
      <c r="J45" s="7" t="s">
        <v>131</v>
      </c>
      <c r="K45" s="19" t="s">
        <v>2122</v>
      </c>
      <c r="L45" s="19" t="s">
        <v>261</v>
      </c>
      <c r="M45" s="19" t="s">
        <v>2373</v>
      </c>
      <c r="N45" s="7" t="s">
        <v>262</v>
      </c>
      <c r="O45" s="7" t="s">
        <v>2619</v>
      </c>
      <c r="P45" s="7" t="s">
        <v>3242</v>
      </c>
      <c r="Q45" s="7" t="s">
        <v>3702</v>
      </c>
      <c r="R45" s="19" t="s">
        <v>4581</v>
      </c>
      <c r="S45" s="7" t="s">
        <v>3358</v>
      </c>
      <c r="T45" s="7" t="s">
        <v>4008</v>
      </c>
      <c r="U45" s="7" t="s">
        <v>4303</v>
      </c>
    </row>
    <row r="46" spans="4:21" ht="102">
      <c r="D46" t="s">
        <v>1667</v>
      </c>
      <c r="E46" t="s">
        <v>106</v>
      </c>
      <c r="F46" s="9" t="s">
        <v>357</v>
      </c>
      <c r="G46" s="38" t="s">
        <v>612</v>
      </c>
      <c r="H46" s="7" t="s">
        <v>952</v>
      </c>
      <c r="I46" s="7" t="s">
        <v>1855</v>
      </c>
      <c r="J46" s="7" t="s">
        <v>1151</v>
      </c>
      <c r="K46" s="7" t="s">
        <v>2123</v>
      </c>
      <c r="L46" s="7" t="s">
        <v>1296</v>
      </c>
      <c r="M46" s="19" t="s">
        <v>2374</v>
      </c>
      <c r="N46" s="7" t="s">
        <v>1466</v>
      </c>
      <c r="O46" s="7" t="s">
        <v>2620</v>
      </c>
      <c r="P46" s="7" t="s">
        <v>3046</v>
      </c>
      <c r="Q46" s="7" t="s">
        <v>3703</v>
      </c>
      <c r="R46" s="19" t="s">
        <v>4582</v>
      </c>
      <c r="S46" s="7" t="s">
        <v>3438</v>
      </c>
      <c r="T46" s="7" t="s">
        <v>4009</v>
      </c>
      <c r="U46" s="19" t="s">
        <v>4304</v>
      </c>
    </row>
    <row r="47" spans="4:21" ht="102">
      <c r="D47" t="s">
        <v>1667</v>
      </c>
      <c r="E47" t="s">
        <v>106</v>
      </c>
      <c r="F47" s="9" t="s">
        <v>358</v>
      </c>
      <c r="G47" s="38" t="s">
        <v>613</v>
      </c>
      <c r="H47" s="7" t="s">
        <v>1030</v>
      </c>
      <c r="I47" s="7" t="s">
        <v>1856</v>
      </c>
      <c r="J47" s="7" t="s">
        <v>1041</v>
      </c>
      <c r="K47" s="7" t="s">
        <v>2124</v>
      </c>
      <c r="L47" s="7" t="s">
        <v>1348</v>
      </c>
      <c r="M47" s="7" t="s">
        <v>2375</v>
      </c>
      <c r="N47" s="7" t="s">
        <v>1517</v>
      </c>
      <c r="O47" s="7" t="s">
        <v>2621</v>
      </c>
      <c r="P47" s="7" t="s">
        <v>3047</v>
      </c>
      <c r="Q47" s="7" t="s">
        <v>3704</v>
      </c>
      <c r="R47" s="19" t="s">
        <v>4583</v>
      </c>
      <c r="S47" s="7" t="s">
        <v>3439</v>
      </c>
      <c r="T47" s="7" t="s">
        <v>4010</v>
      </c>
      <c r="U47" s="7" t="s">
        <v>4305</v>
      </c>
    </row>
    <row r="48" spans="4:21" ht="85">
      <c r="D48" t="s">
        <v>1667</v>
      </c>
      <c r="E48" t="s">
        <v>106</v>
      </c>
      <c r="F48" s="9" t="s">
        <v>359</v>
      </c>
      <c r="G48" s="38" t="s">
        <v>614</v>
      </c>
      <c r="H48" s="7" t="s">
        <v>899</v>
      </c>
      <c r="I48" s="7" t="s">
        <v>1857</v>
      </c>
      <c r="J48" s="7" t="s">
        <v>1096</v>
      </c>
      <c r="K48" s="7" t="s">
        <v>2125</v>
      </c>
      <c r="L48" s="7" t="s">
        <v>1297</v>
      </c>
      <c r="M48" s="7" t="s">
        <v>2376</v>
      </c>
      <c r="N48" s="7" t="s">
        <v>1518</v>
      </c>
      <c r="O48" s="7" t="s">
        <v>2622</v>
      </c>
      <c r="P48" s="7" t="s">
        <v>3048</v>
      </c>
      <c r="Q48" s="7" t="s">
        <v>3703</v>
      </c>
      <c r="R48" s="19" t="s">
        <v>4584</v>
      </c>
      <c r="S48" s="7" t="s">
        <v>3440</v>
      </c>
      <c r="T48" s="7" t="s">
        <v>4011</v>
      </c>
      <c r="U48" s="19" t="s">
        <v>4306</v>
      </c>
    </row>
    <row r="49" spans="4:21" ht="85">
      <c r="D49" t="s">
        <v>1667</v>
      </c>
      <c r="E49" t="s">
        <v>106</v>
      </c>
      <c r="F49" s="9" t="s">
        <v>360</v>
      </c>
      <c r="G49" s="38" t="s">
        <v>615</v>
      </c>
      <c r="H49" s="7" t="s">
        <v>900</v>
      </c>
      <c r="I49" s="7" t="s">
        <v>1858</v>
      </c>
      <c r="J49" s="7" t="s">
        <v>1097</v>
      </c>
      <c r="K49" s="7" t="s">
        <v>2126</v>
      </c>
      <c r="L49" s="7" t="s">
        <v>1298</v>
      </c>
      <c r="M49" s="19" t="s">
        <v>2377</v>
      </c>
      <c r="N49" s="7" t="s">
        <v>1519</v>
      </c>
      <c r="O49" s="7" t="s">
        <v>2623</v>
      </c>
      <c r="P49" s="7" t="s">
        <v>3243</v>
      </c>
      <c r="Q49" s="7" t="s">
        <v>3705</v>
      </c>
      <c r="R49" s="19" t="s">
        <v>4585</v>
      </c>
      <c r="S49" s="7" t="s">
        <v>3554</v>
      </c>
      <c r="T49" s="7" t="s">
        <v>4012</v>
      </c>
      <c r="U49" s="7" t="s">
        <v>4307</v>
      </c>
    </row>
    <row r="50" spans="4:21" ht="102">
      <c r="D50" t="s">
        <v>1667</v>
      </c>
      <c r="E50" t="s">
        <v>106</v>
      </c>
      <c r="F50" s="9" t="s">
        <v>361</v>
      </c>
      <c r="G50" s="38" t="s">
        <v>616</v>
      </c>
      <c r="H50" s="7" t="s">
        <v>953</v>
      </c>
      <c r="I50" s="7" t="s">
        <v>1859</v>
      </c>
      <c r="J50" s="7" t="s">
        <v>1098</v>
      </c>
      <c r="K50" s="20" t="s">
        <v>2127</v>
      </c>
      <c r="L50" s="7" t="s">
        <v>1299</v>
      </c>
      <c r="M50" s="18" t="s">
        <v>2378</v>
      </c>
      <c r="N50" s="7" t="s">
        <v>1520</v>
      </c>
      <c r="O50" s="7" t="s">
        <v>2624</v>
      </c>
      <c r="P50" s="7" t="s">
        <v>3049</v>
      </c>
      <c r="Q50" s="7" t="s">
        <v>3706</v>
      </c>
      <c r="R50" s="19" t="s">
        <v>4586</v>
      </c>
      <c r="S50" s="7" t="s">
        <v>3441</v>
      </c>
      <c r="T50" s="7" t="s">
        <v>4013</v>
      </c>
      <c r="U50" s="19" t="s">
        <v>4308</v>
      </c>
    </row>
    <row r="51" spans="4:21" ht="68">
      <c r="D51" t="s">
        <v>1667</v>
      </c>
      <c r="E51" t="s">
        <v>106</v>
      </c>
      <c r="F51" s="9" t="s">
        <v>29</v>
      </c>
      <c r="G51" s="38" t="s">
        <v>617</v>
      </c>
      <c r="H51" s="7" t="s">
        <v>263</v>
      </c>
      <c r="I51" s="7" t="s">
        <v>1860</v>
      </c>
      <c r="J51" s="7" t="s">
        <v>158</v>
      </c>
      <c r="K51" s="7" t="s">
        <v>178</v>
      </c>
      <c r="L51" s="7" t="s">
        <v>264</v>
      </c>
      <c r="M51" s="19" t="s">
        <v>2379</v>
      </c>
      <c r="N51" s="7" t="s">
        <v>265</v>
      </c>
      <c r="O51" s="19" t="s">
        <v>2625</v>
      </c>
      <c r="P51" s="7" t="s">
        <v>3244</v>
      </c>
      <c r="Q51" s="7" t="s">
        <v>3707</v>
      </c>
      <c r="R51" s="19" t="s">
        <v>4587</v>
      </c>
      <c r="S51" s="7" t="s">
        <v>3442</v>
      </c>
      <c r="T51" s="7" t="s">
        <v>4014</v>
      </c>
      <c r="U51" s="19" t="s">
        <v>4309</v>
      </c>
    </row>
    <row r="52" spans="4:21" ht="68">
      <c r="D52" t="s">
        <v>1667</v>
      </c>
      <c r="E52" t="s">
        <v>106</v>
      </c>
      <c r="F52" s="9" t="s">
        <v>362</v>
      </c>
      <c r="G52" s="38" t="s">
        <v>617</v>
      </c>
      <c r="H52" s="7" t="s">
        <v>836</v>
      </c>
      <c r="I52" s="7" t="s">
        <v>1861</v>
      </c>
      <c r="J52" s="7" t="s">
        <v>1099</v>
      </c>
      <c r="K52" s="7" t="s">
        <v>2128</v>
      </c>
      <c r="L52" s="7" t="s">
        <v>1300</v>
      </c>
      <c r="M52" s="7" t="s">
        <v>2380</v>
      </c>
      <c r="N52" s="7" t="s">
        <v>1611</v>
      </c>
      <c r="O52" s="7" t="s">
        <v>2626</v>
      </c>
      <c r="P52" s="7" t="s">
        <v>3121</v>
      </c>
      <c r="Q52" s="7" t="s">
        <v>3708</v>
      </c>
      <c r="R52" s="19" t="s">
        <v>4587</v>
      </c>
      <c r="S52" s="7" t="s">
        <v>3443</v>
      </c>
      <c r="T52" s="7" t="s">
        <v>4015</v>
      </c>
      <c r="U52" s="19" t="s">
        <v>3650</v>
      </c>
    </row>
    <row r="53" spans="4:21" ht="85">
      <c r="D53" t="s">
        <v>1667</v>
      </c>
      <c r="E53" t="s">
        <v>106</v>
      </c>
      <c r="F53" s="9" t="s">
        <v>363</v>
      </c>
      <c r="G53" s="38" t="s">
        <v>618</v>
      </c>
      <c r="H53" s="7" t="s">
        <v>13</v>
      </c>
      <c r="I53" s="7" t="s">
        <v>1862</v>
      </c>
      <c r="J53" s="7" t="s">
        <v>1042</v>
      </c>
      <c r="K53" s="7" t="s">
        <v>2129</v>
      </c>
      <c r="L53" s="7" t="s">
        <v>1301</v>
      </c>
      <c r="M53" s="7" t="s">
        <v>2381</v>
      </c>
      <c r="N53" s="7" t="s">
        <v>1467</v>
      </c>
      <c r="O53" s="7" t="s">
        <v>2627</v>
      </c>
      <c r="P53" s="7" t="s">
        <v>3122</v>
      </c>
      <c r="Q53" s="7" t="s">
        <v>3709</v>
      </c>
      <c r="R53" s="19" t="s">
        <v>4588</v>
      </c>
      <c r="S53" s="7" t="s">
        <v>3444</v>
      </c>
      <c r="T53" s="7" t="s">
        <v>4016</v>
      </c>
      <c r="U53" s="19" t="s">
        <v>4310</v>
      </c>
    </row>
    <row r="54" spans="4:21" ht="68">
      <c r="D54" t="s">
        <v>1667</v>
      </c>
      <c r="E54" t="s">
        <v>106</v>
      </c>
      <c r="F54" s="9" t="s">
        <v>364</v>
      </c>
      <c r="G54" s="38" t="s">
        <v>617</v>
      </c>
      <c r="H54" s="7" t="s">
        <v>901</v>
      </c>
      <c r="I54" s="7" t="s">
        <v>1860</v>
      </c>
      <c r="J54" s="7" t="s">
        <v>1152</v>
      </c>
      <c r="K54" s="7" t="s">
        <v>2130</v>
      </c>
      <c r="L54" s="7" t="s">
        <v>901</v>
      </c>
      <c r="M54" s="7" t="s">
        <v>1860</v>
      </c>
      <c r="N54" s="7" t="s">
        <v>1468</v>
      </c>
      <c r="O54" s="7" t="s">
        <v>2628</v>
      </c>
      <c r="P54" s="7" t="s">
        <v>3245</v>
      </c>
      <c r="Q54" s="7" t="s">
        <v>3710</v>
      </c>
      <c r="R54" s="19" t="s">
        <v>4587</v>
      </c>
      <c r="S54" s="7" t="s">
        <v>3359</v>
      </c>
      <c r="T54" s="7" t="s">
        <v>4017</v>
      </c>
      <c r="U54" s="19" t="s">
        <v>3650</v>
      </c>
    </row>
    <row r="55" spans="4:21" ht="102">
      <c r="D55" t="s">
        <v>1667</v>
      </c>
      <c r="E55" t="s">
        <v>106</v>
      </c>
      <c r="F55" s="9" t="s">
        <v>365</v>
      </c>
      <c r="G55" s="38" t="s">
        <v>619</v>
      </c>
      <c r="H55" s="7" t="s">
        <v>954</v>
      </c>
      <c r="I55" s="19" t="s">
        <v>1863</v>
      </c>
      <c r="J55" s="7" t="s">
        <v>1153</v>
      </c>
      <c r="K55" s="7" t="s">
        <v>2131</v>
      </c>
      <c r="L55" s="7" t="s">
        <v>1349</v>
      </c>
      <c r="M55" s="7" t="s">
        <v>2382</v>
      </c>
      <c r="N55" s="7" t="s">
        <v>1521</v>
      </c>
      <c r="O55" s="7" t="s">
        <v>2629</v>
      </c>
      <c r="P55" s="7" t="s">
        <v>3123</v>
      </c>
      <c r="Q55" s="7" t="s">
        <v>3711</v>
      </c>
      <c r="R55" s="19" t="s">
        <v>4589</v>
      </c>
      <c r="S55" s="7" t="s">
        <v>3445</v>
      </c>
      <c r="T55" s="7" t="s">
        <v>4018</v>
      </c>
      <c r="U55" s="19" t="s">
        <v>4311</v>
      </c>
    </row>
    <row r="56" spans="4:21" ht="68">
      <c r="D56" t="s">
        <v>1667</v>
      </c>
      <c r="E56" t="s">
        <v>106</v>
      </c>
      <c r="F56" s="9" t="s">
        <v>366</v>
      </c>
      <c r="G56" s="38" t="s">
        <v>620</v>
      </c>
      <c r="H56" s="7" t="s">
        <v>902</v>
      </c>
      <c r="I56" s="7" t="s">
        <v>1861</v>
      </c>
      <c r="J56" s="7" t="s">
        <v>1099</v>
      </c>
      <c r="K56" s="7" t="s">
        <v>2128</v>
      </c>
      <c r="L56" s="7" t="s">
        <v>1302</v>
      </c>
      <c r="M56" s="7" t="s">
        <v>2383</v>
      </c>
      <c r="N56" s="7" t="s">
        <v>1612</v>
      </c>
      <c r="O56" s="19" t="s">
        <v>2630</v>
      </c>
      <c r="P56" s="7" t="s">
        <v>3050</v>
      </c>
      <c r="Q56" s="7" t="s">
        <v>3712</v>
      </c>
      <c r="R56" s="19" t="s">
        <v>4590</v>
      </c>
      <c r="S56" s="7" t="s">
        <v>3446</v>
      </c>
      <c r="T56" s="7" t="s">
        <v>4019</v>
      </c>
      <c r="U56" s="19" t="s">
        <v>4312</v>
      </c>
    </row>
    <row r="57" spans="4:21" ht="85">
      <c r="D57" t="s">
        <v>1667</v>
      </c>
      <c r="E57" t="s">
        <v>106</v>
      </c>
      <c r="F57" s="9" t="s">
        <v>30</v>
      </c>
      <c r="G57" s="38" t="s">
        <v>621</v>
      </c>
      <c r="H57" s="7" t="s">
        <v>266</v>
      </c>
      <c r="I57" s="19" t="s">
        <v>1864</v>
      </c>
      <c r="J57" s="7" t="s">
        <v>159</v>
      </c>
      <c r="K57" s="19" t="s">
        <v>2132</v>
      </c>
      <c r="L57" s="7" t="s">
        <v>267</v>
      </c>
      <c r="M57" s="18" t="s">
        <v>2384</v>
      </c>
      <c r="N57" s="18" t="s">
        <v>268</v>
      </c>
      <c r="O57" s="18" t="s">
        <v>2631</v>
      </c>
      <c r="P57" s="7" t="s">
        <v>3124</v>
      </c>
      <c r="Q57" s="20" t="s">
        <v>3713</v>
      </c>
      <c r="R57" s="19" t="s">
        <v>4591</v>
      </c>
      <c r="S57" s="7" t="s">
        <v>3447</v>
      </c>
      <c r="T57" s="7" t="s">
        <v>4020</v>
      </c>
      <c r="U57" s="7" t="s">
        <v>4313</v>
      </c>
    </row>
    <row r="58" spans="4:21" ht="102">
      <c r="D58" t="s">
        <v>1667</v>
      </c>
      <c r="E58" t="s">
        <v>106</v>
      </c>
      <c r="F58" s="9" t="s">
        <v>367</v>
      </c>
      <c r="G58" s="38" t="s">
        <v>622</v>
      </c>
      <c r="H58" s="7" t="s">
        <v>998</v>
      </c>
      <c r="I58" s="20" t="s">
        <v>1865</v>
      </c>
      <c r="J58" s="7" t="s">
        <v>1154</v>
      </c>
      <c r="K58" s="19" t="s">
        <v>2133</v>
      </c>
      <c r="L58" s="7" t="s">
        <v>1350</v>
      </c>
      <c r="M58" s="19" t="s">
        <v>2385</v>
      </c>
      <c r="N58" s="7" t="s">
        <v>1522</v>
      </c>
      <c r="O58" s="18" t="s">
        <v>2632</v>
      </c>
      <c r="P58" s="7" t="s">
        <v>3125</v>
      </c>
      <c r="Q58" s="7" t="s">
        <v>3714</v>
      </c>
      <c r="R58" s="20" t="s">
        <v>4592</v>
      </c>
      <c r="S58" s="7" t="s">
        <v>3448</v>
      </c>
      <c r="T58" s="7" t="s">
        <v>4021</v>
      </c>
      <c r="U58" s="7" t="s">
        <v>4314</v>
      </c>
    </row>
    <row r="59" spans="4:21" ht="85">
      <c r="D59" t="s">
        <v>1667</v>
      </c>
      <c r="E59" t="s">
        <v>106</v>
      </c>
      <c r="F59" s="9" t="s">
        <v>368</v>
      </c>
      <c r="G59" s="38" t="s">
        <v>623</v>
      </c>
      <c r="H59" s="7" t="s">
        <v>955</v>
      </c>
      <c r="I59" s="18" t="s">
        <v>1866</v>
      </c>
      <c r="J59" s="7" t="s">
        <v>1155</v>
      </c>
      <c r="K59" s="18" t="s">
        <v>2134</v>
      </c>
      <c r="L59" s="7" t="s">
        <v>1303</v>
      </c>
      <c r="M59" s="7" t="s">
        <v>2386</v>
      </c>
      <c r="N59" s="7" t="s">
        <v>1523</v>
      </c>
      <c r="O59" s="19" t="s">
        <v>2633</v>
      </c>
      <c r="P59" s="7" t="s">
        <v>3126</v>
      </c>
      <c r="Q59" s="7" t="s">
        <v>3715</v>
      </c>
      <c r="R59" s="7" t="s">
        <v>4593</v>
      </c>
      <c r="S59" s="7" t="s">
        <v>3606</v>
      </c>
      <c r="T59" s="7" t="s">
        <v>4022</v>
      </c>
      <c r="U59" s="7" t="s">
        <v>4315</v>
      </c>
    </row>
    <row r="60" spans="4:21" ht="102">
      <c r="D60" t="s">
        <v>1667</v>
      </c>
      <c r="E60" t="s">
        <v>106</v>
      </c>
      <c r="F60" s="9" t="s">
        <v>369</v>
      </c>
      <c r="G60" s="38" t="s">
        <v>624</v>
      </c>
      <c r="H60" s="7" t="s">
        <v>956</v>
      </c>
      <c r="I60" s="7" t="s">
        <v>1867</v>
      </c>
      <c r="J60" s="7" t="s">
        <v>1156</v>
      </c>
      <c r="K60" s="19" t="s">
        <v>2135</v>
      </c>
      <c r="L60" s="7" t="s">
        <v>1351</v>
      </c>
      <c r="M60" s="7" t="s">
        <v>2387</v>
      </c>
      <c r="N60" s="7" t="s">
        <v>1524</v>
      </c>
      <c r="O60" s="18" t="s">
        <v>2634</v>
      </c>
      <c r="P60" s="7" t="s">
        <v>3127</v>
      </c>
      <c r="Q60" s="7" t="s">
        <v>3716</v>
      </c>
      <c r="R60" s="20" t="s">
        <v>4594</v>
      </c>
      <c r="S60" s="7" t="s">
        <v>3449</v>
      </c>
      <c r="T60" s="7" t="s">
        <v>4023</v>
      </c>
      <c r="U60" s="7" t="s">
        <v>4316</v>
      </c>
    </row>
    <row r="61" spans="4:21" ht="85">
      <c r="D61" t="s">
        <v>1667</v>
      </c>
      <c r="E61" t="s">
        <v>106</v>
      </c>
      <c r="F61" s="9" t="s">
        <v>370</v>
      </c>
      <c r="G61" s="38" t="s">
        <v>625</v>
      </c>
      <c r="H61" s="7" t="s">
        <v>999</v>
      </c>
      <c r="I61" s="7" t="s">
        <v>1868</v>
      </c>
      <c r="J61" s="7" t="s">
        <v>1157</v>
      </c>
      <c r="K61" s="7" t="s">
        <v>2136</v>
      </c>
      <c r="L61" s="7" t="s">
        <v>1352</v>
      </c>
      <c r="M61" s="7" t="s">
        <v>2388</v>
      </c>
      <c r="N61" s="7" t="s">
        <v>1613</v>
      </c>
      <c r="O61" s="18" t="s">
        <v>2635</v>
      </c>
      <c r="P61" s="7" t="s">
        <v>3128</v>
      </c>
      <c r="Q61" s="7" t="s">
        <v>3717</v>
      </c>
      <c r="R61" s="19" t="s">
        <v>4595</v>
      </c>
      <c r="S61" s="7" t="s">
        <v>3450</v>
      </c>
      <c r="T61" s="7" t="s">
        <v>4024</v>
      </c>
      <c r="U61" s="7" t="s">
        <v>4317</v>
      </c>
    </row>
    <row r="62" spans="4:21" ht="85">
      <c r="D62" t="s">
        <v>1667</v>
      </c>
      <c r="E62" t="s">
        <v>106</v>
      </c>
      <c r="F62" s="9" t="s">
        <v>371</v>
      </c>
      <c r="G62" s="38" t="s">
        <v>626</v>
      </c>
      <c r="H62" s="7" t="s">
        <v>957</v>
      </c>
      <c r="I62" s="7" t="s">
        <v>1869</v>
      </c>
      <c r="J62" s="7" t="s">
        <v>1158</v>
      </c>
      <c r="K62" s="18" t="s">
        <v>2137</v>
      </c>
      <c r="L62" s="7" t="s">
        <v>1353</v>
      </c>
      <c r="M62" s="19" t="s">
        <v>2389</v>
      </c>
      <c r="N62" s="7" t="s">
        <v>1525</v>
      </c>
      <c r="O62" s="18" t="s">
        <v>2636</v>
      </c>
      <c r="P62" s="7" t="s">
        <v>3129</v>
      </c>
      <c r="Q62" s="7" t="s">
        <v>3718</v>
      </c>
      <c r="R62" s="19" t="s">
        <v>4596</v>
      </c>
      <c r="S62" s="7" t="s">
        <v>3607</v>
      </c>
      <c r="T62" s="7" t="s">
        <v>4025</v>
      </c>
      <c r="U62" s="7" t="s">
        <v>4529</v>
      </c>
    </row>
    <row r="63" spans="4:21" ht="102">
      <c r="D63" t="s">
        <v>1667</v>
      </c>
      <c r="E63" t="s">
        <v>106</v>
      </c>
      <c r="F63" s="9" t="s">
        <v>31</v>
      </c>
      <c r="G63" s="38" t="s">
        <v>627</v>
      </c>
      <c r="H63" s="7" t="s">
        <v>236</v>
      </c>
      <c r="I63" s="7" t="s">
        <v>1870</v>
      </c>
      <c r="J63" s="7" t="s">
        <v>132</v>
      </c>
      <c r="K63" s="7" t="s">
        <v>2138</v>
      </c>
      <c r="L63" s="7" t="s">
        <v>214</v>
      </c>
      <c r="M63" s="7" t="s">
        <v>2390</v>
      </c>
      <c r="N63" s="7" t="s">
        <v>237</v>
      </c>
      <c r="O63" s="7" t="s">
        <v>2637</v>
      </c>
      <c r="P63" s="7" t="s">
        <v>3051</v>
      </c>
      <c r="Q63" s="7" t="s">
        <v>3719</v>
      </c>
      <c r="R63" s="7" t="s">
        <v>3637</v>
      </c>
      <c r="S63" s="7" t="s">
        <v>3360</v>
      </c>
      <c r="T63" s="7" t="s">
        <v>4026</v>
      </c>
      <c r="U63" s="7" t="s">
        <v>4318</v>
      </c>
    </row>
    <row r="64" spans="4:21" ht="102">
      <c r="D64" t="s">
        <v>1667</v>
      </c>
      <c r="E64" t="s">
        <v>106</v>
      </c>
      <c r="F64" s="9" t="s">
        <v>372</v>
      </c>
      <c r="G64" s="38" t="s">
        <v>628</v>
      </c>
      <c r="H64" s="7" t="s">
        <v>903</v>
      </c>
      <c r="I64" s="7" t="s">
        <v>1871</v>
      </c>
      <c r="J64" s="7" t="s">
        <v>1043</v>
      </c>
      <c r="K64" s="7" t="s">
        <v>2139</v>
      </c>
      <c r="L64" s="7" t="s">
        <v>1304</v>
      </c>
      <c r="M64" s="7" t="s">
        <v>2391</v>
      </c>
      <c r="N64" s="7" t="s">
        <v>1526</v>
      </c>
      <c r="O64" s="18" t="s">
        <v>2638</v>
      </c>
      <c r="P64" s="7" t="s">
        <v>3052</v>
      </c>
      <c r="Q64" s="7" t="s">
        <v>3720</v>
      </c>
      <c r="R64" s="7" t="s">
        <v>4597</v>
      </c>
      <c r="S64" s="7" t="s">
        <v>3361</v>
      </c>
      <c r="T64" s="7" t="s">
        <v>4027</v>
      </c>
      <c r="U64" s="7" t="s">
        <v>4319</v>
      </c>
    </row>
    <row r="65" spans="4:21" ht="85">
      <c r="D65" t="s">
        <v>1667</v>
      </c>
      <c r="E65" t="s">
        <v>106</v>
      </c>
      <c r="F65" s="9" t="s">
        <v>373</v>
      </c>
      <c r="G65" s="38" t="s">
        <v>629</v>
      </c>
      <c r="H65" s="7" t="s">
        <v>904</v>
      </c>
      <c r="I65" s="7" t="s">
        <v>1872</v>
      </c>
      <c r="J65" s="7" t="s">
        <v>1100</v>
      </c>
      <c r="K65" s="7" t="s">
        <v>2140</v>
      </c>
      <c r="L65" s="7" t="s">
        <v>1305</v>
      </c>
      <c r="M65" s="7" t="s">
        <v>2392</v>
      </c>
      <c r="N65" s="7" t="s">
        <v>1527</v>
      </c>
      <c r="O65" s="7" t="s">
        <v>2639</v>
      </c>
      <c r="P65" s="7" t="s">
        <v>3130</v>
      </c>
      <c r="Q65" s="7" t="s">
        <v>3721</v>
      </c>
      <c r="R65" s="7" t="s">
        <v>4598</v>
      </c>
      <c r="S65" s="7" t="s">
        <v>3608</v>
      </c>
      <c r="T65" s="7" t="s">
        <v>4028</v>
      </c>
      <c r="U65" s="7" t="s">
        <v>4320</v>
      </c>
    </row>
    <row r="66" spans="4:21" ht="102">
      <c r="D66" t="s">
        <v>1667</v>
      </c>
      <c r="E66" t="s">
        <v>106</v>
      </c>
      <c r="F66" s="9" t="s">
        <v>374</v>
      </c>
      <c r="G66" s="38" t="s">
        <v>630</v>
      </c>
      <c r="H66" s="7" t="s">
        <v>837</v>
      </c>
      <c r="I66" s="7" t="s">
        <v>1873</v>
      </c>
      <c r="J66" s="7" t="s">
        <v>1044</v>
      </c>
      <c r="K66" s="7" t="s">
        <v>2141</v>
      </c>
      <c r="L66" s="7" t="s">
        <v>1236</v>
      </c>
      <c r="M66" s="7" t="s">
        <v>2393</v>
      </c>
      <c r="N66" s="7" t="s">
        <v>1528</v>
      </c>
      <c r="O66" s="7" t="s">
        <v>2640</v>
      </c>
      <c r="P66" s="7" t="s">
        <v>3015</v>
      </c>
      <c r="Q66" s="7" t="s">
        <v>3722</v>
      </c>
      <c r="R66" s="7" t="s">
        <v>4599</v>
      </c>
      <c r="S66" s="7" t="s">
        <v>3362</v>
      </c>
      <c r="T66" s="7" t="s">
        <v>4029</v>
      </c>
      <c r="U66" s="7" t="s">
        <v>4530</v>
      </c>
    </row>
    <row r="67" spans="4:21" ht="102">
      <c r="D67" t="s">
        <v>1667</v>
      </c>
      <c r="E67" t="s">
        <v>106</v>
      </c>
      <c r="F67" s="9" t="s">
        <v>375</v>
      </c>
      <c r="G67" s="38" t="s">
        <v>627</v>
      </c>
      <c r="H67" s="7" t="s">
        <v>838</v>
      </c>
      <c r="I67" s="7" t="s">
        <v>1874</v>
      </c>
      <c r="J67" s="7" t="s">
        <v>1045</v>
      </c>
      <c r="K67" s="7" t="s">
        <v>2142</v>
      </c>
      <c r="L67" s="7" t="s">
        <v>1306</v>
      </c>
      <c r="M67" s="7" t="s">
        <v>2394</v>
      </c>
      <c r="N67" s="7" t="s">
        <v>1469</v>
      </c>
      <c r="O67" s="7" t="s">
        <v>2641</v>
      </c>
      <c r="P67" s="7" t="s">
        <v>3053</v>
      </c>
      <c r="Q67" s="7" t="s">
        <v>3723</v>
      </c>
      <c r="R67" s="7" t="s">
        <v>3637</v>
      </c>
      <c r="S67" s="7" t="s">
        <v>3363</v>
      </c>
      <c r="T67" s="7" t="s">
        <v>4030</v>
      </c>
      <c r="U67" s="7" t="s">
        <v>4321</v>
      </c>
    </row>
    <row r="68" spans="4:21" ht="102">
      <c r="D68" t="s">
        <v>1667</v>
      </c>
      <c r="E68" t="s">
        <v>106</v>
      </c>
      <c r="F68" s="9" t="s">
        <v>376</v>
      </c>
      <c r="G68" s="38" t="s">
        <v>631</v>
      </c>
      <c r="H68" s="7" t="s">
        <v>839</v>
      </c>
      <c r="I68" s="7" t="s">
        <v>1875</v>
      </c>
      <c r="J68" s="7" t="s">
        <v>1101</v>
      </c>
      <c r="K68" s="7" t="s">
        <v>2143</v>
      </c>
      <c r="L68" s="7" t="s">
        <v>1307</v>
      </c>
      <c r="M68" s="7" t="s">
        <v>2395</v>
      </c>
      <c r="N68" s="7" t="s">
        <v>1470</v>
      </c>
      <c r="O68" s="7" t="s">
        <v>2642</v>
      </c>
      <c r="P68" s="7" t="s">
        <v>3246</v>
      </c>
      <c r="Q68" s="7" t="s">
        <v>3724</v>
      </c>
      <c r="R68" s="7" t="s">
        <v>4600</v>
      </c>
      <c r="S68" s="7" t="s">
        <v>3364</v>
      </c>
      <c r="T68" s="7" t="s">
        <v>4031</v>
      </c>
      <c r="U68" s="7" t="s">
        <v>4531</v>
      </c>
    </row>
    <row r="69" spans="4:21" ht="85">
      <c r="D69" t="s">
        <v>1667</v>
      </c>
      <c r="E69" t="s">
        <v>106</v>
      </c>
      <c r="F69" s="9" t="s">
        <v>32</v>
      </c>
      <c r="G69" s="38" t="s">
        <v>632</v>
      </c>
      <c r="H69" s="7" t="s">
        <v>269</v>
      </c>
      <c r="I69" s="7" t="s">
        <v>1876</v>
      </c>
      <c r="J69" s="7" t="s">
        <v>160</v>
      </c>
      <c r="K69" s="7" t="s">
        <v>2144</v>
      </c>
      <c r="L69" s="7" t="s">
        <v>270</v>
      </c>
      <c r="M69" s="7" t="s">
        <v>2396</v>
      </c>
      <c r="N69" s="7" t="s">
        <v>271</v>
      </c>
      <c r="O69" s="18" t="s">
        <v>2643</v>
      </c>
      <c r="P69" s="7" t="s">
        <v>3131</v>
      </c>
      <c r="Q69" s="19" t="s">
        <v>3725</v>
      </c>
      <c r="R69" s="19" t="s">
        <v>4601</v>
      </c>
      <c r="S69" s="7" t="s">
        <v>3451</v>
      </c>
      <c r="T69" s="7" t="s">
        <v>4032</v>
      </c>
      <c r="U69" s="19" t="s">
        <v>4322</v>
      </c>
    </row>
    <row r="70" spans="4:21" ht="102">
      <c r="D70" t="s">
        <v>1667</v>
      </c>
      <c r="E70" t="s">
        <v>106</v>
      </c>
      <c r="F70" s="9" t="s">
        <v>377</v>
      </c>
      <c r="G70" s="38" t="s">
        <v>633</v>
      </c>
      <c r="H70" s="7" t="s">
        <v>958</v>
      </c>
      <c r="I70" s="18" t="s">
        <v>1877</v>
      </c>
      <c r="J70" s="7" t="s">
        <v>1102</v>
      </c>
      <c r="K70" s="7" t="s">
        <v>2145</v>
      </c>
      <c r="L70" s="7" t="s">
        <v>1354</v>
      </c>
      <c r="M70" s="7" t="s">
        <v>2397</v>
      </c>
      <c r="N70" s="7" t="s">
        <v>1529</v>
      </c>
      <c r="O70" s="7" t="s">
        <v>2644</v>
      </c>
      <c r="P70" s="7" t="s">
        <v>3132</v>
      </c>
      <c r="Q70" s="19" t="s">
        <v>3726</v>
      </c>
      <c r="R70" s="7" t="s">
        <v>4602</v>
      </c>
      <c r="S70" s="7" t="s">
        <v>3452</v>
      </c>
      <c r="T70" s="19" t="s">
        <v>4033</v>
      </c>
      <c r="U70" s="7" t="s">
        <v>4323</v>
      </c>
    </row>
    <row r="71" spans="4:21" ht="85">
      <c r="D71" t="s">
        <v>1667</v>
      </c>
      <c r="E71" t="s">
        <v>106</v>
      </c>
      <c r="F71" s="9" t="s">
        <v>378</v>
      </c>
      <c r="G71" s="38" t="s">
        <v>634</v>
      </c>
      <c r="H71" s="7" t="s">
        <v>905</v>
      </c>
      <c r="I71" s="19" t="s">
        <v>1878</v>
      </c>
      <c r="J71" s="7" t="s">
        <v>1103</v>
      </c>
      <c r="K71" s="7" t="s">
        <v>2146</v>
      </c>
      <c r="L71" s="7" t="s">
        <v>1308</v>
      </c>
      <c r="M71" s="7" t="s">
        <v>2398</v>
      </c>
      <c r="N71" s="7" t="s">
        <v>1614</v>
      </c>
      <c r="O71" s="18" t="s">
        <v>2645</v>
      </c>
      <c r="P71" s="7" t="s">
        <v>3016</v>
      </c>
      <c r="Q71" s="19" t="s">
        <v>3727</v>
      </c>
      <c r="R71" s="19" t="s">
        <v>4603</v>
      </c>
      <c r="S71" s="7" t="s">
        <v>3323</v>
      </c>
      <c r="T71" s="19" t="s">
        <v>4034</v>
      </c>
      <c r="U71" s="7" t="s">
        <v>4324</v>
      </c>
    </row>
    <row r="72" spans="4:21" ht="102">
      <c r="D72" t="s">
        <v>1667</v>
      </c>
      <c r="E72" t="s">
        <v>106</v>
      </c>
      <c r="F72" s="9" t="s">
        <v>379</v>
      </c>
      <c r="G72" s="38" t="s">
        <v>635</v>
      </c>
      <c r="H72" s="7" t="s">
        <v>906</v>
      </c>
      <c r="I72" s="7" t="s">
        <v>1879</v>
      </c>
      <c r="J72" s="7" t="s">
        <v>1104</v>
      </c>
      <c r="K72" s="7" t="s">
        <v>2147</v>
      </c>
      <c r="L72" s="7" t="s">
        <v>1237</v>
      </c>
      <c r="M72" s="7" t="s">
        <v>2399</v>
      </c>
      <c r="N72" s="7" t="s">
        <v>1530</v>
      </c>
      <c r="O72" s="18" t="s">
        <v>2646</v>
      </c>
      <c r="P72" s="7" t="s">
        <v>3054</v>
      </c>
      <c r="Q72" s="7" t="s">
        <v>3728</v>
      </c>
      <c r="R72" s="19" t="s">
        <v>4604</v>
      </c>
      <c r="S72" s="7" t="s">
        <v>3365</v>
      </c>
      <c r="T72" s="7" t="s">
        <v>4035</v>
      </c>
      <c r="U72" s="18" t="s">
        <v>4325</v>
      </c>
    </row>
    <row r="73" spans="4:21" ht="85">
      <c r="D73" t="s">
        <v>1667</v>
      </c>
      <c r="E73" t="s">
        <v>106</v>
      </c>
      <c r="F73" s="9" t="s">
        <v>380</v>
      </c>
      <c r="G73" s="38" t="s">
        <v>636</v>
      </c>
      <c r="H73" s="7" t="s">
        <v>907</v>
      </c>
      <c r="I73" s="7" t="s">
        <v>1880</v>
      </c>
      <c r="J73" s="7" t="s">
        <v>1105</v>
      </c>
      <c r="K73" s="7" t="s">
        <v>2148</v>
      </c>
      <c r="L73" s="7" t="s">
        <v>1309</v>
      </c>
      <c r="M73" s="19" t="s">
        <v>2400</v>
      </c>
      <c r="N73" s="7" t="s">
        <v>1531</v>
      </c>
      <c r="O73" s="18" t="s">
        <v>2647</v>
      </c>
      <c r="P73" s="7" t="s">
        <v>3055</v>
      </c>
      <c r="Q73" s="19" t="s">
        <v>3729</v>
      </c>
      <c r="R73" s="19" t="s">
        <v>4605</v>
      </c>
      <c r="S73" s="7" t="s">
        <v>3366</v>
      </c>
      <c r="T73" s="19" t="s">
        <v>4036</v>
      </c>
      <c r="U73" s="19" t="s">
        <v>4326</v>
      </c>
    </row>
    <row r="74" spans="4:21" ht="85">
      <c r="D74" t="s">
        <v>1667</v>
      </c>
      <c r="E74" t="s">
        <v>106</v>
      </c>
      <c r="F74" s="9" t="s">
        <v>381</v>
      </c>
      <c r="G74" s="38" t="s">
        <v>637</v>
      </c>
      <c r="H74" s="7" t="s">
        <v>959</v>
      </c>
      <c r="I74" s="7" t="s">
        <v>1881</v>
      </c>
      <c r="J74" s="7" t="s">
        <v>1159</v>
      </c>
      <c r="K74" s="7" t="s">
        <v>2149</v>
      </c>
      <c r="L74" s="7" t="s">
        <v>1310</v>
      </c>
      <c r="M74" s="7" t="s">
        <v>2401</v>
      </c>
      <c r="N74" s="7" t="s">
        <v>1532</v>
      </c>
      <c r="O74" s="18" t="s">
        <v>2648</v>
      </c>
      <c r="P74" s="7" t="s">
        <v>3133</v>
      </c>
      <c r="Q74" s="7" t="s">
        <v>3730</v>
      </c>
      <c r="R74" s="7" t="s">
        <v>4606</v>
      </c>
      <c r="S74" s="7" t="s">
        <v>3453</v>
      </c>
      <c r="T74" s="19" t="s">
        <v>4037</v>
      </c>
      <c r="U74" s="7" t="s">
        <v>4327</v>
      </c>
    </row>
    <row r="75" spans="4:21" ht="119">
      <c r="D75" t="s">
        <v>1667</v>
      </c>
      <c r="E75" t="s">
        <v>109</v>
      </c>
      <c r="F75" s="9" t="s">
        <v>42</v>
      </c>
      <c r="G75" s="38" t="s">
        <v>638</v>
      </c>
      <c r="H75" s="7" t="s">
        <v>192</v>
      </c>
      <c r="I75" s="7" t="s">
        <v>1882</v>
      </c>
      <c r="J75" s="7" t="s">
        <v>170</v>
      </c>
      <c r="K75" s="7" t="s">
        <v>2150</v>
      </c>
      <c r="L75" s="7" t="s">
        <v>215</v>
      </c>
      <c r="M75" s="7" t="s">
        <v>2402</v>
      </c>
      <c r="N75" s="7" t="s">
        <v>307</v>
      </c>
      <c r="O75" s="7" t="s">
        <v>2649</v>
      </c>
      <c r="P75" s="7" t="s">
        <v>3247</v>
      </c>
      <c r="Q75" s="7" t="s">
        <v>3731</v>
      </c>
      <c r="R75" s="7" t="s">
        <v>4607</v>
      </c>
      <c r="S75" s="7" t="s">
        <v>3555</v>
      </c>
      <c r="T75" s="7" t="s">
        <v>4038</v>
      </c>
      <c r="U75" s="7" t="s">
        <v>4328</v>
      </c>
    </row>
    <row r="76" spans="4:21" ht="85">
      <c r="D76" t="s">
        <v>1667</v>
      </c>
      <c r="E76" t="s">
        <v>109</v>
      </c>
      <c r="F76" s="9" t="s">
        <v>382</v>
      </c>
      <c r="G76" s="38" t="s">
        <v>639</v>
      </c>
      <c r="H76" s="7" t="s">
        <v>840</v>
      </c>
      <c r="I76" s="7" t="s">
        <v>1883</v>
      </c>
      <c r="J76" s="7" t="s">
        <v>1046</v>
      </c>
      <c r="K76" s="7" t="s">
        <v>2151</v>
      </c>
      <c r="L76" s="7" t="s">
        <v>1396</v>
      </c>
      <c r="M76" s="7" t="s">
        <v>2403</v>
      </c>
      <c r="N76" s="7" t="s">
        <v>1615</v>
      </c>
      <c r="O76" s="7" t="s">
        <v>2650</v>
      </c>
      <c r="P76" s="7" t="s">
        <v>3248</v>
      </c>
      <c r="Q76" s="7" t="s">
        <v>3732</v>
      </c>
      <c r="R76" s="7" t="s">
        <v>4608</v>
      </c>
      <c r="S76" s="7" t="s">
        <v>3324</v>
      </c>
      <c r="T76" s="7" t="s">
        <v>4039</v>
      </c>
      <c r="U76" s="7" t="s">
        <v>4329</v>
      </c>
    </row>
    <row r="77" spans="4:21" ht="102">
      <c r="D77" t="s">
        <v>1667</v>
      </c>
      <c r="E77" t="s">
        <v>109</v>
      </c>
      <c r="F77" s="9" t="s">
        <v>383</v>
      </c>
      <c r="G77" s="38" t="s">
        <v>640</v>
      </c>
      <c r="H77" s="7" t="s">
        <v>1000</v>
      </c>
      <c r="I77" s="7" t="s">
        <v>1884</v>
      </c>
      <c r="J77" s="7" t="s">
        <v>1204</v>
      </c>
      <c r="K77" s="7" t="s">
        <v>2152</v>
      </c>
      <c r="L77" s="7" t="s">
        <v>1000</v>
      </c>
      <c r="M77" s="7" t="s">
        <v>1884</v>
      </c>
      <c r="N77" s="7" t="s">
        <v>1616</v>
      </c>
      <c r="O77" s="7" t="s">
        <v>2651</v>
      </c>
      <c r="P77" s="7" t="s">
        <v>3249</v>
      </c>
      <c r="Q77" s="7" t="s">
        <v>3733</v>
      </c>
      <c r="R77" s="7" t="s">
        <v>4609</v>
      </c>
      <c r="S77" s="7" t="s">
        <v>3556</v>
      </c>
      <c r="T77" s="7" t="s">
        <v>4040</v>
      </c>
      <c r="U77" s="7" t="s">
        <v>4330</v>
      </c>
    </row>
    <row r="78" spans="4:21" ht="85">
      <c r="D78" t="s">
        <v>1667</v>
      </c>
      <c r="E78" t="s">
        <v>109</v>
      </c>
      <c r="F78" s="9" t="s">
        <v>384</v>
      </c>
      <c r="G78" s="38" t="s">
        <v>641</v>
      </c>
      <c r="H78" s="7" t="s">
        <v>908</v>
      </c>
      <c r="I78" s="7" t="s">
        <v>1885</v>
      </c>
      <c r="J78" s="7" t="s">
        <v>1205</v>
      </c>
      <c r="K78" s="7" t="s">
        <v>2153</v>
      </c>
      <c r="L78" s="7" t="s">
        <v>1355</v>
      </c>
      <c r="M78" s="7" t="s">
        <v>2404</v>
      </c>
      <c r="N78" s="7" t="s">
        <v>1617</v>
      </c>
      <c r="O78" s="7" t="s">
        <v>2652</v>
      </c>
      <c r="P78" s="7" t="s">
        <v>3250</v>
      </c>
      <c r="Q78" s="7" t="s">
        <v>3734</v>
      </c>
      <c r="R78" s="7" t="s">
        <v>4610</v>
      </c>
      <c r="S78" s="7" t="s">
        <v>3557</v>
      </c>
      <c r="T78" s="7" t="s">
        <v>4041</v>
      </c>
      <c r="U78" s="7" t="s">
        <v>4331</v>
      </c>
    </row>
    <row r="79" spans="4:21" ht="102">
      <c r="D79" t="s">
        <v>1667</v>
      </c>
      <c r="E79" t="s">
        <v>109</v>
      </c>
      <c r="F79" s="9" t="s">
        <v>385</v>
      </c>
      <c r="G79" s="38" t="s">
        <v>642</v>
      </c>
      <c r="H79" s="7" t="s">
        <v>1001</v>
      </c>
      <c r="I79" s="7" t="s">
        <v>1886</v>
      </c>
      <c r="J79" s="7" t="s">
        <v>1206</v>
      </c>
      <c r="K79" s="7" t="s">
        <v>2154</v>
      </c>
      <c r="L79" s="7" t="s">
        <v>1397</v>
      </c>
      <c r="M79" s="7" t="s">
        <v>2405</v>
      </c>
      <c r="N79" s="7" t="s">
        <v>1618</v>
      </c>
      <c r="O79" s="7" t="s">
        <v>2653</v>
      </c>
      <c r="P79" s="7" t="s">
        <v>3251</v>
      </c>
      <c r="Q79" s="7" t="s">
        <v>3735</v>
      </c>
      <c r="R79" s="7" t="s">
        <v>4611</v>
      </c>
      <c r="S79" s="7" t="s">
        <v>3558</v>
      </c>
      <c r="T79" s="7" t="s">
        <v>4042</v>
      </c>
      <c r="U79" s="7" t="s">
        <v>4332</v>
      </c>
    </row>
    <row r="80" spans="4:21" ht="102">
      <c r="D80" t="s">
        <v>1667</v>
      </c>
      <c r="E80" t="s">
        <v>109</v>
      </c>
      <c r="F80" s="9" t="s">
        <v>386</v>
      </c>
      <c r="G80" s="38" t="s">
        <v>643</v>
      </c>
      <c r="H80" s="7" t="s">
        <v>1002</v>
      </c>
      <c r="I80" s="7" t="s">
        <v>1887</v>
      </c>
      <c r="J80" s="7" t="s">
        <v>1207</v>
      </c>
      <c r="K80" s="7" t="s">
        <v>2155</v>
      </c>
      <c r="L80" s="7" t="s">
        <v>1398</v>
      </c>
      <c r="M80" s="7" t="s">
        <v>2406</v>
      </c>
      <c r="N80" s="7" t="s">
        <v>1619</v>
      </c>
      <c r="O80" s="18" t="s">
        <v>2654</v>
      </c>
      <c r="P80" s="7" t="s">
        <v>3252</v>
      </c>
      <c r="Q80" s="7" t="s">
        <v>3736</v>
      </c>
      <c r="R80" s="7" t="s">
        <v>4612</v>
      </c>
      <c r="S80" s="7" t="s">
        <v>3559</v>
      </c>
      <c r="T80" s="7" t="s">
        <v>4043</v>
      </c>
      <c r="U80" s="7" t="s">
        <v>4333</v>
      </c>
    </row>
    <row r="81" spans="4:21" ht="102">
      <c r="D81" t="s">
        <v>1667</v>
      </c>
      <c r="E81" t="s">
        <v>110</v>
      </c>
      <c r="F81" s="9" t="s">
        <v>43</v>
      </c>
      <c r="G81" s="40" t="s">
        <v>644</v>
      </c>
      <c r="H81" s="7" t="s">
        <v>321</v>
      </c>
      <c r="I81" s="7" t="s">
        <v>1888</v>
      </c>
      <c r="J81" s="7" t="s">
        <v>169</v>
      </c>
      <c r="K81" s="7" t="s">
        <v>2156</v>
      </c>
      <c r="L81" s="7" t="s">
        <v>238</v>
      </c>
      <c r="M81" s="7" t="s">
        <v>2407</v>
      </c>
      <c r="N81" s="7" t="s">
        <v>272</v>
      </c>
      <c r="O81" s="7" t="s">
        <v>2655</v>
      </c>
      <c r="P81" s="7" t="s">
        <v>3134</v>
      </c>
      <c r="Q81" s="7" t="s">
        <v>3737</v>
      </c>
      <c r="R81" s="7" t="s">
        <v>4613</v>
      </c>
      <c r="S81" s="7" t="s">
        <v>3454</v>
      </c>
      <c r="T81" s="7" t="s">
        <v>4044</v>
      </c>
      <c r="U81" s="7" t="s">
        <v>4334</v>
      </c>
    </row>
    <row r="82" spans="4:21" ht="102">
      <c r="D82" t="s">
        <v>1667</v>
      </c>
      <c r="E82" t="s">
        <v>110</v>
      </c>
      <c r="F82" s="9" t="s">
        <v>387</v>
      </c>
      <c r="G82" s="40" t="s">
        <v>645</v>
      </c>
      <c r="H82" s="7" t="s">
        <v>1003</v>
      </c>
      <c r="I82" s="7" t="s">
        <v>1889</v>
      </c>
      <c r="J82" s="7" t="s">
        <v>1047</v>
      </c>
      <c r="K82" s="7" t="s">
        <v>2157</v>
      </c>
      <c r="L82" s="7" t="s">
        <v>1311</v>
      </c>
      <c r="M82" s="7" t="s">
        <v>2408</v>
      </c>
      <c r="N82" s="7" t="s">
        <v>1533</v>
      </c>
      <c r="O82" s="7" t="s">
        <v>2656</v>
      </c>
      <c r="P82" s="7" t="s">
        <v>3135</v>
      </c>
      <c r="Q82" s="7" t="s">
        <v>3738</v>
      </c>
      <c r="R82" s="7" t="s">
        <v>4614</v>
      </c>
      <c r="S82" s="7" t="s">
        <v>3455</v>
      </c>
      <c r="T82" s="7" t="s">
        <v>4045</v>
      </c>
      <c r="U82" s="7" t="s">
        <v>4335</v>
      </c>
    </row>
    <row r="83" spans="4:21" ht="102">
      <c r="D83" t="s">
        <v>1667</v>
      </c>
      <c r="E83" t="s">
        <v>110</v>
      </c>
      <c r="F83" s="9" t="s">
        <v>388</v>
      </c>
      <c r="G83" s="40" t="s">
        <v>646</v>
      </c>
      <c r="H83" s="7" t="s">
        <v>841</v>
      </c>
      <c r="I83" s="7" t="s">
        <v>1890</v>
      </c>
      <c r="J83" s="7" t="s">
        <v>1106</v>
      </c>
      <c r="K83" s="7" t="s">
        <v>2158</v>
      </c>
      <c r="L83" s="7" t="s">
        <v>1399</v>
      </c>
      <c r="M83" s="7" t="s">
        <v>2409</v>
      </c>
      <c r="N83" s="7" t="s">
        <v>1620</v>
      </c>
      <c r="O83" s="7" t="s">
        <v>2657</v>
      </c>
      <c r="P83" s="7" t="s">
        <v>3253</v>
      </c>
      <c r="Q83" s="7" t="s">
        <v>3739</v>
      </c>
      <c r="R83" s="7" t="s">
        <v>4615</v>
      </c>
      <c r="S83" s="7" t="s">
        <v>3560</v>
      </c>
      <c r="T83" s="7" t="s">
        <v>4046</v>
      </c>
      <c r="U83" s="7" t="s">
        <v>4336</v>
      </c>
    </row>
    <row r="84" spans="4:21" ht="102">
      <c r="D84" t="s">
        <v>1667</v>
      </c>
      <c r="E84" t="s">
        <v>110</v>
      </c>
      <c r="F84" s="9" t="s">
        <v>389</v>
      </c>
      <c r="G84" s="40" t="s">
        <v>647</v>
      </c>
      <c r="H84" s="7" t="s">
        <v>842</v>
      </c>
      <c r="I84" s="7" t="s">
        <v>1891</v>
      </c>
      <c r="J84" s="7" t="s">
        <v>1208</v>
      </c>
      <c r="K84" s="7" t="s">
        <v>2159</v>
      </c>
      <c r="L84" s="7" t="s">
        <v>1312</v>
      </c>
      <c r="M84" s="7" t="s">
        <v>2410</v>
      </c>
      <c r="N84" s="7" t="s">
        <v>1621</v>
      </c>
      <c r="O84" s="7" t="s">
        <v>2658</v>
      </c>
      <c r="P84" s="7" t="s">
        <v>3136</v>
      </c>
      <c r="Q84" s="7" t="s">
        <v>3740</v>
      </c>
      <c r="R84" s="7" t="s">
        <v>4616</v>
      </c>
      <c r="S84" s="7" t="s">
        <v>3456</v>
      </c>
      <c r="T84" s="7" t="s">
        <v>4047</v>
      </c>
      <c r="U84" s="7" t="s">
        <v>4337</v>
      </c>
    </row>
    <row r="85" spans="4:21" ht="102">
      <c r="D85" t="s">
        <v>1667</v>
      </c>
      <c r="E85" t="s">
        <v>110</v>
      </c>
      <c r="F85" s="9" t="s">
        <v>390</v>
      </c>
      <c r="G85" s="40" t="s">
        <v>648</v>
      </c>
      <c r="H85" s="7" t="s">
        <v>909</v>
      </c>
      <c r="I85" s="7" t="s">
        <v>1892</v>
      </c>
      <c r="J85" s="7" t="s">
        <v>1048</v>
      </c>
      <c r="K85" s="7" t="s">
        <v>2160</v>
      </c>
      <c r="L85" s="7" t="s">
        <v>1313</v>
      </c>
      <c r="M85" s="7" t="s">
        <v>2411</v>
      </c>
      <c r="N85" s="7" t="s">
        <v>1534</v>
      </c>
      <c r="O85" s="7" t="s">
        <v>2659</v>
      </c>
      <c r="P85" s="7" t="s">
        <v>3137</v>
      </c>
      <c r="Q85" s="7" t="s">
        <v>3741</v>
      </c>
      <c r="R85" s="7" t="s">
        <v>4617</v>
      </c>
      <c r="S85" s="7" t="s">
        <v>3457</v>
      </c>
      <c r="T85" s="7" t="s">
        <v>4048</v>
      </c>
      <c r="U85" s="7" t="s">
        <v>4338</v>
      </c>
    </row>
    <row r="86" spans="4:21" ht="102">
      <c r="D86" t="s">
        <v>1667</v>
      </c>
      <c r="E86" t="s">
        <v>110</v>
      </c>
      <c r="F86" s="9" t="s">
        <v>391</v>
      </c>
      <c r="G86" s="40" t="s">
        <v>649</v>
      </c>
      <c r="H86" s="7" t="s">
        <v>1004</v>
      </c>
      <c r="I86" s="7" t="s">
        <v>1893</v>
      </c>
      <c r="J86" s="7" t="s">
        <v>1228</v>
      </c>
      <c r="K86" s="7" t="s">
        <v>2161</v>
      </c>
      <c r="L86" s="7" t="s">
        <v>321</v>
      </c>
      <c r="M86" s="7" t="s">
        <v>1888</v>
      </c>
      <c r="N86" s="7" t="s">
        <v>1535</v>
      </c>
      <c r="O86" s="7" t="s">
        <v>2660</v>
      </c>
      <c r="P86" s="7" t="s">
        <v>3138</v>
      </c>
      <c r="Q86" s="7" t="s">
        <v>3742</v>
      </c>
      <c r="R86" s="7" t="s">
        <v>4618</v>
      </c>
      <c r="S86" s="7" t="s">
        <v>3458</v>
      </c>
      <c r="T86" s="7" t="s">
        <v>4049</v>
      </c>
      <c r="U86" s="7" t="s">
        <v>4339</v>
      </c>
    </row>
    <row r="87" spans="4:21" ht="68">
      <c r="D87" t="s">
        <v>1666</v>
      </c>
      <c r="E87" t="s">
        <v>110</v>
      </c>
      <c r="F87" s="9" t="s">
        <v>44</v>
      </c>
      <c r="G87" s="38" t="s">
        <v>50</v>
      </c>
      <c r="H87" s="7" t="s">
        <v>273</v>
      </c>
      <c r="I87" s="7" t="s">
        <v>1894</v>
      </c>
      <c r="J87" s="7" t="s">
        <v>175</v>
      </c>
      <c r="K87" s="7" t="s">
        <v>2162</v>
      </c>
      <c r="L87" s="7" t="s">
        <v>274</v>
      </c>
      <c r="M87" s="7" t="s">
        <v>2412</v>
      </c>
      <c r="N87" s="7" t="s">
        <v>275</v>
      </c>
      <c r="O87" s="7" t="s">
        <v>2661</v>
      </c>
      <c r="P87" s="7" t="s">
        <v>3139</v>
      </c>
      <c r="Q87" s="7" t="s">
        <v>3743</v>
      </c>
      <c r="R87" s="19" t="s">
        <v>4619</v>
      </c>
      <c r="S87" s="7" t="s">
        <v>3459</v>
      </c>
      <c r="T87" s="7" t="s">
        <v>4050</v>
      </c>
      <c r="U87" s="19" t="s">
        <v>4532</v>
      </c>
    </row>
    <row r="88" spans="4:21" ht="85">
      <c r="D88" t="s">
        <v>1666</v>
      </c>
      <c r="E88" t="s">
        <v>110</v>
      </c>
      <c r="F88" s="9" t="s">
        <v>392</v>
      </c>
      <c r="G88" s="38" t="s">
        <v>650</v>
      </c>
      <c r="H88" s="7" t="s">
        <v>273</v>
      </c>
      <c r="I88" s="7" t="s">
        <v>1894</v>
      </c>
      <c r="J88" s="7" t="s">
        <v>1160</v>
      </c>
      <c r="K88" s="7" t="s">
        <v>2163</v>
      </c>
      <c r="L88" s="7" t="s">
        <v>1314</v>
      </c>
      <c r="M88" s="7" t="s">
        <v>2413</v>
      </c>
      <c r="N88" s="7" t="s">
        <v>1437</v>
      </c>
      <c r="O88" s="7" t="s">
        <v>2662</v>
      </c>
      <c r="P88" s="7" t="s">
        <v>3056</v>
      </c>
      <c r="Q88" s="7" t="s">
        <v>3744</v>
      </c>
      <c r="R88" s="19" t="s">
        <v>4620</v>
      </c>
      <c r="S88" s="7" t="s">
        <v>3325</v>
      </c>
      <c r="T88" s="7" t="s">
        <v>4051</v>
      </c>
      <c r="U88" s="19" t="s">
        <v>4340</v>
      </c>
    </row>
    <row r="89" spans="4:21" ht="85">
      <c r="D89" t="s">
        <v>1666</v>
      </c>
      <c r="E89" t="s">
        <v>110</v>
      </c>
      <c r="F89" s="9" t="s">
        <v>393</v>
      </c>
      <c r="G89" s="38" t="s">
        <v>651</v>
      </c>
      <c r="H89" s="7" t="s">
        <v>74</v>
      </c>
      <c r="I89" s="7" t="s">
        <v>1895</v>
      </c>
      <c r="J89" s="7" t="s">
        <v>1161</v>
      </c>
      <c r="K89" s="7" t="s">
        <v>2164</v>
      </c>
      <c r="L89" s="7" t="s">
        <v>1356</v>
      </c>
      <c r="M89" s="7" t="s">
        <v>2414</v>
      </c>
      <c r="N89" s="7" t="s">
        <v>1471</v>
      </c>
      <c r="O89" s="7" t="s">
        <v>2663</v>
      </c>
      <c r="P89" s="7" t="s">
        <v>3057</v>
      </c>
      <c r="Q89" s="7" t="s">
        <v>3745</v>
      </c>
      <c r="R89" s="19" t="s">
        <v>4621</v>
      </c>
      <c r="S89" s="7" t="s">
        <v>3460</v>
      </c>
      <c r="T89" s="7" t="s">
        <v>4052</v>
      </c>
      <c r="U89" s="19" t="s">
        <v>4533</v>
      </c>
    </row>
    <row r="90" spans="4:21" ht="85">
      <c r="D90" t="s">
        <v>1666</v>
      </c>
      <c r="E90" t="s">
        <v>110</v>
      </c>
      <c r="F90" s="9" t="s">
        <v>394</v>
      </c>
      <c r="G90" s="38" t="s">
        <v>652</v>
      </c>
      <c r="H90" s="7" t="s">
        <v>910</v>
      </c>
      <c r="I90" s="7" t="s">
        <v>1896</v>
      </c>
      <c r="J90" s="7" t="s">
        <v>1162</v>
      </c>
      <c r="K90" s="7" t="s">
        <v>2165</v>
      </c>
      <c r="L90" s="7" t="s">
        <v>1357</v>
      </c>
      <c r="M90" s="7" t="s">
        <v>2415</v>
      </c>
      <c r="N90" s="7" t="s">
        <v>1622</v>
      </c>
      <c r="O90" s="7" t="s">
        <v>2664</v>
      </c>
      <c r="P90" s="7" t="s">
        <v>3140</v>
      </c>
      <c r="Q90" s="7" t="s">
        <v>3746</v>
      </c>
      <c r="R90" s="19" t="s">
        <v>4622</v>
      </c>
      <c r="S90" s="7" t="s">
        <v>3461</v>
      </c>
      <c r="T90" s="7" t="s">
        <v>4053</v>
      </c>
      <c r="U90" s="7" t="s">
        <v>4341</v>
      </c>
    </row>
    <row r="91" spans="4:21" ht="85">
      <c r="D91" t="s">
        <v>1666</v>
      </c>
      <c r="E91" t="s">
        <v>110</v>
      </c>
      <c r="F91" s="9" t="s">
        <v>395</v>
      </c>
      <c r="G91" s="38" t="s">
        <v>653</v>
      </c>
      <c r="H91" s="7" t="s">
        <v>911</v>
      </c>
      <c r="I91" s="7" t="s">
        <v>1897</v>
      </c>
      <c r="J91" s="7" t="s">
        <v>1049</v>
      </c>
      <c r="K91" s="7" t="s">
        <v>2166</v>
      </c>
      <c r="L91" s="7" t="s">
        <v>1358</v>
      </c>
      <c r="M91" s="7" t="s">
        <v>2416</v>
      </c>
      <c r="N91" s="7" t="s">
        <v>1438</v>
      </c>
      <c r="O91" s="7" t="s">
        <v>2665</v>
      </c>
      <c r="P91" s="7" t="s">
        <v>3058</v>
      </c>
      <c r="Q91" s="7" t="s">
        <v>3747</v>
      </c>
      <c r="R91" s="19" t="s">
        <v>4623</v>
      </c>
      <c r="S91" s="7" t="s">
        <v>3367</v>
      </c>
      <c r="T91" s="7" t="s">
        <v>4054</v>
      </c>
      <c r="U91" s="19" t="s">
        <v>4342</v>
      </c>
    </row>
    <row r="92" spans="4:21" ht="85">
      <c r="D92" t="s">
        <v>1666</v>
      </c>
      <c r="E92" t="s">
        <v>110</v>
      </c>
      <c r="F92" s="9" t="s">
        <v>70</v>
      </c>
      <c r="G92" s="38" t="s">
        <v>654</v>
      </c>
      <c r="H92" s="7" t="s">
        <v>273</v>
      </c>
      <c r="I92" s="7" t="s">
        <v>1894</v>
      </c>
      <c r="J92" s="7" t="s">
        <v>1160</v>
      </c>
      <c r="K92" s="7" t="s">
        <v>2163</v>
      </c>
      <c r="L92" s="7" t="s">
        <v>1315</v>
      </c>
      <c r="M92" s="7" t="s">
        <v>2417</v>
      </c>
      <c r="N92" s="7" t="s">
        <v>1472</v>
      </c>
      <c r="O92" s="7" t="s">
        <v>2666</v>
      </c>
      <c r="P92" s="7" t="s">
        <v>3059</v>
      </c>
      <c r="Q92" s="7" t="s">
        <v>3748</v>
      </c>
      <c r="R92" s="19" t="s">
        <v>4624</v>
      </c>
      <c r="S92" s="7" t="s">
        <v>3609</v>
      </c>
      <c r="T92" s="7" t="s">
        <v>4055</v>
      </c>
      <c r="U92" s="19" t="s">
        <v>4343</v>
      </c>
    </row>
    <row r="93" spans="4:21" ht="102">
      <c r="D93" t="s">
        <v>1667</v>
      </c>
      <c r="E93" t="s">
        <v>106</v>
      </c>
      <c r="F93" s="9" t="s">
        <v>45</v>
      </c>
      <c r="G93" s="40" t="s">
        <v>51</v>
      </c>
      <c r="H93" s="7" t="s">
        <v>239</v>
      </c>
      <c r="I93" s="7" t="s">
        <v>1898</v>
      </c>
      <c r="J93" s="7" t="s">
        <v>161</v>
      </c>
      <c r="K93" s="7" t="s">
        <v>2167</v>
      </c>
      <c r="L93" s="7" t="s">
        <v>276</v>
      </c>
      <c r="M93" s="7" t="s">
        <v>2418</v>
      </c>
      <c r="N93" s="7" t="s">
        <v>308</v>
      </c>
      <c r="O93" s="7" t="s">
        <v>2667</v>
      </c>
      <c r="P93" s="7" t="s">
        <v>3141</v>
      </c>
      <c r="Q93" s="7" t="s">
        <v>3749</v>
      </c>
      <c r="R93" s="7" t="s">
        <v>4625</v>
      </c>
      <c r="S93" s="7" t="s">
        <v>3462</v>
      </c>
      <c r="T93" s="7" t="s">
        <v>4056</v>
      </c>
      <c r="U93" s="7" t="s">
        <v>4344</v>
      </c>
    </row>
    <row r="94" spans="4:21" ht="102">
      <c r="D94" t="s">
        <v>1667</v>
      </c>
      <c r="E94" t="s">
        <v>106</v>
      </c>
      <c r="F94" s="9" t="s">
        <v>396</v>
      </c>
      <c r="G94" s="40" t="s">
        <v>655</v>
      </c>
      <c r="H94" s="7" t="s">
        <v>960</v>
      </c>
      <c r="I94" s="7" t="s">
        <v>1899</v>
      </c>
      <c r="J94" s="7" t="s">
        <v>1163</v>
      </c>
      <c r="K94" s="7" t="s">
        <v>2168</v>
      </c>
      <c r="L94" s="7" t="s">
        <v>276</v>
      </c>
      <c r="M94" s="7" t="s">
        <v>2418</v>
      </c>
      <c r="N94" s="7" t="s">
        <v>1623</v>
      </c>
      <c r="O94" s="7" t="s">
        <v>2668</v>
      </c>
      <c r="P94" s="7" t="s">
        <v>3142</v>
      </c>
      <c r="Q94" s="7" t="s">
        <v>3750</v>
      </c>
      <c r="R94" s="7" t="s">
        <v>4626</v>
      </c>
      <c r="S94" s="7" t="s">
        <v>3463</v>
      </c>
      <c r="T94" s="7" t="s">
        <v>4057</v>
      </c>
      <c r="U94" s="7" t="s">
        <v>4345</v>
      </c>
    </row>
    <row r="95" spans="4:21" ht="102">
      <c r="D95" t="s">
        <v>1667</v>
      </c>
      <c r="E95" t="s">
        <v>106</v>
      </c>
      <c r="F95" s="9" t="s">
        <v>397</v>
      </c>
      <c r="G95" s="40" t="s">
        <v>51</v>
      </c>
      <c r="H95" s="7" t="s">
        <v>239</v>
      </c>
      <c r="I95" s="7" t="s">
        <v>1898</v>
      </c>
      <c r="J95" s="7" t="s">
        <v>1164</v>
      </c>
      <c r="K95" s="7" t="s">
        <v>2169</v>
      </c>
      <c r="L95" s="7" t="s">
        <v>1359</v>
      </c>
      <c r="M95" s="7" t="s">
        <v>2419</v>
      </c>
      <c r="N95" s="7" t="s">
        <v>1536</v>
      </c>
      <c r="O95" s="7" t="s">
        <v>2669</v>
      </c>
      <c r="P95" s="7" t="s">
        <v>3143</v>
      </c>
      <c r="Q95" s="7" t="s">
        <v>3751</v>
      </c>
      <c r="R95" s="7" t="s">
        <v>4625</v>
      </c>
      <c r="S95" s="7" t="s">
        <v>3464</v>
      </c>
      <c r="T95" s="7" t="s">
        <v>4058</v>
      </c>
      <c r="U95" s="7" t="s">
        <v>4346</v>
      </c>
    </row>
    <row r="96" spans="4:21" ht="102">
      <c r="D96" t="s">
        <v>1667</v>
      </c>
      <c r="E96" t="s">
        <v>106</v>
      </c>
      <c r="F96" s="9" t="s">
        <v>398</v>
      </c>
      <c r="G96" s="40" t="s">
        <v>656</v>
      </c>
      <c r="H96" s="7" t="s">
        <v>961</v>
      </c>
      <c r="I96" s="7" t="s">
        <v>1900</v>
      </c>
      <c r="J96" s="7" t="s">
        <v>1163</v>
      </c>
      <c r="K96" s="7" t="s">
        <v>2168</v>
      </c>
      <c r="L96" s="7" t="s">
        <v>1360</v>
      </c>
      <c r="M96" s="7" t="s">
        <v>2420</v>
      </c>
      <c r="N96" s="7" t="s">
        <v>1624</v>
      </c>
      <c r="O96" s="7" t="s">
        <v>2670</v>
      </c>
      <c r="P96" s="7" t="s">
        <v>3254</v>
      </c>
      <c r="Q96" s="7" t="s">
        <v>3752</v>
      </c>
      <c r="R96" s="7" t="s">
        <v>4627</v>
      </c>
      <c r="S96" s="7" t="s">
        <v>3465</v>
      </c>
      <c r="T96" s="7" t="s">
        <v>4059</v>
      </c>
      <c r="U96" s="7" t="s">
        <v>4347</v>
      </c>
    </row>
    <row r="97" spans="4:21" ht="102">
      <c r="D97" t="s">
        <v>1667</v>
      </c>
      <c r="E97" t="s">
        <v>106</v>
      </c>
      <c r="F97" s="9" t="s">
        <v>399</v>
      </c>
      <c r="G97" s="40" t="s">
        <v>657</v>
      </c>
      <c r="H97" s="7" t="s">
        <v>962</v>
      </c>
      <c r="I97" s="7" t="s">
        <v>1901</v>
      </c>
      <c r="J97" s="7" t="s">
        <v>1165</v>
      </c>
      <c r="K97" s="7" t="s">
        <v>2170</v>
      </c>
      <c r="L97" s="7" t="s">
        <v>1361</v>
      </c>
      <c r="M97" s="7" t="s">
        <v>2421</v>
      </c>
      <c r="N97" s="7" t="s">
        <v>1625</v>
      </c>
      <c r="O97" s="7" t="s">
        <v>2671</v>
      </c>
      <c r="P97" s="7" t="s">
        <v>3144</v>
      </c>
      <c r="Q97" s="7" t="s">
        <v>3753</v>
      </c>
      <c r="R97" s="7" t="s">
        <v>4628</v>
      </c>
      <c r="S97" s="7" t="s">
        <v>3561</v>
      </c>
      <c r="T97" s="7" t="s">
        <v>4060</v>
      </c>
      <c r="U97" s="7" t="s">
        <v>4348</v>
      </c>
    </row>
    <row r="98" spans="4:21" ht="85">
      <c r="D98" t="s">
        <v>1667</v>
      </c>
      <c r="E98" t="s">
        <v>106</v>
      </c>
      <c r="F98" s="9" t="s">
        <v>400</v>
      </c>
      <c r="G98" s="40" t="s">
        <v>658</v>
      </c>
      <c r="H98" s="7" t="s">
        <v>963</v>
      </c>
      <c r="I98" s="7" t="s">
        <v>1902</v>
      </c>
      <c r="J98" s="7" t="s">
        <v>1166</v>
      </c>
      <c r="K98" s="7" t="s">
        <v>2171</v>
      </c>
      <c r="L98" s="7" t="s">
        <v>1362</v>
      </c>
      <c r="M98" s="18" t="s">
        <v>2422</v>
      </c>
      <c r="N98" s="7" t="s">
        <v>1473</v>
      </c>
      <c r="O98" s="7" t="s">
        <v>2672</v>
      </c>
      <c r="P98" s="7" t="s">
        <v>3255</v>
      </c>
      <c r="Q98" s="7" t="s">
        <v>3754</v>
      </c>
      <c r="R98" s="7" t="s">
        <v>4629</v>
      </c>
      <c r="S98" s="7" t="s">
        <v>3562</v>
      </c>
      <c r="T98" s="7" t="s">
        <v>4061</v>
      </c>
      <c r="U98" s="7" t="s">
        <v>4349</v>
      </c>
    </row>
    <row r="99" spans="4:21" ht="85">
      <c r="D99" t="s">
        <v>1667</v>
      </c>
      <c r="E99" t="s">
        <v>1662</v>
      </c>
      <c r="F99" s="9" t="s">
        <v>46</v>
      </c>
      <c r="G99" s="40" t="s">
        <v>659</v>
      </c>
      <c r="H99" s="7" t="s">
        <v>277</v>
      </c>
      <c r="I99" s="7" t="s">
        <v>1903</v>
      </c>
      <c r="J99" s="7" t="s">
        <v>162</v>
      </c>
      <c r="K99" s="7" t="s">
        <v>2172</v>
      </c>
      <c r="L99" s="7" t="s">
        <v>278</v>
      </c>
      <c r="M99" s="7" t="s">
        <v>2423</v>
      </c>
      <c r="N99" s="7" t="s">
        <v>279</v>
      </c>
      <c r="O99" s="7" t="s">
        <v>2673</v>
      </c>
      <c r="P99" s="7" t="s">
        <v>3145</v>
      </c>
      <c r="Q99" s="7" t="s">
        <v>3755</v>
      </c>
      <c r="R99" s="7" t="s">
        <v>4630</v>
      </c>
      <c r="S99" s="7" t="s">
        <v>3563</v>
      </c>
      <c r="T99" s="7" t="s">
        <v>4062</v>
      </c>
      <c r="U99" s="7" t="s">
        <v>4350</v>
      </c>
    </row>
    <row r="100" spans="4:21" ht="102">
      <c r="D100" t="s">
        <v>1667</v>
      </c>
      <c r="E100" t="s">
        <v>1662</v>
      </c>
      <c r="F100" s="9" t="s">
        <v>401</v>
      </c>
      <c r="G100" s="40" t="s">
        <v>660</v>
      </c>
      <c r="H100" s="7" t="s">
        <v>964</v>
      </c>
      <c r="I100" s="7" t="s">
        <v>1904</v>
      </c>
      <c r="J100" s="7" t="s">
        <v>162</v>
      </c>
      <c r="K100" s="7" t="s">
        <v>2172</v>
      </c>
      <c r="L100" s="7" t="s">
        <v>278</v>
      </c>
      <c r="M100" s="7" t="s">
        <v>2423</v>
      </c>
      <c r="N100" s="7" t="s">
        <v>1537</v>
      </c>
      <c r="O100" s="7" t="s">
        <v>2674</v>
      </c>
      <c r="P100" s="7" t="s">
        <v>3256</v>
      </c>
      <c r="Q100" s="7" t="s">
        <v>3756</v>
      </c>
      <c r="R100" s="7" t="s">
        <v>4631</v>
      </c>
      <c r="S100" s="7" t="s">
        <v>3564</v>
      </c>
      <c r="T100" s="7" t="s">
        <v>4063</v>
      </c>
      <c r="U100" s="7" t="s">
        <v>4351</v>
      </c>
    </row>
    <row r="101" spans="4:21" ht="102">
      <c r="D101" t="s">
        <v>1667</v>
      </c>
      <c r="E101" t="s">
        <v>1662</v>
      </c>
      <c r="F101" s="9" t="s">
        <v>402</v>
      </c>
      <c r="G101" s="40" t="s">
        <v>661</v>
      </c>
      <c r="H101" s="7" t="s">
        <v>277</v>
      </c>
      <c r="I101" s="7" t="s">
        <v>1903</v>
      </c>
      <c r="J101" s="7" t="s">
        <v>162</v>
      </c>
      <c r="K101" s="7" t="s">
        <v>2172</v>
      </c>
      <c r="L101" s="7" t="s">
        <v>1363</v>
      </c>
      <c r="M101" s="7" t="s">
        <v>2424</v>
      </c>
      <c r="N101" s="7" t="s">
        <v>1538</v>
      </c>
      <c r="O101" s="7" t="s">
        <v>2675</v>
      </c>
      <c r="P101" s="7" t="s">
        <v>3257</v>
      </c>
      <c r="Q101" s="7" t="s">
        <v>3757</v>
      </c>
      <c r="R101" s="7" t="s">
        <v>4632</v>
      </c>
      <c r="S101" s="7" t="s">
        <v>3565</v>
      </c>
      <c r="T101" s="7" t="s">
        <v>4064</v>
      </c>
      <c r="U101" s="7" t="s">
        <v>4352</v>
      </c>
    </row>
    <row r="102" spans="4:21" ht="85">
      <c r="D102" t="s">
        <v>1667</v>
      </c>
      <c r="E102" t="s">
        <v>1662</v>
      </c>
      <c r="F102" s="9" t="s">
        <v>403</v>
      </c>
      <c r="G102" s="40" t="s">
        <v>662</v>
      </c>
      <c r="H102" s="7" t="s">
        <v>965</v>
      </c>
      <c r="I102" s="7" t="s">
        <v>1905</v>
      </c>
      <c r="J102" s="7" t="s">
        <v>1167</v>
      </c>
      <c r="K102" s="7" t="s">
        <v>2173</v>
      </c>
      <c r="L102" s="7" t="s">
        <v>278</v>
      </c>
      <c r="M102" s="7" t="s">
        <v>2423</v>
      </c>
      <c r="N102" s="7" t="s">
        <v>1474</v>
      </c>
      <c r="O102" s="7" t="s">
        <v>2676</v>
      </c>
      <c r="P102" s="7" t="s">
        <v>3258</v>
      </c>
      <c r="Q102" s="7" t="s">
        <v>3758</v>
      </c>
      <c r="R102" s="7" t="s">
        <v>4633</v>
      </c>
      <c r="S102" s="7" t="s">
        <v>3566</v>
      </c>
      <c r="T102" s="7" t="s">
        <v>4065</v>
      </c>
      <c r="U102" s="7" t="s">
        <v>4353</v>
      </c>
    </row>
    <row r="103" spans="4:21" ht="102">
      <c r="D103" t="s">
        <v>1667</v>
      </c>
      <c r="E103" t="s">
        <v>1662</v>
      </c>
      <c r="F103" s="9" t="s">
        <v>404</v>
      </c>
      <c r="G103" s="40" t="s">
        <v>663</v>
      </c>
      <c r="H103" s="7" t="s">
        <v>966</v>
      </c>
      <c r="I103" s="7" t="s">
        <v>1906</v>
      </c>
      <c r="J103" s="7" t="s">
        <v>1209</v>
      </c>
      <c r="K103" s="7" t="s">
        <v>2174</v>
      </c>
      <c r="L103" s="7" t="s">
        <v>1364</v>
      </c>
      <c r="M103" s="7" t="s">
        <v>2425</v>
      </c>
      <c r="N103" s="7" t="s">
        <v>1539</v>
      </c>
      <c r="O103" s="7" t="s">
        <v>2677</v>
      </c>
      <c r="P103" s="7" t="s">
        <v>3259</v>
      </c>
      <c r="Q103" s="7" t="s">
        <v>3759</v>
      </c>
      <c r="R103" s="7" t="s">
        <v>4634</v>
      </c>
      <c r="S103" s="7" t="s">
        <v>3567</v>
      </c>
      <c r="T103" s="7" t="s">
        <v>4066</v>
      </c>
      <c r="U103" s="7" t="s">
        <v>4354</v>
      </c>
    </row>
    <row r="104" spans="4:21" ht="102">
      <c r="D104" t="s">
        <v>1667</v>
      </c>
      <c r="E104" t="s">
        <v>1662</v>
      </c>
      <c r="F104" s="9" t="s">
        <v>405</v>
      </c>
      <c r="G104" s="40" t="s">
        <v>664</v>
      </c>
      <c r="H104" s="7" t="s">
        <v>912</v>
      </c>
      <c r="I104" s="7" t="s">
        <v>1907</v>
      </c>
      <c r="J104" s="7" t="s">
        <v>1168</v>
      </c>
      <c r="K104" s="7" t="s">
        <v>2175</v>
      </c>
      <c r="L104" s="7" t="s">
        <v>1316</v>
      </c>
      <c r="M104" s="7" t="s">
        <v>2426</v>
      </c>
      <c r="N104" s="7" t="s">
        <v>1626</v>
      </c>
      <c r="O104" s="7" t="s">
        <v>2678</v>
      </c>
      <c r="P104" s="7" t="s">
        <v>3146</v>
      </c>
      <c r="Q104" s="7" t="s">
        <v>3760</v>
      </c>
      <c r="R104" s="7" t="s">
        <v>4635</v>
      </c>
      <c r="S104" s="7" t="s">
        <v>3466</v>
      </c>
      <c r="T104" s="7" t="s">
        <v>4067</v>
      </c>
      <c r="U104" s="7" t="s">
        <v>4355</v>
      </c>
    </row>
    <row r="105" spans="4:21" ht="85">
      <c r="D105" t="s">
        <v>1667</v>
      </c>
      <c r="E105" t="s">
        <v>1662</v>
      </c>
      <c r="F105" s="9" t="s">
        <v>47</v>
      </c>
      <c r="G105" s="40" t="s">
        <v>665</v>
      </c>
      <c r="H105" s="7" t="s">
        <v>309</v>
      </c>
      <c r="I105" s="7" t="s">
        <v>1908</v>
      </c>
      <c r="J105" s="7" t="s">
        <v>171</v>
      </c>
      <c r="K105" s="7" t="s">
        <v>2176</v>
      </c>
      <c r="L105" s="7" t="s">
        <v>216</v>
      </c>
      <c r="M105" s="7" t="s">
        <v>2427</v>
      </c>
      <c r="N105" s="7" t="s">
        <v>310</v>
      </c>
      <c r="O105" s="7" t="s">
        <v>2679</v>
      </c>
      <c r="P105" s="7" t="s">
        <v>3147</v>
      </c>
      <c r="Q105" s="7" t="s">
        <v>3761</v>
      </c>
      <c r="R105" s="7" t="s">
        <v>4636</v>
      </c>
      <c r="S105" s="7" t="s">
        <v>3467</v>
      </c>
      <c r="T105" s="7" t="s">
        <v>4068</v>
      </c>
      <c r="U105" s="7" t="s">
        <v>4356</v>
      </c>
    </row>
    <row r="106" spans="4:21" ht="85">
      <c r="D106" t="s">
        <v>1667</v>
      </c>
      <c r="E106" t="s">
        <v>1662</v>
      </c>
      <c r="F106" s="9" t="s">
        <v>406</v>
      </c>
      <c r="G106" s="40" t="s">
        <v>666</v>
      </c>
      <c r="H106" s="7" t="s">
        <v>1005</v>
      </c>
      <c r="I106" s="7" t="s">
        <v>1909</v>
      </c>
      <c r="J106" s="7" t="s">
        <v>1210</v>
      </c>
      <c r="K106" s="7" t="s">
        <v>2177</v>
      </c>
      <c r="L106" s="7" t="s">
        <v>1365</v>
      </c>
      <c r="M106" s="7" t="s">
        <v>2428</v>
      </c>
      <c r="N106" s="7" t="s">
        <v>1540</v>
      </c>
      <c r="O106" s="7" t="s">
        <v>2680</v>
      </c>
      <c r="P106" s="7" t="s">
        <v>3148</v>
      </c>
      <c r="Q106" s="7" t="s">
        <v>3762</v>
      </c>
      <c r="R106" s="7" t="s">
        <v>4637</v>
      </c>
      <c r="S106" s="7" t="s">
        <v>3568</v>
      </c>
      <c r="T106" s="7" t="s">
        <v>4069</v>
      </c>
      <c r="U106" s="7" t="s">
        <v>4357</v>
      </c>
    </row>
    <row r="107" spans="4:21" ht="85">
      <c r="D107" t="s">
        <v>1667</v>
      </c>
      <c r="E107" t="s">
        <v>1662</v>
      </c>
      <c r="F107" s="9" t="s">
        <v>407</v>
      </c>
      <c r="G107" s="40" t="s">
        <v>665</v>
      </c>
      <c r="H107" s="7" t="s">
        <v>1006</v>
      </c>
      <c r="I107" s="7" t="s">
        <v>1910</v>
      </c>
      <c r="J107" s="7" t="s">
        <v>171</v>
      </c>
      <c r="K107" s="7" t="s">
        <v>2176</v>
      </c>
      <c r="L107" s="7" t="s">
        <v>1400</v>
      </c>
      <c r="M107" s="7" t="s">
        <v>2429</v>
      </c>
      <c r="N107" s="7" t="s">
        <v>1627</v>
      </c>
      <c r="O107" s="7" t="s">
        <v>2681</v>
      </c>
      <c r="P107" s="7" t="s">
        <v>3260</v>
      </c>
      <c r="Q107" s="7" t="s">
        <v>3763</v>
      </c>
      <c r="R107" s="7" t="s">
        <v>4636</v>
      </c>
      <c r="S107" s="7" t="s">
        <v>3569</v>
      </c>
      <c r="T107" s="7" t="s">
        <v>4070</v>
      </c>
      <c r="U107" s="7" t="s">
        <v>4356</v>
      </c>
    </row>
    <row r="108" spans="4:21" ht="102">
      <c r="D108" t="s">
        <v>1667</v>
      </c>
      <c r="E108" t="s">
        <v>1662</v>
      </c>
      <c r="F108" s="9" t="s">
        <v>408</v>
      </c>
      <c r="G108" s="40" t="s">
        <v>667</v>
      </c>
      <c r="H108" s="7" t="s">
        <v>1007</v>
      </c>
      <c r="I108" s="7" t="s">
        <v>1911</v>
      </c>
      <c r="J108" s="7" t="s">
        <v>171</v>
      </c>
      <c r="K108" s="7" t="s">
        <v>2176</v>
      </c>
      <c r="L108" s="7" t="s">
        <v>1401</v>
      </c>
      <c r="M108" s="7" t="s">
        <v>2430</v>
      </c>
      <c r="N108" s="7" t="s">
        <v>1628</v>
      </c>
      <c r="O108" s="7" t="s">
        <v>2682</v>
      </c>
      <c r="P108" s="7" t="s">
        <v>3261</v>
      </c>
      <c r="Q108" s="7" t="s">
        <v>3764</v>
      </c>
      <c r="R108" s="7" t="s">
        <v>4638</v>
      </c>
      <c r="S108" s="7" t="s">
        <v>3570</v>
      </c>
      <c r="T108" s="7" t="s">
        <v>4071</v>
      </c>
      <c r="U108" s="7" t="s">
        <v>4358</v>
      </c>
    </row>
    <row r="109" spans="4:21" ht="85">
      <c r="D109" t="s">
        <v>1667</v>
      </c>
      <c r="E109" t="s">
        <v>1662</v>
      </c>
      <c r="F109" s="9" t="s">
        <v>409</v>
      </c>
      <c r="G109" s="40" t="s">
        <v>668</v>
      </c>
      <c r="H109" s="7" t="s">
        <v>1008</v>
      </c>
      <c r="I109" s="7" t="s">
        <v>1912</v>
      </c>
      <c r="J109" s="7" t="s">
        <v>1107</v>
      </c>
      <c r="K109" s="7" t="s">
        <v>2178</v>
      </c>
      <c r="L109" s="7" t="s">
        <v>1317</v>
      </c>
      <c r="M109" s="7" t="s">
        <v>2431</v>
      </c>
      <c r="N109" s="7" t="s">
        <v>1629</v>
      </c>
      <c r="O109" s="7" t="s">
        <v>2683</v>
      </c>
      <c r="P109" s="7" t="s">
        <v>3060</v>
      </c>
      <c r="Q109" s="7" t="s">
        <v>3765</v>
      </c>
      <c r="R109" s="7" t="s">
        <v>4639</v>
      </c>
      <c r="S109" s="7" t="s">
        <v>3368</v>
      </c>
      <c r="T109" s="7" t="s">
        <v>4072</v>
      </c>
      <c r="U109" s="7" t="s">
        <v>4359</v>
      </c>
    </row>
    <row r="110" spans="4:21" ht="85">
      <c r="D110" t="s">
        <v>1667</v>
      </c>
      <c r="E110" t="s">
        <v>1662</v>
      </c>
      <c r="F110" s="9" t="s">
        <v>410</v>
      </c>
      <c r="G110" s="40" t="s">
        <v>669</v>
      </c>
      <c r="H110" s="7" t="s">
        <v>967</v>
      </c>
      <c r="I110" s="7" t="s">
        <v>1913</v>
      </c>
      <c r="J110" s="7" t="s">
        <v>1211</v>
      </c>
      <c r="K110" s="7" t="s">
        <v>2179</v>
      </c>
      <c r="L110" s="7" t="s">
        <v>1366</v>
      </c>
      <c r="M110" s="7" t="s">
        <v>2432</v>
      </c>
      <c r="N110" s="7" t="s">
        <v>1541</v>
      </c>
      <c r="O110" s="7" t="s">
        <v>2684</v>
      </c>
      <c r="P110" s="7" t="s">
        <v>3061</v>
      </c>
      <c r="Q110" s="7" t="s">
        <v>3766</v>
      </c>
      <c r="R110" s="7" t="s">
        <v>4640</v>
      </c>
      <c r="S110" s="7" t="s">
        <v>3468</v>
      </c>
      <c r="T110" s="7" t="s">
        <v>4073</v>
      </c>
      <c r="U110" s="7" t="s">
        <v>4534</v>
      </c>
    </row>
    <row r="111" spans="4:21" ht="68">
      <c r="D111" t="s">
        <v>1668</v>
      </c>
      <c r="E111" t="s">
        <v>105</v>
      </c>
      <c r="F111" s="9" t="s">
        <v>67</v>
      </c>
      <c r="G111" s="38" t="s">
        <v>670</v>
      </c>
      <c r="H111" s="7" t="s">
        <v>240</v>
      </c>
      <c r="I111" s="20" t="s">
        <v>1914</v>
      </c>
      <c r="J111" s="20" t="s">
        <v>148</v>
      </c>
      <c r="K111" s="20" t="s">
        <v>2180</v>
      </c>
      <c r="L111" s="20" t="s">
        <v>217</v>
      </c>
      <c r="M111" s="20" t="s">
        <v>2433</v>
      </c>
      <c r="N111" s="20" t="s">
        <v>241</v>
      </c>
      <c r="O111" s="20" t="s">
        <v>2685</v>
      </c>
      <c r="P111" s="7" t="s">
        <v>3149</v>
      </c>
      <c r="Q111" s="20" t="s">
        <v>3767</v>
      </c>
      <c r="R111" s="20" t="s">
        <v>4641</v>
      </c>
      <c r="S111" s="20" t="s">
        <v>3369</v>
      </c>
      <c r="T111" s="20" t="s">
        <v>4074</v>
      </c>
      <c r="U111" s="20" t="s">
        <v>4360</v>
      </c>
    </row>
    <row r="112" spans="4:21" ht="51">
      <c r="D112" t="s">
        <v>1668</v>
      </c>
      <c r="E112" t="s">
        <v>105</v>
      </c>
      <c r="F112" s="9" t="s">
        <v>411</v>
      </c>
      <c r="G112" s="38" t="s">
        <v>671</v>
      </c>
      <c r="H112" s="7" t="s">
        <v>843</v>
      </c>
      <c r="I112" s="20" t="s">
        <v>1915</v>
      </c>
      <c r="J112" s="20" t="s">
        <v>1050</v>
      </c>
      <c r="K112" s="20" t="s">
        <v>2181</v>
      </c>
      <c r="L112" s="20" t="s">
        <v>217</v>
      </c>
      <c r="M112" s="20" t="s">
        <v>2433</v>
      </c>
      <c r="N112" s="20" t="s">
        <v>1475</v>
      </c>
      <c r="O112" s="20" t="s">
        <v>2686</v>
      </c>
      <c r="P112" s="7" t="s">
        <v>3262</v>
      </c>
      <c r="Q112" s="20" t="s">
        <v>3768</v>
      </c>
      <c r="R112" s="20" t="s">
        <v>3638</v>
      </c>
      <c r="S112" s="20" t="s">
        <v>3370</v>
      </c>
      <c r="T112" s="20" t="s">
        <v>4075</v>
      </c>
      <c r="U112" s="20" t="s">
        <v>4360</v>
      </c>
    </row>
    <row r="113" spans="4:21" ht="68">
      <c r="D113" t="s">
        <v>1668</v>
      </c>
      <c r="E113" t="s">
        <v>105</v>
      </c>
      <c r="F113" s="9" t="s">
        <v>412</v>
      </c>
      <c r="G113" s="38" t="s">
        <v>672</v>
      </c>
      <c r="H113" s="7" t="s">
        <v>913</v>
      </c>
      <c r="I113" s="20" t="s">
        <v>1916</v>
      </c>
      <c r="J113" s="20" t="s">
        <v>1108</v>
      </c>
      <c r="K113" s="20" t="s">
        <v>2182</v>
      </c>
      <c r="L113" s="20" t="s">
        <v>66</v>
      </c>
      <c r="M113" s="20" t="s">
        <v>2434</v>
      </c>
      <c r="N113" s="20" t="s">
        <v>1476</v>
      </c>
      <c r="O113" s="20" t="s">
        <v>2687</v>
      </c>
      <c r="P113" s="7" t="s">
        <v>3263</v>
      </c>
      <c r="Q113" s="20" t="s">
        <v>3769</v>
      </c>
      <c r="R113" s="20" t="s">
        <v>4642</v>
      </c>
      <c r="S113" s="20" t="s">
        <v>3371</v>
      </c>
      <c r="T113" s="20" t="s">
        <v>4076</v>
      </c>
      <c r="U113" s="20" t="s">
        <v>4360</v>
      </c>
    </row>
    <row r="114" spans="4:21" ht="68">
      <c r="D114" t="s">
        <v>1668</v>
      </c>
      <c r="E114" t="s">
        <v>105</v>
      </c>
      <c r="F114" s="9" t="s">
        <v>413</v>
      </c>
      <c r="G114" s="38" t="s">
        <v>673</v>
      </c>
      <c r="H114" s="7" t="s">
        <v>844</v>
      </c>
      <c r="I114" s="20" t="s">
        <v>1917</v>
      </c>
      <c r="J114" s="20" t="s">
        <v>1169</v>
      </c>
      <c r="K114" s="20" t="s">
        <v>2183</v>
      </c>
      <c r="L114" s="20" t="s">
        <v>217</v>
      </c>
      <c r="M114" s="20" t="s">
        <v>2433</v>
      </c>
      <c r="N114" s="20" t="s">
        <v>1477</v>
      </c>
      <c r="O114" s="20" t="s">
        <v>2688</v>
      </c>
      <c r="P114" s="7" t="s">
        <v>3264</v>
      </c>
      <c r="Q114" s="20" t="s">
        <v>3770</v>
      </c>
      <c r="R114" s="20" t="s">
        <v>4643</v>
      </c>
      <c r="S114" s="20" t="s">
        <v>3372</v>
      </c>
      <c r="T114" s="20" t="s">
        <v>4077</v>
      </c>
      <c r="U114" s="20" t="s">
        <v>4360</v>
      </c>
    </row>
    <row r="115" spans="4:21" ht="68">
      <c r="D115" t="s">
        <v>1668</v>
      </c>
      <c r="E115" t="s">
        <v>105</v>
      </c>
      <c r="F115" s="9" t="s">
        <v>414</v>
      </c>
      <c r="G115" s="38" t="s">
        <v>671</v>
      </c>
      <c r="H115" s="7" t="s">
        <v>968</v>
      </c>
      <c r="I115" s="20" t="s">
        <v>1918</v>
      </c>
      <c r="J115" s="20" t="s">
        <v>1051</v>
      </c>
      <c r="K115" s="20" t="s">
        <v>2184</v>
      </c>
      <c r="L115" s="20" t="s">
        <v>217</v>
      </c>
      <c r="M115" s="20" t="s">
        <v>2433</v>
      </c>
      <c r="N115" s="20" t="s">
        <v>1478</v>
      </c>
      <c r="O115" s="20" t="s">
        <v>2689</v>
      </c>
      <c r="P115" s="7" t="s">
        <v>3265</v>
      </c>
      <c r="Q115" s="20" t="s">
        <v>3771</v>
      </c>
      <c r="R115" s="20" t="s">
        <v>3638</v>
      </c>
      <c r="S115" s="20" t="s">
        <v>3373</v>
      </c>
      <c r="T115" s="20" t="s">
        <v>4078</v>
      </c>
      <c r="U115" s="20" t="s">
        <v>4360</v>
      </c>
    </row>
    <row r="116" spans="4:21" ht="102">
      <c r="D116" t="s">
        <v>1668</v>
      </c>
      <c r="E116" t="s">
        <v>105</v>
      </c>
      <c r="F116" s="9" t="s">
        <v>415</v>
      </c>
      <c r="G116" s="38" t="s">
        <v>674</v>
      </c>
      <c r="H116" s="7" t="s">
        <v>914</v>
      </c>
      <c r="I116" s="20" t="s">
        <v>1919</v>
      </c>
      <c r="J116" s="20" t="s">
        <v>1052</v>
      </c>
      <c r="K116" s="20" t="s">
        <v>2185</v>
      </c>
      <c r="L116" s="20" t="s">
        <v>217</v>
      </c>
      <c r="M116" s="20" t="s">
        <v>2433</v>
      </c>
      <c r="N116" s="20" t="s">
        <v>1479</v>
      </c>
      <c r="O116" s="20" t="s">
        <v>2690</v>
      </c>
      <c r="P116" s="7" t="s">
        <v>3150</v>
      </c>
      <c r="Q116" s="20" t="s">
        <v>3772</v>
      </c>
      <c r="R116" s="20" t="s">
        <v>4644</v>
      </c>
      <c r="S116" s="20" t="s">
        <v>3469</v>
      </c>
      <c r="T116" s="20" t="s">
        <v>4079</v>
      </c>
      <c r="U116" s="20" t="s">
        <v>4361</v>
      </c>
    </row>
    <row r="117" spans="4:21" ht="102">
      <c r="D117" t="s">
        <v>1668</v>
      </c>
      <c r="E117" t="s">
        <v>106</v>
      </c>
      <c r="F117" s="9" t="s">
        <v>77</v>
      </c>
      <c r="G117" s="38" t="s">
        <v>675</v>
      </c>
      <c r="H117" s="7" t="s">
        <v>242</v>
      </c>
      <c r="I117" s="19" t="s">
        <v>1920</v>
      </c>
      <c r="J117" s="7" t="s">
        <v>172</v>
      </c>
      <c r="K117" s="19" t="s">
        <v>2186</v>
      </c>
      <c r="L117" s="7" t="s">
        <v>218</v>
      </c>
      <c r="M117" s="7" t="s">
        <v>2435</v>
      </c>
      <c r="N117" s="7" t="s">
        <v>243</v>
      </c>
      <c r="O117" s="19" t="s">
        <v>2691</v>
      </c>
      <c r="P117" s="7" t="s">
        <v>3017</v>
      </c>
      <c r="Q117" s="7" t="s">
        <v>3773</v>
      </c>
      <c r="R117" s="20" t="s">
        <v>4645</v>
      </c>
      <c r="S117" s="7" t="s">
        <v>3571</v>
      </c>
      <c r="T117" s="7" t="s">
        <v>4080</v>
      </c>
      <c r="U117" s="20" t="s">
        <v>4362</v>
      </c>
    </row>
    <row r="118" spans="4:21" ht="102">
      <c r="D118" t="s">
        <v>1668</v>
      </c>
      <c r="E118" t="s">
        <v>106</v>
      </c>
      <c r="F118" s="9" t="s">
        <v>416</v>
      </c>
      <c r="G118" s="38" t="s">
        <v>676</v>
      </c>
      <c r="H118" s="7" t="s">
        <v>1009</v>
      </c>
      <c r="I118" s="7" t="s">
        <v>1921</v>
      </c>
      <c r="J118" s="7" t="s">
        <v>1053</v>
      </c>
      <c r="K118" s="7" t="s">
        <v>2187</v>
      </c>
      <c r="L118" s="7" t="s">
        <v>1238</v>
      </c>
      <c r="M118" s="7" t="s">
        <v>2436</v>
      </c>
      <c r="N118" s="7" t="s">
        <v>1480</v>
      </c>
      <c r="O118" s="7" t="s">
        <v>2692</v>
      </c>
      <c r="P118" s="7" t="s">
        <v>3018</v>
      </c>
      <c r="Q118" s="7" t="s">
        <v>3774</v>
      </c>
      <c r="R118" s="20" t="s">
        <v>4646</v>
      </c>
      <c r="S118" s="7" t="s">
        <v>3572</v>
      </c>
      <c r="T118" s="7" t="s">
        <v>4081</v>
      </c>
      <c r="U118" s="20" t="s">
        <v>4363</v>
      </c>
    </row>
    <row r="119" spans="4:21" ht="102">
      <c r="D119" t="s">
        <v>1668</v>
      </c>
      <c r="E119" t="s">
        <v>106</v>
      </c>
      <c r="F119" s="9" t="s">
        <v>417</v>
      </c>
      <c r="G119" s="38" t="s">
        <v>677</v>
      </c>
      <c r="H119" s="7" t="s">
        <v>845</v>
      </c>
      <c r="I119" s="7" t="s">
        <v>1922</v>
      </c>
      <c r="J119" s="7" t="s">
        <v>1054</v>
      </c>
      <c r="K119" s="19" t="s">
        <v>2188</v>
      </c>
      <c r="L119" s="7" t="s">
        <v>1402</v>
      </c>
      <c r="M119" s="7" t="s">
        <v>2437</v>
      </c>
      <c r="N119" s="7" t="s">
        <v>1481</v>
      </c>
      <c r="O119" s="19" t="s">
        <v>2693</v>
      </c>
      <c r="P119" s="7" t="s">
        <v>3062</v>
      </c>
      <c r="Q119" s="7" t="s">
        <v>3775</v>
      </c>
      <c r="R119" s="7" t="s">
        <v>4647</v>
      </c>
      <c r="S119" s="7" t="s">
        <v>3374</v>
      </c>
      <c r="T119" s="7" t="s">
        <v>4082</v>
      </c>
      <c r="U119" s="7" t="s">
        <v>4364</v>
      </c>
    </row>
    <row r="120" spans="4:21" ht="102">
      <c r="D120" t="s">
        <v>1668</v>
      </c>
      <c r="E120" t="s">
        <v>106</v>
      </c>
      <c r="F120" s="9" t="s">
        <v>418</v>
      </c>
      <c r="G120" s="38" t="s">
        <v>678</v>
      </c>
      <c r="H120" s="7" t="s">
        <v>915</v>
      </c>
      <c r="I120" s="7" t="s">
        <v>1923</v>
      </c>
      <c r="J120" s="7" t="s">
        <v>1212</v>
      </c>
      <c r="K120" s="7" t="s">
        <v>2189</v>
      </c>
      <c r="L120" s="7" t="s">
        <v>1239</v>
      </c>
      <c r="M120" s="7" t="s">
        <v>2436</v>
      </c>
      <c r="N120" s="7" t="s">
        <v>1482</v>
      </c>
      <c r="O120" s="7" t="s">
        <v>2694</v>
      </c>
      <c r="P120" s="7" t="s">
        <v>3063</v>
      </c>
      <c r="Q120" s="7" t="s">
        <v>3776</v>
      </c>
      <c r="R120" s="20" t="s">
        <v>4648</v>
      </c>
      <c r="S120" s="7" t="s">
        <v>3573</v>
      </c>
      <c r="T120" s="7" t="s">
        <v>4083</v>
      </c>
      <c r="U120" s="20" t="s">
        <v>4365</v>
      </c>
    </row>
    <row r="121" spans="4:21" ht="102">
      <c r="D121" t="s">
        <v>1668</v>
      </c>
      <c r="E121" t="s">
        <v>106</v>
      </c>
      <c r="F121" s="9" t="s">
        <v>419</v>
      </c>
      <c r="G121" s="38" t="s">
        <v>679</v>
      </c>
      <c r="H121" s="7" t="s">
        <v>846</v>
      </c>
      <c r="I121" s="7" t="s">
        <v>1924</v>
      </c>
      <c r="J121" s="7" t="s">
        <v>172</v>
      </c>
      <c r="K121" s="7" t="s">
        <v>2186</v>
      </c>
      <c r="L121" s="7" t="s">
        <v>218</v>
      </c>
      <c r="M121" s="7" t="s">
        <v>2435</v>
      </c>
      <c r="N121" s="7" t="s">
        <v>1542</v>
      </c>
      <c r="O121" s="19" t="s">
        <v>2695</v>
      </c>
      <c r="P121" s="7" t="s">
        <v>3019</v>
      </c>
      <c r="Q121" s="7" t="s">
        <v>3777</v>
      </c>
      <c r="R121" s="20" t="s">
        <v>4649</v>
      </c>
      <c r="S121" s="7" t="s">
        <v>3574</v>
      </c>
      <c r="T121" s="7" t="s">
        <v>4084</v>
      </c>
      <c r="U121" s="20" t="s">
        <v>4366</v>
      </c>
    </row>
    <row r="122" spans="4:21" ht="85">
      <c r="D122" t="s">
        <v>1668</v>
      </c>
      <c r="E122" t="s">
        <v>106</v>
      </c>
      <c r="F122" s="9" t="s">
        <v>420</v>
      </c>
      <c r="G122" s="38" t="s">
        <v>680</v>
      </c>
      <c r="H122" s="7" t="s">
        <v>847</v>
      </c>
      <c r="I122" s="7" t="s">
        <v>1925</v>
      </c>
      <c r="J122" s="7" t="s">
        <v>1055</v>
      </c>
      <c r="K122" s="7" t="s">
        <v>2190</v>
      </c>
      <c r="L122" s="7" t="s">
        <v>1238</v>
      </c>
      <c r="M122" s="7" t="s">
        <v>2436</v>
      </c>
      <c r="N122" s="7" t="s">
        <v>1483</v>
      </c>
      <c r="O122" s="7" t="s">
        <v>2696</v>
      </c>
      <c r="P122" s="7" t="s">
        <v>3020</v>
      </c>
      <c r="Q122" s="7" t="s">
        <v>3778</v>
      </c>
      <c r="R122" s="20" t="s">
        <v>4650</v>
      </c>
      <c r="S122" s="7" t="s">
        <v>3575</v>
      </c>
      <c r="T122" s="7" t="s">
        <v>4085</v>
      </c>
      <c r="U122" s="20" t="s">
        <v>4367</v>
      </c>
    </row>
    <row r="123" spans="4:21" ht="85">
      <c r="D123" t="s">
        <v>1666</v>
      </c>
      <c r="E123" t="s">
        <v>1663</v>
      </c>
      <c r="F123" s="9" t="s">
        <v>78</v>
      </c>
      <c r="G123" s="38" t="s">
        <v>80</v>
      </c>
      <c r="H123" s="7" t="s">
        <v>318</v>
      </c>
      <c r="I123" s="7" t="s">
        <v>1926</v>
      </c>
      <c r="J123" s="7" t="s">
        <v>176</v>
      </c>
      <c r="K123" s="7" t="s">
        <v>2191</v>
      </c>
      <c r="L123" s="7" t="s">
        <v>319</v>
      </c>
      <c r="M123" s="7" t="s">
        <v>2438</v>
      </c>
      <c r="N123" s="7" t="s">
        <v>280</v>
      </c>
      <c r="O123" s="7" t="s">
        <v>2697</v>
      </c>
      <c r="P123" s="7" t="s">
        <v>3151</v>
      </c>
      <c r="Q123" s="7" t="s">
        <v>3779</v>
      </c>
      <c r="R123" s="7" t="s">
        <v>4651</v>
      </c>
      <c r="S123" s="7" t="s">
        <v>3470</v>
      </c>
      <c r="T123" s="7" t="s">
        <v>4086</v>
      </c>
      <c r="U123" s="7" t="s">
        <v>3651</v>
      </c>
    </row>
    <row r="124" spans="4:21" ht="68">
      <c r="D124" t="s">
        <v>1666</v>
      </c>
      <c r="E124" t="s">
        <v>1663</v>
      </c>
      <c r="F124" s="9" t="s">
        <v>421</v>
      </c>
      <c r="G124" s="38" t="s">
        <v>681</v>
      </c>
      <c r="H124" s="7" t="s">
        <v>1010</v>
      </c>
      <c r="I124" s="7" t="s">
        <v>1927</v>
      </c>
      <c r="J124" s="7" t="s">
        <v>1223</v>
      </c>
      <c r="K124" s="7" t="s">
        <v>2192</v>
      </c>
      <c r="L124" s="7" t="s">
        <v>1010</v>
      </c>
      <c r="M124" s="7" t="s">
        <v>1927</v>
      </c>
      <c r="N124" s="7" t="s">
        <v>1543</v>
      </c>
      <c r="O124" s="7" t="s">
        <v>2698</v>
      </c>
      <c r="P124" s="7" t="s">
        <v>3152</v>
      </c>
      <c r="Q124" s="7" t="s">
        <v>3780</v>
      </c>
      <c r="R124" s="7" t="s">
        <v>4652</v>
      </c>
      <c r="S124" s="7" t="s">
        <v>3471</v>
      </c>
      <c r="T124" s="7" t="s">
        <v>4087</v>
      </c>
      <c r="U124" s="7" t="s">
        <v>4368</v>
      </c>
    </row>
    <row r="125" spans="4:21" ht="85">
      <c r="D125" t="s">
        <v>1666</v>
      </c>
      <c r="E125" t="s">
        <v>1663</v>
      </c>
      <c r="F125" s="9" t="s">
        <v>422</v>
      </c>
      <c r="G125" s="38" t="s">
        <v>682</v>
      </c>
      <c r="H125" s="7" t="s">
        <v>848</v>
      </c>
      <c r="I125" s="7" t="s">
        <v>1928</v>
      </c>
      <c r="J125" s="7" t="s">
        <v>1224</v>
      </c>
      <c r="K125" s="7" t="s">
        <v>2193</v>
      </c>
      <c r="L125" s="7" t="s">
        <v>1367</v>
      </c>
      <c r="M125" s="7" t="s">
        <v>2439</v>
      </c>
      <c r="N125" s="7" t="s">
        <v>1655</v>
      </c>
      <c r="O125" s="7" t="s">
        <v>2699</v>
      </c>
      <c r="P125" s="7" t="s">
        <v>3153</v>
      </c>
      <c r="Q125" s="7" t="s">
        <v>3781</v>
      </c>
      <c r="R125" s="7" t="s">
        <v>4653</v>
      </c>
      <c r="S125" s="7" t="s">
        <v>3610</v>
      </c>
      <c r="T125" s="7" t="s">
        <v>4088</v>
      </c>
      <c r="U125" s="7" t="s">
        <v>4535</v>
      </c>
    </row>
    <row r="126" spans="4:21" ht="85">
      <c r="D126" t="s">
        <v>1666</v>
      </c>
      <c r="E126" t="s">
        <v>1663</v>
      </c>
      <c r="F126" s="9" t="s">
        <v>423</v>
      </c>
      <c r="G126" s="38" t="s">
        <v>683</v>
      </c>
      <c r="H126" s="7" t="s">
        <v>916</v>
      </c>
      <c r="I126" s="7" t="s">
        <v>1929</v>
      </c>
      <c r="J126" s="7" t="s">
        <v>1225</v>
      </c>
      <c r="K126" s="7" t="s">
        <v>2194</v>
      </c>
      <c r="L126" s="7" t="s">
        <v>1368</v>
      </c>
      <c r="M126" s="7" t="s">
        <v>2440</v>
      </c>
      <c r="N126" s="7" t="s">
        <v>1484</v>
      </c>
      <c r="O126" s="7" t="s">
        <v>2700</v>
      </c>
      <c r="P126" s="7" t="s">
        <v>3154</v>
      </c>
      <c r="Q126" s="7" t="s">
        <v>3782</v>
      </c>
      <c r="R126" s="7" t="s">
        <v>4654</v>
      </c>
      <c r="S126" s="7" t="s">
        <v>3472</v>
      </c>
      <c r="T126" s="7" t="s">
        <v>4089</v>
      </c>
      <c r="U126" s="7" t="s">
        <v>4369</v>
      </c>
    </row>
    <row r="127" spans="4:21" ht="85">
      <c r="D127" t="s">
        <v>1666</v>
      </c>
      <c r="E127" t="s">
        <v>1663</v>
      </c>
      <c r="F127" s="9" t="s">
        <v>424</v>
      </c>
      <c r="G127" s="38" t="s">
        <v>684</v>
      </c>
      <c r="H127" s="7" t="s">
        <v>1021</v>
      </c>
      <c r="I127" s="7" t="s">
        <v>1930</v>
      </c>
      <c r="J127" s="7" t="s">
        <v>1170</v>
      </c>
      <c r="K127" s="7" t="s">
        <v>2195</v>
      </c>
      <c r="L127" s="7" t="s">
        <v>1369</v>
      </c>
      <c r="M127" s="7" t="s">
        <v>2441</v>
      </c>
      <c r="N127" s="7" t="s">
        <v>1544</v>
      </c>
      <c r="O127" s="7" t="s">
        <v>2701</v>
      </c>
      <c r="P127" s="7" t="s">
        <v>3316</v>
      </c>
      <c r="Q127" s="7" t="s">
        <v>3783</v>
      </c>
      <c r="R127" s="7" t="s">
        <v>4655</v>
      </c>
      <c r="S127" s="7" t="s">
        <v>3473</v>
      </c>
      <c r="T127" s="7" t="s">
        <v>4090</v>
      </c>
      <c r="U127" s="7" t="s">
        <v>3652</v>
      </c>
    </row>
    <row r="128" spans="4:21" ht="85">
      <c r="D128" t="s">
        <v>1666</v>
      </c>
      <c r="E128" t="s">
        <v>1663</v>
      </c>
      <c r="F128" s="9" t="s">
        <v>425</v>
      </c>
      <c r="G128" s="38" t="s">
        <v>685</v>
      </c>
      <c r="H128" s="7" t="s">
        <v>1021</v>
      </c>
      <c r="I128" s="7" t="s">
        <v>1930</v>
      </c>
      <c r="J128" s="7" t="s">
        <v>1170</v>
      </c>
      <c r="K128" s="7" t="s">
        <v>2195</v>
      </c>
      <c r="L128" s="7" t="s">
        <v>1370</v>
      </c>
      <c r="M128" s="7" t="s">
        <v>2442</v>
      </c>
      <c r="N128" s="7" t="s">
        <v>1545</v>
      </c>
      <c r="O128" s="7" t="s">
        <v>2702</v>
      </c>
      <c r="P128" s="7" t="s">
        <v>3155</v>
      </c>
      <c r="Q128" s="7" t="s">
        <v>3784</v>
      </c>
      <c r="R128" s="7" t="s">
        <v>4656</v>
      </c>
      <c r="S128" s="7" t="s">
        <v>3576</v>
      </c>
      <c r="T128" s="7" t="s">
        <v>4091</v>
      </c>
      <c r="U128" s="7" t="s">
        <v>4370</v>
      </c>
    </row>
    <row r="129" spans="4:21" ht="68">
      <c r="D129" t="s">
        <v>1667</v>
      </c>
      <c r="E129" t="s">
        <v>110</v>
      </c>
      <c r="F129" s="9" t="s">
        <v>79</v>
      </c>
      <c r="G129" s="38" t="s">
        <v>686</v>
      </c>
      <c r="H129" s="7" t="s">
        <v>133</v>
      </c>
      <c r="I129" s="7" t="s">
        <v>179</v>
      </c>
      <c r="J129" s="7" t="s">
        <v>133</v>
      </c>
      <c r="K129" s="7" t="s">
        <v>179</v>
      </c>
      <c r="L129" s="7" t="s">
        <v>219</v>
      </c>
      <c r="M129" s="7" t="s">
        <v>2443</v>
      </c>
      <c r="N129" s="7" t="s">
        <v>244</v>
      </c>
      <c r="O129" s="7" t="s">
        <v>2703</v>
      </c>
      <c r="P129" s="7" t="s">
        <v>1659</v>
      </c>
      <c r="Q129" s="7" t="s">
        <v>3785</v>
      </c>
      <c r="R129" s="7" t="s">
        <v>4657</v>
      </c>
      <c r="S129" s="7" t="s">
        <v>1659</v>
      </c>
      <c r="T129" s="7" t="s">
        <v>3785</v>
      </c>
      <c r="U129" s="7" t="s">
        <v>3654</v>
      </c>
    </row>
    <row r="130" spans="4:21" ht="68">
      <c r="D130" t="s">
        <v>1667</v>
      </c>
      <c r="E130" t="s">
        <v>110</v>
      </c>
      <c r="F130" s="9" t="s">
        <v>426</v>
      </c>
      <c r="G130" s="38" t="s">
        <v>687</v>
      </c>
      <c r="H130" s="7" t="s">
        <v>849</v>
      </c>
      <c r="I130" s="7" t="s">
        <v>1931</v>
      </c>
      <c r="J130" s="7" t="s">
        <v>1056</v>
      </c>
      <c r="K130" s="7" t="s">
        <v>2196</v>
      </c>
      <c r="L130" s="7" t="s">
        <v>1240</v>
      </c>
      <c r="M130" s="7" t="s">
        <v>2443</v>
      </c>
      <c r="N130" s="7" t="s">
        <v>1546</v>
      </c>
      <c r="O130" s="7" t="s">
        <v>2704</v>
      </c>
      <c r="P130" s="7" t="s">
        <v>3064</v>
      </c>
      <c r="Q130" s="7" t="s">
        <v>3786</v>
      </c>
      <c r="R130" s="7" t="s">
        <v>4658</v>
      </c>
      <c r="S130" s="7" t="s">
        <v>3375</v>
      </c>
      <c r="T130" s="7" t="s">
        <v>3786</v>
      </c>
      <c r="U130" s="7" t="s">
        <v>3653</v>
      </c>
    </row>
    <row r="131" spans="4:21" ht="68">
      <c r="D131" t="s">
        <v>1667</v>
      </c>
      <c r="E131" t="s">
        <v>110</v>
      </c>
      <c r="F131" s="9" t="s">
        <v>427</v>
      </c>
      <c r="G131" s="38" t="s">
        <v>688</v>
      </c>
      <c r="H131" s="7" t="s">
        <v>850</v>
      </c>
      <c r="I131" s="7" t="s">
        <v>1932</v>
      </c>
      <c r="J131" s="7" t="s">
        <v>1057</v>
      </c>
      <c r="K131" s="7" t="s">
        <v>2197</v>
      </c>
      <c r="L131" s="7" t="s">
        <v>1241</v>
      </c>
      <c r="M131" s="7" t="s">
        <v>2444</v>
      </c>
      <c r="N131" s="7" t="s">
        <v>1547</v>
      </c>
      <c r="O131" s="18" t="s">
        <v>2705</v>
      </c>
      <c r="P131" s="7" t="s">
        <v>3021</v>
      </c>
      <c r="Q131" s="7" t="s">
        <v>3787</v>
      </c>
      <c r="R131" s="7" t="s">
        <v>4659</v>
      </c>
      <c r="S131" s="7" t="s">
        <v>3577</v>
      </c>
      <c r="T131" s="7" t="s">
        <v>4092</v>
      </c>
      <c r="U131" s="7" t="s">
        <v>3655</v>
      </c>
    </row>
    <row r="132" spans="4:21" ht="68">
      <c r="D132" t="s">
        <v>1667</v>
      </c>
      <c r="E132" t="s">
        <v>110</v>
      </c>
      <c r="F132" s="9" t="s">
        <v>428</v>
      </c>
      <c r="G132" s="38" t="s">
        <v>689</v>
      </c>
      <c r="H132" s="7" t="s">
        <v>917</v>
      </c>
      <c r="I132" s="7" t="s">
        <v>1933</v>
      </c>
      <c r="J132" s="7" t="s">
        <v>133</v>
      </c>
      <c r="K132" s="7" t="s">
        <v>179</v>
      </c>
      <c r="L132" s="7" t="s">
        <v>1242</v>
      </c>
      <c r="M132" s="7" t="s">
        <v>2445</v>
      </c>
      <c r="N132" s="7" t="s">
        <v>1485</v>
      </c>
      <c r="O132" s="7" t="s">
        <v>2706</v>
      </c>
      <c r="P132" s="7" t="s">
        <v>3065</v>
      </c>
      <c r="Q132" s="7" t="s">
        <v>3786</v>
      </c>
      <c r="R132" s="7" t="s">
        <v>3639</v>
      </c>
      <c r="S132" s="7" t="s">
        <v>3376</v>
      </c>
      <c r="T132" s="7" t="s">
        <v>3786</v>
      </c>
      <c r="U132" s="7" t="s">
        <v>4371</v>
      </c>
    </row>
    <row r="133" spans="4:21" ht="68">
      <c r="D133" t="s">
        <v>1667</v>
      </c>
      <c r="E133" t="s">
        <v>110</v>
      </c>
      <c r="F133" s="9" t="s">
        <v>429</v>
      </c>
      <c r="G133" s="38" t="s">
        <v>690</v>
      </c>
      <c r="H133" s="7" t="s">
        <v>918</v>
      </c>
      <c r="I133" s="7" t="s">
        <v>1934</v>
      </c>
      <c r="J133" s="7" t="s">
        <v>1058</v>
      </c>
      <c r="K133" s="7" t="s">
        <v>2198</v>
      </c>
      <c r="L133" s="7" t="s">
        <v>219</v>
      </c>
      <c r="M133" s="7" t="s">
        <v>2443</v>
      </c>
      <c r="N133" s="7" t="s">
        <v>1630</v>
      </c>
      <c r="O133" s="7" t="s">
        <v>2707</v>
      </c>
      <c r="P133" s="7" t="s">
        <v>3022</v>
      </c>
      <c r="Q133" s="7" t="s">
        <v>3788</v>
      </c>
      <c r="R133" s="7" t="s">
        <v>3640</v>
      </c>
      <c r="S133" s="7" t="s">
        <v>133</v>
      </c>
      <c r="T133" s="7" t="s">
        <v>179</v>
      </c>
      <c r="U133" s="7" t="s">
        <v>3656</v>
      </c>
    </row>
    <row r="134" spans="4:21" ht="102">
      <c r="D134" t="s">
        <v>1667</v>
      </c>
      <c r="E134" t="s">
        <v>110</v>
      </c>
      <c r="F134" s="9" t="s">
        <v>430</v>
      </c>
      <c r="G134" s="38" t="s">
        <v>691</v>
      </c>
      <c r="H134" s="7" t="s">
        <v>919</v>
      </c>
      <c r="I134" s="7" t="s">
        <v>1935</v>
      </c>
      <c r="J134" s="7" t="s">
        <v>1059</v>
      </c>
      <c r="K134" s="7" t="s">
        <v>2199</v>
      </c>
      <c r="L134" s="7" t="s">
        <v>1243</v>
      </c>
      <c r="M134" s="7" t="s">
        <v>2446</v>
      </c>
      <c r="N134" s="7" t="s">
        <v>1548</v>
      </c>
      <c r="O134" s="7" t="s">
        <v>2708</v>
      </c>
      <c r="P134" s="7" t="s">
        <v>3066</v>
      </c>
      <c r="Q134" s="7" t="s">
        <v>3789</v>
      </c>
      <c r="R134" s="7" t="s">
        <v>4660</v>
      </c>
      <c r="S134" s="7" t="s">
        <v>3377</v>
      </c>
      <c r="T134" s="7" t="s">
        <v>4093</v>
      </c>
      <c r="U134" s="7" t="s">
        <v>4372</v>
      </c>
    </row>
    <row r="135" spans="4:21" ht="102">
      <c r="D135" t="s">
        <v>1667</v>
      </c>
      <c r="E135" t="s">
        <v>106</v>
      </c>
      <c r="F135" s="9" t="s">
        <v>81</v>
      </c>
      <c r="G135" s="38" t="s">
        <v>692</v>
      </c>
      <c r="H135" s="7" t="s">
        <v>134</v>
      </c>
      <c r="I135" s="7" t="s">
        <v>1936</v>
      </c>
      <c r="J135" s="7" t="s">
        <v>134</v>
      </c>
      <c r="K135" s="7" t="s">
        <v>1936</v>
      </c>
      <c r="L135" s="7" t="s">
        <v>134</v>
      </c>
      <c r="M135" s="7" t="s">
        <v>1936</v>
      </c>
      <c r="N135" s="7" t="s">
        <v>281</v>
      </c>
      <c r="O135" s="7" t="s">
        <v>2709</v>
      </c>
      <c r="P135" s="7" t="s">
        <v>3266</v>
      </c>
      <c r="Q135" s="7" t="s">
        <v>3790</v>
      </c>
      <c r="R135" s="7" t="s">
        <v>4661</v>
      </c>
      <c r="S135" s="7" t="s">
        <v>3474</v>
      </c>
      <c r="T135" s="7" t="s">
        <v>4094</v>
      </c>
      <c r="U135" s="7" t="s">
        <v>4373</v>
      </c>
    </row>
    <row r="136" spans="4:21" ht="102">
      <c r="D136" t="s">
        <v>1667</v>
      </c>
      <c r="E136" t="s">
        <v>106</v>
      </c>
      <c r="F136" s="9" t="s">
        <v>431</v>
      </c>
      <c r="G136" s="38" t="s">
        <v>693</v>
      </c>
      <c r="H136" s="7" t="s">
        <v>969</v>
      </c>
      <c r="I136" s="7" t="s">
        <v>1937</v>
      </c>
      <c r="J136" s="7" t="s">
        <v>1060</v>
      </c>
      <c r="K136" s="7" t="s">
        <v>2200</v>
      </c>
      <c r="L136" s="7" t="s">
        <v>1244</v>
      </c>
      <c r="M136" s="7" t="s">
        <v>2447</v>
      </c>
      <c r="N136" s="7" t="s">
        <v>1439</v>
      </c>
      <c r="O136" s="7" t="s">
        <v>2710</v>
      </c>
      <c r="P136" s="7" t="s">
        <v>3267</v>
      </c>
      <c r="Q136" s="7" t="s">
        <v>3791</v>
      </c>
      <c r="R136" s="7" t="s">
        <v>4662</v>
      </c>
      <c r="S136" s="7" t="s">
        <v>3578</v>
      </c>
      <c r="T136" s="7" t="s">
        <v>4095</v>
      </c>
      <c r="U136" s="7" t="s">
        <v>4374</v>
      </c>
    </row>
    <row r="137" spans="4:21" ht="102">
      <c r="D137" t="s">
        <v>1667</v>
      </c>
      <c r="E137" t="s">
        <v>106</v>
      </c>
      <c r="F137" s="9" t="s">
        <v>432</v>
      </c>
      <c r="G137" s="38" t="s">
        <v>694</v>
      </c>
      <c r="H137" s="7" t="s">
        <v>1011</v>
      </c>
      <c r="I137" s="7" t="s">
        <v>1938</v>
      </c>
      <c r="J137" s="7" t="s">
        <v>1213</v>
      </c>
      <c r="K137" s="7" t="s">
        <v>2201</v>
      </c>
      <c r="L137" s="7" t="s">
        <v>1245</v>
      </c>
      <c r="M137" s="7" t="s">
        <v>1936</v>
      </c>
      <c r="N137" s="7" t="s">
        <v>1656</v>
      </c>
      <c r="O137" s="7" t="s">
        <v>2711</v>
      </c>
      <c r="P137" s="7" t="s">
        <v>3268</v>
      </c>
      <c r="Q137" s="7" t="s">
        <v>3792</v>
      </c>
      <c r="R137" s="99" t="s">
        <v>4663</v>
      </c>
      <c r="S137" s="7" t="s">
        <v>3579</v>
      </c>
      <c r="T137" s="7" t="s">
        <v>4096</v>
      </c>
      <c r="U137" s="7" t="s">
        <v>4375</v>
      </c>
    </row>
    <row r="138" spans="4:21" ht="102">
      <c r="D138" t="s">
        <v>1667</v>
      </c>
      <c r="E138" t="s">
        <v>106</v>
      </c>
      <c r="F138" s="9" t="s">
        <v>433</v>
      </c>
      <c r="G138" s="38" t="s">
        <v>695</v>
      </c>
      <c r="H138" s="7" t="s">
        <v>851</v>
      </c>
      <c r="I138" s="7" t="s">
        <v>1939</v>
      </c>
      <c r="J138" s="7" t="s">
        <v>1171</v>
      </c>
      <c r="K138" s="7" t="s">
        <v>2202</v>
      </c>
      <c r="L138" s="7" t="s">
        <v>1246</v>
      </c>
      <c r="M138" s="7" t="s">
        <v>2448</v>
      </c>
      <c r="N138" s="7" t="s">
        <v>1657</v>
      </c>
      <c r="O138" s="99" t="s">
        <v>2712</v>
      </c>
      <c r="P138" s="7" t="s">
        <v>3023</v>
      </c>
      <c r="Q138" s="7" t="s">
        <v>3793</v>
      </c>
      <c r="R138" s="7" t="s">
        <v>4664</v>
      </c>
      <c r="S138" s="7" t="s">
        <v>3580</v>
      </c>
      <c r="T138" s="7" t="s">
        <v>4097</v>
      </c>
      <c r="U138" s="7" t="s">
        <v>4376</v>
      </c>
    </row>
    <row r="139" spans="4:21" ht="85">
      <c r="D139" t="s">
        <v>1667</v>
      </c>
      <c r="E139" t="s">
        <v>106</v>
      </c>
      <c r="F139" s="9" t="s">
        <v>434</v>
      </c>
      <c r="G139" s="38" t="s">
        <v>696</v>
      </c>
      <c r="H139" s="7" t="s">
        <v>852</v>
      </c>
      <c r="I139" s="7" t="s">
        <v>1940</v>
      </c>
      <c r="J139" s="7" t="s">
        <v>1061</v>
      </c>
      <c r="K139" s="7" t="s">
        <v>2203</v>
      </c>
      <c r="L139" s="7" t="s">
        <v>1061</v>
      </c>
      <c r="M139" s="7" t="s">
        <v>2203</v>
      </c>
      <c r="N139" s="7" t="s">
        <v>1440</v>
      </c>
      <c r="O139" s="7" t="s">
        <v>2713</v>
      </c>
      <c r="P139" s="7" t="s">
        <v>3024</v>
      </c>
      <c r="Q139" s="7" t="s">
        <v>3794</v>
      </c>
      <c r="R139" s="19" t="s">
        <v>4665</v>
      </c>
      <c r="S139" s="7" t="s">
        <v>3581</v>
      </c>
      <c r="T139" s="7" t="s">
        <v>4098</v>
      </c>
      <c r="U139" s="7" t="s">
        <v>4377</v>
      </c>
    </row>
    <row r="140" spans="4:21" ht="102">
      <c r="D140" t="s">
        <v>1667</v>
      </c>
      <c r="E140" t="s">
        <v>106</v>
      </c>
      <c r="F140" s="9" t="s">
        <v>435</v>
      </c>
      <c r="G140" s="38" t="s">
        <v>697</v>
      </c>
      <c r="H140" s="7" t="s">
        <v>851</v>
      </c>
      <c r="I140" s="7" t="s">
        <v>1939</v>
      </c>
      <c r="J140" s="7" t="s">
        <v>1062</v>
      </c>
      <c r="K140" s="7" t="s">
        <v>2204</v>
      </c>
      <c r="L140" s="7" t="s">
        <v>1247</v>
      </c>
      <c r="M140" s="7" t="s">
        <v>2449</v>
      </c>
      <c r="N140" s="7" t="s">
        <v>1441</v>
      </c>
      <c r="O140" s="7" t="s">
        <v>2714</v>
      </c>
      <c r="P140" s="7" t="s">
        <v>3269</v>
      </c>
      <c r="Q140" s="7" t="s">
        <v>3795</v>
      </c>
      <c r="R140" s="19" t="s">
        <v>4666</v>
      </c>
      <c r="S140" s="7" t="s">
        <v>3582</v>
      </c>
      <c r="T140" s="7" t="s">
        <v>4099</v>
      </c>
      <c r="U140" s="7" t="s">
        <v>4378</v>
      </c>
    </row>
    <row r="141" spans="4:21" ht="102">
      <c r="D141" t="s">
        <v>1667</v>
      </c>
      <c r="E141" t="s">
        <v>106</v>
      </c>
      <c r="F141" s="9" t="s">
        <v>82</v>
      </c>
      <c r="G141" s="38" t="s">
        <v>698</v>
      </c>
      <c r="H141" s="7" t="s">
        <v>193</v>
      </c>
      <c r="I141" s="7" t="s">
        <v>1941</v>
      </c>
      <c r="J141" s="7" t="s">
        <v>163</v>
      </c>
      <c r="K141" s="7" t="s">
        <v>2205</v>
      </c>
      <c r="L141" s="7" t="s">
        <v>245</v>
      </c>
      <c r="M141" s="7" t="s">
        <v>2450</v>
      </c>
      <c r="N141" s="7" t="s">
        <v>282</v>
      </c>
      <c r="O141" s="7" t="s">
        <v>2715</v>
      </c>
      <c r="P141" s="7" t="s">
        <v>3270</v>
      </c>
      <c r="Q141" s="7" t="s">
        <v>3796</v>
      </c>
      <c r="R141" s="7" t="s">
        <v>4667</v>
      </c>
      <c r="S141" s="7" t="s">
        <v>3378</v>
      </c>
      <c r="T141" s="7" t="s">
        <v>4100</v>
      </c>
      <c r="U141" s="7" t="s">
        <v>4379</v>
      </c>
    </row>
    <row r="142" spans="4:21" ht="119">
      <c r="D142" t="s">
        <v>1667</v>
      </c>
      <c r="E142" t="s">
        <v>106</v>
      </c>
      <c r="F142" s="9" t="s">
        <v>436</v>
      </c>
      <c r="G142" s="38" t="s">
        <v>699</v>
      </c>
      <c r="H142" s="7" t="s">
        <v>193</v>
      </c>
      <c r="I142" s="7" t="s">
        <v>1941</v>
      </c>
      <c r="J142" s="7" t="s">
        <v>1172</v>
      </c>
      <c r="K142" s="7" t="s">
        <v>2206</v>
      </c>
      <c r="L142" s="7" t="s">
        <v>1371</v>
      </c>
      <c r="M142" s="7" t="s">
        <v>2451</v>
      </c>
      <c r="N142" s="7" t="s">
        <v>1549</v>
      </c>
      <c r="O142" s="7" t="s">
        <v>2716</v>
      </c>
      <c r="P142" s="7" t="s">
        <v>3067</v>
      </c>
      <c r="Q142" s="7" t="s">
        <v>3797</v>
      </c>
      <c r="R142" s="7" t="s">
        <v>4668</v>
      </c>
      <c r="S142" s="7" t="s">
        <v>3475</v>
      </c>
      <c r="T142" s="7" t="s">
        <v>4101</v>
      </c>
      <c r="U142" s="7" t="s">
        <v>4380</v>
      </c>
    </row>
    <row r="143" spans="4:21" ht="102">
      <c r="D143" t="s">
        <v>1667</v>
      </c>
      <c r="E143" t="s">
        <v>106</v>
      </c>
      <c r="F143" s="9" t="s">
        <v>437</v>
      </c>
      <c r="G143" s="38" t="s">
        <v>700</v>
      </c>
      <c r="H143" s="7" t="s">
        <v>853</v>
      </c>
      <c r="I143" s="7" t="s">
        <v>1942</v>
      </c>
      <c r="J143" s="7" t="s">
        <v>1173</v>
      </c>
      <c r="K143" s="7" t="s">
        <v>2207</v>
      </c>
      <c r="L143" s="7" t="s">
        <v>1318</v>
      </c>
      <c r="M143" s="7" t="s">
        <v>2452</v>
      </c>
      <c r="N143" s="7" t="s">
        <v>1631</v>
      </c>
      <c r="O143" s="7" t="s">
        <v>2717</v>
      </c>
      <c r="P143" s="7" t="s">
        <v>3068</v>
      </c>
      <c r="Q143" s="7" t="s">
        <v>3798</v>
      </c>
      <c r="R143" s="7" t="s">
        <v>4669</v>
      </c>
      <c r="S143" s="7" t="s">
        <v>3476</v>
      </c>
      <c r="T143" s="7" t="s">
        <v>4102</v>
      </c>
      <c r="U143" s="7" t="s">
        <v>4381</v>
      </c>
    </row>
    <row r="144" spans="4:21" ht="102">
      <c r="D144" t="s">
        <v>1667</v>
      </c>
      <c r="E144" t="s">
        <v>106</v>
      </c>
      <c r="F144" s="9" t="s">
        <v>438</v>
      </c>
      <c r="G144" s="38" t="s">
        <v>701</v>
      </c>
      <c r="H144" s="7" t="s">
        <v>193</v>
      </c>
      <c r="I144" s="7" t="s">
        <v>1941</v>
      </c>
      <c r="J144" s="7" t="s">
        <v>163</v>
      </c>
      <c r="K144" s="7" t="s">
        <v>2205</v>
      </c>
      <c r="L144" s="7" t="s">
        <v>1372</v>
      </c>
      <c r="M144" s="7" t="s">
        <v>2453</v>
      </c>
      <c r="N144" s="7" t="s">
        <v>1550</v>
      </c>
      <c r="O144" s="7" t="s">
        <v>2718</v>
      </c>
      <c r="P144" s="7" t="s">
        <v>3069</v>
      </c>
      <c r="Q144" s="7" t="s">
        <v>3799</v>
      </c>
      <c r="R144" s="7" t="s">
        <v>4670</v>
      </c>
      <c r="S144" s="7" t="s">
        <v>3477</v>
      </c>
      <c r="T144" s="7" t="s">
        <v>4103</v>
      </c>
      <c r="U144" s="7" t="s">
        <v>4382</v>
      </c>
    </row>
    <row r="145" spans="4:21" ht="102">
      <c r="D145" t="s">
        <v>1667</v>
      </c>
      <c r="E145" t="s">
        <v>106</v>
      </c>
      <c r="F145" s="9" t="s">
        <v>439</v>
      </c>
      <c r="G145" s="38" t="s">
        <v>702</v>
      </c>
      <c r="H145" s="7" t="s">
        <v>920</v>
      </c>
      <c r="I145" s="7" t="s">
        <v>1943</v>
      </c>
      <c r="J145" s="7" t="s">
        <v>163</v>
      </c>
      <c r="K145" s="7" t="s">
        <v>2205</v>
      </c>
      <c r="L145" s="7" t="s">
        <v>1319</v>
      </c>
      <c r="M145" s="7" t="s">
        <v>2454</v>
      </c>
      <c r="N145" s="7" t="s">
        <v>1486</v>
      </c>
      <c r="O145" s="7" t="s">
        <v>2719</v>
      </c>
      <c r="P145" s="7" t="s">
        <v>3271</v>
      </c>
      <c r="Q145" s="7" t="s">
        <v>3800</v>
      </c>
      <c r="R145" s="7" t="s">
        <v>4671</v>
      </c>
      <c r="S145" s="7" t="s">
        <v>3379</v>
      </c>
      <c r="T145" s="7" t="s">
        <v>4104</v>
      </c>
      <c r="U145" s="7" t="s">
        <v>4383</v>
      </c>
    </row>
    <row r="146" spans="4:21" ht="85">
      <c r="D146" t="s">
        <v>1667</v>
      </c>
      <c r="E146" t="s">
        <v>106</v>
      </c>
      <c r="F146" s="9" t="s">
        <v>440</v>
      </c>
      <c r="G146" s="38" t="s">
        <v>703</v>
      </c>
      <c r="H146" s="7" t="s">
        <v>193</v>
      </c>
      <c r="I146" s="7" t="s">
        <v>1941</v>
      </c>
      <c r="J146" s="7" t="s">
        <v>163</v>
      </c>
      <c r="K146" s="7" t="s">
        <v>2205</v>
      </c>
      <c r="L146" s="7" t="s">
        <v>1371</v>
      </c>
      <c r="M146" s="7" t="s">
        <v>2451</v>
      </c>
      <c r="N146" s="7" t="s">
        <v>1551</v>
      </c>
      <c r="O146" s="7" t="s">
        <v>2720</v>
      </c>
      <c r="P146" s="7" t="s">
        <v>3070</v>
      </c>
      <c r="Q146" s="7" t="s">
        <v>3801</v>
      </c>
      <c r="R146" s="7" t="s">
        <v>4672</v>
      </c>
      <c r="S146" s="7" t="s">
        <v>3478</v>
      </c>
      <c r="T146" s="7" t="s">
        <v>4105</v>
      </c>
      <c r="U146" s="7" t="s">
        <v>4384</v>
      </c>
    </row>
    <row r="147" spans="4:21" ht="85">
      <c r="D147" t="s">
        <v>1667</v>
      </c>
      <c r="E147" t="s">
        <v>106</v>
      </c>
      <c r="F147" s="9" t="s">
        <v>83</v>
      </c>
      <c r="G147" s="38" t="s">
        <v>704</v>
      </c>
      <c r="H147" s="7" t="s">
        <v>283</v>
      </c>
      <c r="I147" s="7" t="s">
        <v>1944</v>
      </c>
      <c r="J147" s="7" t="s">
        <v>149</v>
      </c>
      <c r="K147" s="7" t="s">
        <v>2208</v>
      </c>
      <c r="L147" s="7" t="s">
        <v>284</v>
      </c>
      <c r="M147" s="7" t="s">
        <v>2455</v>
      </c>
      <c r="N147" s="7" t="s">
        <v>285</v>
      </c>
      <c r="O147" s="7" t="s">
        <v>2721</v>
      </c>
      <c r="P147" s="7" t="s">
        <v>3156</v>
      </c>
      <c r="Q147" s="7" t="s">
        <v>3802</v>
      </c>
      <c r="R147" s="7" t="s">
        <v>4673</v>
      </c>
      <c r="S147" s="7" t="s">
        <v>3479</v>
      </c>
      <c r="T147" s="7" t="s">
        <v>4106</v>
      </c>
      <c r="U147" s="7" t="s">
        <v>4385</v>
      </c>
    </row>
    <row r="148" spans="4:21" ht="85">
      <c r="D148" t="s">
        <v>1667</v>
      </c>
      <c r="E148" t="s">
        <v>106</v>
      </c>
      <c r="F148" s="9" t="s">
        <v>441</v>
      </c>
      <c r="G148" s="38" t="s">
        <v>705</v>
      </c>
      <c r="H148" s="7" t="s">
        <v>970</v>
      </c>
      <c r="I148" s="7" t="s">
        <v>1945</v>
      </c>
      <c r="J148" s="7" t="s">
        <v>1109</v>
      </c>
      <c r="K148" s="7" t="s">
        <v>2209</v>
      </c>
      <c r="L148" s="7" t="s">
        <v>1320</v>
      </c>
      <c r="M148" s="7" t="s">
        <v>2456</v>
      </c>
      <c r="N148" s="7" t="s">
        <v>1632</v>
      </c>
      <c r="O148" s="7" t="s">
        <v>2722</v>
      </c>
      <c r="P148" s="7" t="s">
        <v>3318</v>
      </c>
      <c r="Q148" s="7" t="s">
        <v>3803</v>
      </c>
      <c r="R148" s="7" t="s">
        <v>4674</v>
      </c>
      <c r="S148" s="7" t="s">
        <v>3611</v>
      </c>
      <c r="T148" s="7" t="s">
        <v>4107</v>
      </c>
      <c r="U148" s="7" t="s">
        <v>4536</v>
      </c>
    </row>
    <row r="149" spans="4:21" ht="85">
      <c r="D149" t="s">
        <v>1667</v>
      </c>
      <c r="E149" t="s">
        <v>106</v>
      </c>
      <c r="F149" s="9" t="s">
        <v>442</v>
      </c>
      <c r="G149" s="38" t="s">
        <v>706</v>
      </c>
      <c r="H149" s="7" t="s">
        <v>921</v>
      </c>
      <c r="I149" s="18" t="s">
        <v>1946</v>
      </c>
      <c r="J149" s="7" t="s">
        <v>1110</v>
      </c>
      <c r="K149" s="7" t="s">
        <v>2210</v>
      </c>
      <c r="L149" s="7" t="s">
        <v>1373</v>
      </c>
      <c r="M149" s="7" t="s">
        <v>2457</v>
      </c>
      <c r="N149" s="7" t="s">
        <v>1633</v>
      </c>
      <c r="O149" s="7" t="s">
        <v>2723</v>
      </c>
      <c r="P149" s="7" t="s">
        <v>3157</v>
      </c>
      <c r="Q149" s="7" t="s">
        <v>3804</v>
      </c>
      <c r="R149" s="7" t="s">
        <v>4675</v>
      </c>
      <c r="S149" s="7" t="s">
        <v>3480</v>
      </c>
      <c r="T149" s="7" t="s">
        <v>4108</v>
      </c>
      <c r="U149" s="7" t="s">
        <v>4386</v>
      </c>
    </row>
    <row r="150" spans="4:21" ht="102">
      <c r="D150" t="s">
        <v>1667</v>
      </c>
      <c r="E150" t="s">
        <v>106</v>
      </c>
      <c r="F150" s="9" t="s">
        <v>443</v>
      </c>
      <c r="G150" s="38" t="s">
        <v>707</v>
      </c>
      <c r="H150" s="7" t="s">
        <v>971</v>
      </c>
      <c r="I150" s="7" t="s">
        <v>1947</v>
      </c>
      <c r="J150" s="7" t="s">
        <v>1174</v>
      </c>
      <c r="K150" s="7" t="s">
        <v>2211</v>
      </c>
      <c r="L150" s="7" t="s">
        <v>1374</v>
      </c>
      <c r="M150" s="7" t="s">
        <v>2458</v>
      </c>
      <c r="N150" s="7" t="s">
        <v>1552</v>
      </c>
      <c r="O150" s="7" t="s">
        <v>2724</v>
      </c>
      <c r="P150" s="7" t="s">
        <v>3319</v>
      </c>
      <c r="Q150" s="7" t="s">
        <v>3805</v>
      </c>
      <c r="R150" s="7" t="s">
        <v>4676</v>
      </c>
      <c r="S150" s="7" t="s">
        <v>3612</v>
      </c>
      <c r="T150" s="7" t="s">
        <v>4109</v>
      </c>
      <c r="U150" s="7" t="s">
        <v>4537</v>
      </c>
    </row>
    <row r="151" spans="4:21" ht="85">
      <c r="D151" t="s">
        <v>1667</v>
      </c>
      <c r="E151" t="s">
        <v>106</v>
      </c>
      <c r="F151" s="9" t="s">
        <v>444</v>
      </c>
      <c r="G151" s="38" t="s">
        <v>708</v>
      </c>
      <c r="H151" s="7" t="s">
        <v>922</v>
      </c>
      <c r="I151" s="7" t="s">
        <v>1948</v>
      </c>
      <c r="J151" s="7" t="s">
        <v>922</v>
      </c>
      <c r="K151" s="7" t="s">
        <v>1948</v>
      </c>
      <c r="L151" s="7" t="s">
        <v>923</v>
      </c>
      <c r="M151" s="7" t="s">
        <v>1949</v>
      </c>
      <c r="N151" s="7" t="s">
        <v>1634</v>
      </c>
      <c r="O151" s="7" t="s">
        <v>2725</v>
      </c>
      <c r="P151" s="7" t="s">
        <v>3158</v>
      </c>
      <c r="Q151" s="7" t="s">
        <v>3806</v>
      </c>
      <c r="R151" s="7" t="s">
        <v>4677</v>
      </c>
      <c r="S151" s="7" t="s">
        <v>3481</v>
      </c>
      <c r="T151" s="7" t="s">
        <v>4110</v>
      </c>
      <c r="U151" s="7" t="s">
        <v>4387</v>
      </c>
    </row>
    <row r="152" spans="4:21" ht="102">
      <c r="D152" t="s">
        <v>1667</v>
      </c>
      <c r="E152" t="s">
        <v>106</v>
      </c>
      <c r="F152" s="9" t="s">
        <v>445</v>
      </c>
      <c r="G152" s="38" t="s">
        <v>709</v>
      </c>
      <c r="H152" s="7" t="s">
        <v>923</v>
      </c>
      <c r="I152" s="7" t="s">
        <v>1949</v>
      </c>
      <c r="J152" s="7" t="s">
        <v>1111</v>
      </c>
      <c r="K152" s="7" t="s">
        <v>2212</v>
      </c>
      <c r="L152" s="7" t="s">
        <v>1321</v>
      </c>
      <c r="M152" s="7" t="s">
        <v>2459</v>
      </c>
      <c r="N152" s="7" t="s">
        <v>1658</v>
      </c>
      <c r="O152" s="7" t="s">
        <v>2726</v>
      </c>
      <c r="P152" s="7" t="s">
        <v>3317</v>
      </c>
      <c r="Q152" s="7" t="s">
        <v>3807</v>
      </c>
      <c r="R152" s="7" t="s">
        <v>4678</v>
      </c>
      <c r="S152" s="7" t="s">
        <v>3380</v>
      </c>
      <c r="T152" s="7" t="s">
        <v>4111</v>
      </c>
      <c r="U152" s="7" t="s">
        <v>4388</v>
      </c>
    </row>
    <row r="153" spans="4:21" ht="85">
      <c r="D153" t="s">
        <v>1669</v>
      </c>
      <c r="E153" t="s">
        <v>106</v>
      </c>
      <c r="F153" s="9" t="s">
        <v>566</v>
      </c>
      <c r="G153" s="38" t="s">
        <v>84</v>
      </c>
      <c r="H153" s="7" t="s">
        <v>286</v>
      </c>
      <c r="I153" s="7" t="s">
        <v>1950</v>
      </c>
      <c r="J153" s="7" t="s">
        <v>164</v>
      </c>
      <c r="K153" s="7" t="s">
        <v>2213</v>
      </c>
      <c r="L153" s="7" t="s">
        <v>287</v>
      </c>
      <c r="M153" s="7" t="s">
        <v>2460</v>
      </c>
      <c r="N153" s="7" t="s">
        <v>311</v>
      </c>
      <c r="O153" s="7" t="s">
        <v>2727</v>
      </c>
      <c r="P153" s="7" t="s">
        <v>3159</v>
      </c>
      <c r="Q153" s="7" t="s">
        <v>3808</v>
      </c>
      <c r="R153" s="7" t="s">
        <v>4679</v>
      </c>
      <c r="S153" s="7" t="s">
        <v>3482</v>
      </c>
      <c r="T153" s="7" t="s">
        <v>4112</v>
      </c>
      <c r="U153" s="7" t="s">
        <v>4389</v>
      </c>
    </row>
    <row r="154" spans="4:21" ht="85">
      <c r="D154" t="s">
        <v>1669</v>
      </c>
      <c r="E154" t="s">
        <v>106</v>
      </c>
      <c r="F154" s="9" t="s">
        <v>446</v>
      </c>
      <c r="G154" s="38" t="s">
        <v>710</v>
      </c>
      <c r="H154" s="7" t="s">
        <v>972</v>
      </c>
      <c r="I154" s="7" t="s">
        <v>1951</v>
      </c>
      <c r="J154" s="7" t="s">
        <v>164</v>
      </c>
      <c r="K154" s="7" t="s">
        <v>2213</v>
      </c>
      <c r="L154" s="7" t="s">
        <v>1375</v>
      </c>
      <c r="M154" s="7" t="s">
        <v>2461</v>
      </c>
      <c r="N154" s="7" t="s">
        <v>1635</v>
      </c>
      <c r="O154" s="7" t="s">
        <v>2728</v>
      </c>
      <c r="P154" s="7" t="s">
        <v>3160</v>
      </c>
      <c r="Q154" s="7" t="s">
        <v>3809</v>
      </c>
      <c r="R154" s="7" t="s">
        <v>4680</v>
      </c>
      <c r="S154" s="7" t="s">
        <v>3583</v>
      </c>
      <c r="T154" s="7" t="s">
        <v>4113</v>
      </c>
      <c r="U154" s="7" t="s">
        <v>4390</v>
      </c>
    </row>
    <row r="155" spans="4:21" ht="68">
      <c r="D155" t="s">
        <v>1669</v>
      </c>
      <c r="E155" t="s">
        <v>106</v>
      </c>
      <c r="F155" s="9" t="s">
        <v>447</v>
      </c>
      <c r="G155" s="38" t="s">
        <v>711</v>
      </c>
      <c r="H155" s="7" t="s">
        <v>973</v>
      </c>
      <c r="I155" s="7" t="s">
        <v>1952</v>
      </c>
      <c r="J155" s="7" t="s">
        <v>164</v>
      </c>
      <c r="K155" s="7" t="s">
        <v>2213</v>
      </c>
      <c r="L155" s="7" t="s">
        <v>1375</v>
      </c>
      <c r="M155" s="7" t="s">
        <v>2461</v>
      </c>
      <c r="N155" s="7" t="s">
        <v>1553</v>
      </c>
      <c r="O155" s="7" t="s">
        <v>2729</v>
      </c>
      <c r="P155" s="7" t="s">
        <v>3161</v>
      </c>
      <c r="Q155" s="7" t="s">
        <v>3810</v>
      </c>
      <c r="R155" s="7" t="s">
        <v>4681</v>
      </c>
      <c r="S155" s="7" t="s">
        <v>3584</v>
      </c>
      <c r="T155" s="7" t="s">
        <v>4114</v>
      </c>
      <c r="U155" s="7" t="s">
        <v>4391</v>
      </c>
    </row>
    <row r="156" spans="4:21" ht="85">
      <c r="D156" t="s">
        <v>1669</v>
      </c>
      <c r="E156" t="s">
        <v>106</v>
      </c>
      <c r="F156" s="9" t="s">
        <v>448</v>
      </c>
      <c r="G156" s="38" t="s">
        <v>712</v>
      </c>
      <c r="H156" s="7" t="s">
        <v>974</v>
      </c>
      <c r="I156" s="7" t="s">
        <v>1953</v>
      </c>
      <c r="J156" s="7" t="s">
        <v>1214</v>
      </c>
      <c r="K156" s="7" t="s">
        <v>2214</v>
      </c>
      <c r="L156" s="7" t="s">
        <v>974</v>
      </c>
      <c r="M156" s="7" t="s">
        <v>1953</v>
      </c>
      <c r="N156" s="7" t="s">
        <v>1554</v>
      </c>
      <c r="O156" s="7" t="s">
        <v>2730</v>
      </c>
      <c r="P156" s="7" t="s">
        <v>3272</v>
      </c>
      <c r="Q156" s="7" t="s">
        <v>3811</v>
      </c>
      <c r="R156" s="7" t="s">
        <v>4682</v>
      </c>
      <c r="S156" s="7" t="s">
        <v>3483</v>
      </c>
      <c r="T156" s="7" t="s">
        <v>4115</v>
      </c>
      <c r="U156" s="7" t="s">
        <v>4392</v>
      </c>
    </row>
    <row r="157" spans="4:21" ht="102">
      <c r="D157" t="s">
        <v>1669</v>
      </c>
      <c r="E157" t="s">
        <v>106</v>
      </c>
      <c r="F157" s="9" t="s">
        <v>449</v>
      </c>
      <c r="G157" s="38" t="s">
        <v>713</v>
      </c>
      <c r="H157" s="7" t="s">
        <v>975</v>
      </c>
      <c r="I157" s="7" t="s">
        <v>1954</v>
      </c>
      <c r="J157" s="7" t="s">
        <v>1112</v>
      </c>
      <c r="K157" s="7" t="s">
        <v>2215</v>
      </c>
      <c r="L157" s="7" t="s">
        <v>1375</v>
      </c>
      <c r="M157" s="7" t="s">
        <v>2461</v>
      </c>
      <c r="N157" s="7" t="s">
        <v>1555</v>
      </c>
      <c r="O157" s="7" t="s">
        <v>2731</v>
      </c>
      <c r="P157" s="7" t="s">
        <v>3273</v>
      </c>
      <c r="Q157" s="7" t="s">
        <v>3812</v>
      </c>
      <c r="R157" s="7" t="s">
        <v>4683</v>
      </c>
      <c r="S157" s="7" t="s">
        <v>3484</v>
      </c>
      <c r="T157" s="7" t="s">
        <v>4116</v>
      </c>
      <c r="U157" s="7" t="s">
        <v>4393</v>
      </c>
    </row>
    <row r="158" spans="4:21" ht="68">
      <c r="D158" t="s">
        <v>1669</v>
      </c>
      <c r="E158" t="s">
        <v>106</v>
      </c>
      <c r="F158" s="9" t="s">
        <v>450</v>
      </c>
      <c r="G158" s="38" t="s">
        <v>714</v>
      </c>
      <c r="H158" s="7" t="s">
        <v>976</v>
      </c>
      <c r="I158" s="7" t="s">
        <v>1955</v>
      </c>
      <c r="J158" s="7" t="s">
        <v>1175</v>
      </c>
      <c r="K158" s="7" t="s">
        <v>2216</v>
      </c>
      <c r="L158" s="7" t="s">
        <v>1322</v>
      </c>
      <c r="M158" s="7" t="s">
        <v>2462</v>
      </c>
      <c r="N158" s="7" t="s">
        <v>1442</v>
      </c>
      <c r="O158" s="7" t="s">
        <v>2732</v>
      </c>
      <c r="P158" s="7" t="s">
        <v>3162</v>
      </c>
      <c r="Q158" s="7" t="s">
        <v>3813</v>
      </c>
      <c r="R158" s="7" t="s">
        <v>4684</v>
      </c>
      <c r="S158" s="7" t="s">
        <v>3485</v>
      </c>
      <c r="T158" s="7" t="s">
        <v>4117</v>
      </c>
      <c r="U158" s="7" t="s">
        <v>4394</v>
      </c>
    </row>
    <row r="159" spans="4:21" ht="85">
      <c r="D159" t="s">
        <v>1667</v>
      </c>
      <c r="E159" t="s">
        <v>106</v>
      </c>
      <c r="F159" s="9" t="s">
        <v>94</v>
      </c>
      <c r="G159" s="38" t="s">
        <v>85</v>
      </c>
      <c r="H159" s="7" t="s">
        <v>288</v>
      </c>
      <c r="I159" s="7" t="s">
        <v>1956</v>
      </c>
      <c r="J159" s="7" t="s">
        <v>173</v>
      </c>
      <c r="K159" s="7" t="s">
        <v>2217</v>
      </c>
      <c r="L159" s="7" t="s">
        <v>289</v>
      </c>
      <c r="M159" s="7" t="s">
        <v>2463</v>
      </c>
      <c r="N159" s="7" t="s">
        <v>290</v>
      </c>
      <c r="O159" s="7" t="s">
        <v>2733</v>
      </c>
      <c r="P159" s="7" t="s">
        <v>3274</v>
      </c>
      <c r="Q159" s="7" t="s">
        <v>3814</v>
      </c>
      <c r="R159" s="7" t="s">
        <v>4685</v>
      </c>
      <c r="S159" s="7" t="s">
        <v>3613</v>
      </c>
      <c r="T159" s="7" t="s">
        <v>4118</v>
      </c>
      <c r="U159" s="7" t="s">
        <v>4395</v>
      </c>
    </row>
    <row r="160" spans="4:21" ht="102">
      <c r="D160" t="s">
        <v>1667</v>
      </c>
      <c r="E160" t="s">
        <v>106</v>
      </c>
      <c r="F160" s="9" t="s">
        <v>451</v>
      </c>
      <c r="G160" s="38" t="s">
        <v>715</v>
      </c>
      <c r="H160" s="7" t="s">
        <v>977</v>
      </c>
      <c r="I160" s="7" t="s">
        <v>1957</v>
      </c>
      <c r="J160" s="7" t="s">
        <v>1113</v>
      </c>
      <c r="K160" s="7" t="s">
        <v>2218</v>
      </c>
      <c r="L160" s="7" t="s">
        <v>1376</v>
      </c>
      <c r="M160" s="7" t="s">
        <v>2464</v>
      </c>
      <c r="N160" s="7" t="s">
        <v>1487</v>
      </c>
      <c r="O160" s="7" t="s">
        <v>2734</v>
      </c>
      <c r="P160" s="7" t="s">
        <v>3163</v>
      </c>
      <c r="Q160" s="7" t="s">
        <v>3815</v>
      </c>
      <c r="R160" s="7" t="s">
        <v>4686</v>
      </c>
      <c r="S160" s="7" t="s">
        <v>3486</v>
      </c>
      <c r="T160" s="7" t="s">
        <v>4119</v>
      </c>
      <c r="U160" s="7" t="s">
        <v>4396</v>
      </c>
    </row>
    <row r="161" spans="4:21" ht="102">
      <c r="D161" t="s">
        <v>1667</v>
      </c>
      <c r="E161" t="s">
        <v>106</v>
      </c>
      <c r="F161" s="9" t="s">
        <v>452</v>
      </c>
      <c r="G161" s="38" t="s">
        <v>716</v>
      </c>
      <c r="H161" s="7" t="s">
        <v>924</v>
      </c>
      <c r="I161" s="7" t="s">
        <v>1958</v>
      </c>
      <c r="J161" s="7" t="s">
        <v>1114</v>
      </c>
      <c r="K161" s="7" t="s">
        <v>2219</v>
      </c>
      <c r="L161" s="7" t="s">
        <v>1248</v>
      </c>
      <c r="M161" s="7" t="s">
        <v>2465</v>
      </c>
      <c r="N161" s="7" t="s">
        <v>1488</v>
      </c>
      <c r="O161" s="7" t="s">
        <v>2735</v>
      </c>
      <c r="P161" s="7" t="s">
        <v>3275</v>
      </c>
      <c r="Q161" s="7" t="s">
        <v>3816</v>
      </c>
      <c r="R161" s="7" t="s">
        <v>4687</v>
      </c>
      <c r="S161" s="7" t="s">
        <v>3381</v>
      </c>
      <c r="T161" s="7" t="s">
        <v>4120</v>
      </c>
      <c r="U161" s="7" t="s">
        <v>4397</v>
      </c>
    </row>
    <row r="162" spans="4:21" ht="85">
      <c r="D162" t="s">
        <v>1667</v>
      </c>
      <c r="E162" t="s">
        <v>106</v>
      </c>
      <c r="F162" s="9" t="s">
        <v>453</v>
      </c>
      <c r="G162" s="38" t="s">
        <v>717</v>
      </c>
      <c r="H162" s="7" t="s">
        <v>978</v>
      </c>
      <c r="I162" s="7" t="s">
        <v>1959</v>
      </c>
      <c r="J162" s="7" t="s">
        <v>1215</v>
      </c>
      <c r="K162" s="7" t="s">
        <v>2220</v>
      </c>
      <c r="L162" s="7" t="s">
        <v>1377</v>
      </c>
      <c r="M162" s="7" t="s">
        <v>2466</v>
      </c>
      <c r="N162" s="7" t="s">
        <v>1489</v>
      </c>
      <c r="O162" s="7" t="s">
        <v>2736</v>
      </c>
      <c r="P162" s="7" t="s">
        <v>3276</v>
      </c>
      <c r="Q162" s="7" t="s">
        <v>3817</v>
      </c>
      <c r="R162" s="7" t="s">
        <v>4688</v>
      </c>
      <c r="S162" s="7" t="s">
        <v>3614</v>
      </c>
      <c r="T162" s="7" t="s">
        <v>4121</v>
      </c>
      <c r="U162" s="7" t="s">
        <v>4398</v>
      </c>
    </row>
    <row r="163" spans="4:21" ht="119">
      <c r="D163" t="s">
        <v>1667</v>
      </c>
      <c r="E163" t="s">
        <v>106</v>
      </c>
      <c r="F163" s="9" t="s">
        <v>454</v>
      </c>
      <c r="G163" s="38" t="s">
        <v>718</v>
      </c>
      <c r="H163" s="7" t="s">
        <v>979</v>
      </c>
      <c r="I163" s="7" t="s">
        <v>1960</v>
      </c>
      <c r="J163" s="7" t="s">
        <v>1226</v>
      </c>
      <c r="K163" s="7" t="s">
        <v>2221</v>
      </c>
      <c r="L163" s="7" t="s">
        <v>1323</v>
      </c>
      <c r="M163" s="7" t="s">
        <v>2467</v>
      </c>
      <c r="N163" s="7" t="s">
        <v>1556</v>
      </c>
      <c r="O163" s="7" t="s">
        <v>2737</v>
      </c>
      <c r="P163" s="7" t="s">
        <v>3277</v>
      </c>
      <c r="Q163" s="7" t="s">
        <v>3818</v>
      </c>
      <c r="R163" s="7" t="s">
        <v>4689</v>
      </c>
      <c r="S163" s="7" t="s">
        <v>3615</v>
      </c>
      <c r="T163" s="7" t="s">
        <v>4122</v>
      </c>
      <c r="U163" s="7" t="s">
        <v>4399</v>
      </c>
    </row>
    <row r="164" spans="4:21" ht="102">
      <c r="D164" t="s">
        <v>1667</v>
      </c>
      <c r="E164" t="s">
        <v>106</v>
      </c>
      <c r="F164" s="9" t="s">
        <v>455</v>
      </c>
      <c r="G164" s="38" t="s">
        <v>719</v>
      </c>
      <c r="H164" s="7" t="s">
        <v>980</v>
      </c>
      <c r="I164" s="7" t="s">
        <v>1961</v>
      </c>
      <c r="J164" s="7" t="s">
        <v>1063</v>
      </c>
      <c r="K164" s="7" t="s">
        <v>2222</v>
      </c>
      <c r="L164" s="7" t="s">
        <v>1324</v>
      </c>
      <c r="M164" s="7" t="s">
        <v>2468</v>
      </c>
      <c r="N164" s="7" t="s">
        <v>1557</v>
      </c>
      <c r="O164" s="7" t="s">
        <v>2738</v>
      </c>
      <c r="P164" s="7" t="s">
        <v>3164</v>
      </c>
      <c r="Q164" s="7" t="s">
        <v>3819</v>
      </c>
      <c r="R164" s="7" t="s">
        <v>4690</v>
      </c>
      <c r="S164" s="7" t="s">
        <v>3616</v>
      </c>
      <c r="T164" s="7" t="s">
        <v>4123</v>
      </c>
      <c r="U164" s="7" t="s">
        <v>4400</v>
      </c>
    </row>
    <row r="165" spans="4:21" ht="102">
      <c r="D165" t="s">
        <v>1667</v>
      </c>
      <c r="E165" t="s">
        <v>109</v>
      </c>
      <c r="F165" s="9" t="s">
        <v>567</v>
      </c>
      <c r="G165" s="38" t="s">
        <v>86</v>
      </c>
      <c r="H165" s="7" t="s">
        <v>194</v>
      </c>
      <c r="I165" s="7" t="s">
        <v>1962</v>
      </c>
      <c r="J165" s="7" t="s">
        <v>135</v>
      </c>
      <c r="K165" s="7" t="s">
        <v>2223</v>
      </c>
      <c r="L165" s="7" t="s">
        <v>312</v>
      </c>
      <c r="M165" s="7" t="s">
        <v>2469</v>
      </c>
      <c r="N165" s="7" t="s">
        <v>313</v>
      </c>
      <c r="O165" s="7" t="s">
        <v>2739</v>
      </c>
      <c r="P165" s="7" t="s">
        <v>3278</v>
      </c>
      <c r="Q165" s="7" t="s">
        <v>3820</v>
      </c>
      <c r="R165" s="7" t="s">
        <v>4691</v>
      </c>
      <c r="S165" s="7" t="s">
        <v>3585</v>
      </c>
      <c r="T165" s="7" t="s">
        <v>4124</v>
      </c>
      <c r="U165" s="7" t="s">
        <v>4401</v>
      </c>
    </row>
    <row r="166" spans="4:21" ht="85">
      <c r="D166" t="s">
        <v>1667</v>
      </c>
      <c r="E166" t="s">
        <v>109</v>
      </c>
      <c r="F166" s="9" t="s">
        <v>456</v>
      </c>
      <c r="G166" s="38" t="s">
        <v>720</v>
      </c>
      <c r="H166" s="7" t="s">
        <v>854</v>
      </c>
      <c r="I166" s="7" t="s">
        <v>1963</v>
      </c>
      <c r="J166" s="7" t="s">
        <v>1115</v>
      </c>
      <c r="K166" s="7" t="s">
        <v>2224</v>
      </c>
      <c r="L166" s="7" t="s">
        <v>1403</v>
      </c>
      <c r="M166" s="7" t="s">
        <v>2470</v>
      </c>
      <c r="N166" s="7" t="s">
        <v>1636</v>
      </c>
      <c r="O166" s="7" t="s">
        <v>2740</v>
      </c>
      <c r="P166" s="7" t="s">
        <v>3279</v>
      </c>
      <c r="Q166" s="7" t="s">
        <v>3821</v>
      </c>
      <c r="R166" s="7" t="s">
        <v>4692</v>
      </c>
      <c r="S166" s="7" t="s">
        <v>3586</v>
      </c>
      <c r="T166" s="7" t="s">
        <v>4125</v>
      </c>
      <c r="U166" s="7" t="s">
        <v>4402</v>
      </c>
    </row>
    <row r="167" spans="4:21" ht="85">
      <c r="D167" t="s">
        <v>1667</v>
      </c>
      <c r="E167" t="s">
        <v>109</v>
      </c>
      <c r="F167" s="9" t="s">
        <v>457</v>
      </c>
      <c r="G167" s="38" t="s">
        <v>721</v>
      </c>
      <c r="H167" s="7" t="s">
        <v>1012</v>
      </c>
      <c r="I167" s="7" t="s">
        <v>1964</v>
      </c>
      <c r="J167" s="7" t="s">
        <v>1216</v>
      </c>
      <c r="K167" s="7" t="s">
        <v>2225</v>
      </c>
      <c r="L167" s="7" t="s">
        <v>1404</v>
      </c>
      <c r="M167" s="7" t="s">
        <v>2471</v>
      </c>
      <c r="N167" s="7" t="s">
        <v>1637</v>
      </c>
      <c r="O167" s="7" t="s">
        <v>2741</v>
      </c>
      <c r="P167" s="7" t="s">
        <v>3280</v>
      </c>
      <c r="Q167" s="7" t="s">
        <v>3822</v>
      </c>
      <c r="R167" s="7" t="s">
        <v>4693</v>
      </c>
      <c r="S167" s="7" t="s">
        <v>3587</v>
      </c>
      <c r="T167" s="7" t="s">
        <v>4126</v>
      </c>
      <c r="U167" s="7" t="s">
        <v>4403</v>
      </c>
    </row>
    <row r="168" spans="4:21" ht="85">
      <c r="D168" t="s">
        <v>1667</v>
      </c>
      <c r="E168" t="s">
        <v>109</v>
      </c>
      <c r="F168" s="9" t="s">
        <v>458</v>
      </c>
      <c r="G168" s="38" t="s">
        <v>722</v>
      </c>
      <c r="H168" s="7" t="s">
        <v>855</v>
      </c>
      <c r="I168" s="7" t="s">
        <v>1965</v>
      </c>
      <c r="J168" s="7" t="s">
        <v>1116</v>
      </c>
      <c r="K168" s="7" t="s">
        <v>2226</v>
      </c>
      <c r="L168" s="7" t="s">
        <v>1249</v>
      </c>
      <c r="M168" s="7" t="s">
        <v>2472</v>
      </c>
      <c r="N168" s="7" t="s">
        <v>1638</v>
      </c>
      <c r="O168" s="7" t="s">
        <v>2742</v>
      </c>
      <c r="P168" s="7" t="s">
        <v>3281</v>
      </c>
      <c r="Q168" s="7" t="s">
        <v>3823</v>
      </c>
      <c r="R168" s="7" t="s">
        <v>4694</v>
      </c>
      <c r="S168" s="7" t="s">
        <v>3382</v>
      </c>
      <c r="T168" s="7" t="s">
        <v>4127</v>
      </c>
      <c r="U168" s="7" t="s">
        <v>4404</v>
      </c>
    </row>
    <row r="169" spans="4:21" ht="85">
      <c r="D169" t="s">
        <v>1667</v>
      </c>
      <c r="E169" t="s">
        <v>109</v>
      </c>
      <c r="F169" s="9" t="s">
        <v>459</v>
      </c>
      <c r="G169" s="38" t="s">
        <v>723</v>
      </c>
      <c r="H169" s="7" t="s">
        <v>1013</v>
      </c>
      <c r="I169" s="7" t="s">
        <v>1966</v>
      </c>
      <c r="J169" s="7" t="s">
        <v>1217</v>
      </c>
      <c r="K169" s="7" t="s">
        <v>2227</v>
      </c>
      <c r="L169" s="7" t="s">
        <v>1405</v>
      </c>
      <c r="M169" s="7" t="s">
        <v>2470</v>
      </c>
      <c r="N169" s="7" t="s">
        <v>1639</v>
      </c>
      <c r="O169" s="7" t="s">
        <v>2743</v>
      </c>
      <c r="P169" s="7" t="s">
        <v>3282</v>
      </c>
      <c r="Q169" s="7" t="s">
        <v>3824</v>
      </c>
      <c r="R169" s="7" t="s">
        <v>4695</v>
      </c>
      <c r="S169" s="7" t="s">
        <v>3588</v>
      </c>
      <c r="T169" s="7" t="s">
        <v>4128</v>
      </c>
      <c r="U169" s="7" t="s">
        <v>4405</v>
      </c>
    </row>
    <row r="170" spans="4:21" ht="85">
      <c r="D170" t="s">
        <v>1667</v>
      </c>
      <c r="E170" t="s">
        <v>109</v>
      </c>
      <c r="F170" s="9" t="s">
        <v>460</v>
      </c>
      <c r="G170" s="38" t="s">
        <v>724</v>
      </c>
      <c r="H170" s="7" t="s">
        <v>1014</v>
      </c>
      <c r="I170" s="7" t="s">
        <v>1967</v>
      </c>
      <c r="J170" s="7" t="s">
        <v>1218</v>
      </c>
      <c r="K170" s="7" t="s">
        <v>2228</v>
      </c>
      <c r="L170" s="7" t="s">
        <v>1406</v>
      </c>
      <c r="M170" s="7" t="s">
        <v>2473</v>
      </c>
      <c r="N170" s="7" t="s">
        <v>1406</v>
      </c>
      <c r="O170" s="7" t="s">
        <v>2473</v>
      </c>
      <c r="P170" s="7" t="s">
        <v>3283</v>
      </c>
      <c r="Q170" s="7" t="s">
        <v>3825</v>
      </c>
      <c r="R170" s="7" t="s">
        <v>4696</v>
      </c>
      <c r="S170" s="7" t="s">
        <v>3589</v>
      </c>
      <c r="T170" s="7" t="s">
        <v>4129</v>
      </c>
      <c r="U170" s="7" t="s">
        <v>4406</v>
      </c>
    </row>
    <row r="171" spans="4:21" ht="85">
      <c r="D171" t="s">
        <v>1667</v>
      </c>
      <c r="E171" t="s">
        <v>106</v>
      </c>
      <c r="F171" s="9" t="s">
        <v>568</v>
      </c>
      <c r="G171" s="38" t="s">
        <v>725</v>
      </c>
      <c r="H171" s="7" t="s">
        <v>246</v>
      </c>
      <c r="I171" s="7" t="s">
        <v>1968</v>
      </c>
      <c r="J171" s="7" t="s">
        <v>136</v>
      </c>
      <c r="K171" s="7" t="s">
        <v>2229</v>
      </c>
      <c r="L171" s="7" t="s">
        <v>220</v>
      </c>
      <c r="M171" s="7" t="s">
        <v>2474</v>
      </c>
      <c r="N171" s="7" t="s">
        <v>314</v>
      </c>
      <c r="O171" s="7" t="s">
        <v>2744</v>
      </c>
      <c r="P171" s="7" t="s">
        <v>3284</v>
      </c>
      <c r="Q171" s="7" t="s">
        <v>3826</v>
      </c>
      <c r="R171" s="7" t="s">
        <v>4697</v>
      </c>
      <c r="S171" s="7" t="s">
        <v>3617</v>
      </c>
      <c r="T171" s="7" t="s">
        <v>4130</v>
      </c>
      <c r="U171" s="7" t="s">
        <v>4407</v>
      </c>
    </row>
    <row r="172" spans="4:21" ht="102">
      <c r="D172" t="s">
        <v>1667</v>
      </c>
      <c r="E172" t="s">
        <v>106</v>
      </c>
      <c r="F172" s="9" t="s">
        <v>461</v>
      </c>
      <c r="G172" s="38" t="s">
        <v>726</v>
      </c>
      <c r="H172" s="7" t="s">
        <v>1015</v>
      </c>
      <c r="I172" s="7" t="s">
        <v>1969</v>
      </c>
      <c r="J172" s="7" t="s">
        <v>1176</v>
      </c>
      <c r="K172" s="7" t="s">
        <v>2230</v>
      </c>
      <c r="L172" s="7" t="s">
        <v>1250</v>
      </c>
      <c r="M172" s="7" t="s">
        <v>2475</v>
      </c>
      <c r="N172" s="7" t="s">
        <v>1558</v>
      </c>
      <c r="O172" s="7" t="s">
        <v>2745</v>
      </c>
      <c r="P172" s="7" t="s">
        <v>3285</v>
      </c>
      <c r="Q172" s="7" t="s">
        <v>3827</v>
      </c>
      <c r="R172" s="7" t="s">
        <v>4698</v>
      </c>
      <c r="S172" s="7" t="s">
        <v>3590</v>
      </c>
      <c r="T172" s="7" t="s">
        <v>4131</v>
      </c>
      <c r="U172" s="7" t="s">
        <v>4538</v>
      </c>
    </row>
    <row r="173" spans="4:21" ht="85">
      <c r="D173" t="s">
        <v>1667</v>
      </c>
      <c r="E173" t="s">
        <v>106</v>
      </c>
      <c r="F173" s="9" t="s">
        <v>462</v>
      </c>
      <c r="G173" s="38" t="s">
        <v>727</v>
      </c>
      <c r="H173" s="7" t="s">
        <v>1016</v>
      </c>
      <c r="I173" s="7" t="s">
        <v>1970</v>
      </c>
      <c r="J173" s="7" t="s">
        <v>1177</v>
      </c>
      <c r="K173" s="7" t="s">
        <v>2231</v>
      </c>
      <c r="L173" s="7" t="s">
        <v>1251</v>
      </c>
      <c r="M173" s="7" t="s">
        <v>2476</v>
      </c>
      <c r="N173" s="7" t="s">
        <v>1640</v>
      </c>
      <c r="O173" s="7" t="s">
        <v>2746</v>
      </c>
      <c r="P173" s="7" t="s">
        <v>3286</v>
      </c>
      <c r="Q173" s="7" t="s">
        <v>3828</v>
      </c>
      <c r="R173" s="7" t="s">
        <v>4699</v>
      </c>
      <c r="S173" s="7" t="s">
        <v>3618</v>
      </c>
      <c r="T173" s="7" t="s">
        <v>4132</v>
      </c>
      <c r="U173" s="7" t="s">
        <v>4539</v>
      </c>
    </row>
    <row r="174" spans="4:21" ht="102">
      <c r="D174" t="s">
        <v>1667</v>
      </c>
      <c r="E174" t="s">
        <v>106</v>
      </c>
      <c r="F174" s="9" t="s">
        <v>463</v>
      </c>
      <c r="G174" s="38" t="s">
        <v>728</v>
      </c>
      <c r="H174" s="7" t="s">
        <v>925</v>
      </c>
      <c r="I174" s="7" t="s">
        <v>1971</v>
      </c>
      <c r="J174" s="7" t="s">
        <v>1117</v>
      </c>
      <c r="K174" s="7" t="s">
        <v>2232</v>
      </c>
      <c r="L174" s="7" t="s">
        <v>1325</v>
      </c>
      <c r="M174" s="7" t="s">
        <v>2477</v>
      </c>
      <c r="N174" s="7" t="s">
        <v>1641</v>
      </c>
      <c r="O174" s="7" t="s">
        <v>2747</v>
      </c>
      <c r="P174" s="7" t="s">
        <v>3287</v>
      </c>
      <c r="Q174" s="7" t="s">
        <v>3829</v>
      </c>
      <c r="R174" s="7" t="s">
        <v>4700</v>
      </c>
      <c r="S174" s="7" t="s">
        <v>3591</v>
      </c>
      <c r="T174" s="7" t="s">
        <v>4133</v>
      </c>
      <c r="U174" s="7" t="s">
        <v>4408</v>
      </c>
    </row>
    <row r="175" spans="4:21" ht="85">
      <c r="D175" t="s">
        <v>1667</v>
      </c>
      <c r="E175" t="s">
        <v>106</v>
      </c>
      <c r="F175" s="9" t="s">
        <v>464</v>
      </c>
      <c r="G175" s="38" t="s">
        <v>729</v>
      </c>
      <c r="H175" s="7" t="s">
        <v>926</v>
      </c>
      <c r="I175" s="7" t="s">
        <v>1972</v>
      </c>
      <c r="J175" s="7" t="s">
        <v>1178</v>
      </c>
      <c r="K175" s="7" t="s">
        <v>2233</v>
      </c>
      <c r="L175" s="7" t="s">
        <v>1378</v>
      </c>
      <c r="M175" s="7" t="s">
        <v>2478</v>
      </c>
      <c r="N175" s="7" t="s">
        <v>1642</v>
      </c>
      <c r="O175" s="7" t="s">
        <v>2748</v>
      </c>
      <c r="P175" s="7" t="s">
        <v>3288</v>
      </c>
      <c r="Q175" s="7" t="s">
        <v>3830</v>
      </c>
      <c r="R175" s="7" t="s">
        <v>4701</v>
      </c>
      <c r="S175" s="7" t="s">
        <v>3619</v>
      </c>
      <c r="T175" s="7" t="s">
        <v>4134</v>
      </c>
      <c r="U175" s="7" t="s">
        <v>4409</v>
      </c>
    </row>
    <row r="176" spans="4:21" ht="102">
      <c r="D176" t="s">
        <v>1667</v>
      </c>
      <c r="E176" t="s">
        <v>106</v>
      </c>
      <c r="F176" s="9" t="s">
        <v>465</v>
      </c>
      <c r="G176" s="38" t="s">
        <v>728</v>
      </c>
      <c r="H176" s="7" t="s">
        <v>927</v>
      </c>
      <c r="I176" s="7" t="s">
        <v>1973</v>
      </c>
      <c r="J176" s="7" t="s">
        <v>1179</v>
      </c>
      <c r="K176" s="7" t="s">
        <v>2234</v>
      </c>
      <c r="L176" s="7" t="s">
        <v>1379</v>
      </c>
      <c r="M176" s="7" t="s">
        <v>2479</v>
      </c>
      <c r="N176" s="7" t="s">
        <v>1643</v>
      </c>
      <c r="O176" s="7" t="s">
        <v>2749</v>
      </c>
      <c r="P176" s="7" t="s">
        <v>3289</v>
      </c>
      <c r="Q176" s="7" t="s">
        <v>3831</v>
      </c>
      <c r="R176" s="7" t="s">
        <v>4700</v>
      </c>
      <c r="S176" s="7" t="s">
        <v>3592</v>
      </c>
      <c r="T176" s="7" t="s">
        <v>4135</v>
      </c>
      <c r="U176" s="7" t="s">
        <v>4410</v>
      </c>
    </row>
    <row r="177" spans="4:21" ht="68">
      <c r="D177" t="s">
        <v>1667</v>
      </c>
      <c r="E177" t="s">
        <v>1663</v>
      </c>
      <c r="F177" s="9" t="s">
        <v>569</v>
      </c>
      <c r="G177" s="38" t="s">
        <v>730</v>
      </c>
      <c r="H177" s="7" t="s">
        <v>195</v>
      </c>
      <c r="I177" s="7" t="s">
        <v>1974</v>
      </c>
      <c r="J177" s="7" t="s">
        <v>137</v>
      </c>
      <c r="K177" s="19" t="s">
        <v>2235</v>
      </c>
      <c r="L177" s="7" t="s">
        <v>320</v>
      </c>
      <c r="M177" s="7" t="s">
        <v>2480</v>
      </c>
      <c r="N177" s="7" t="s">
        <v>291</v>
      </c>
      <c r="O177" s="18" t="s">
        <v>2750</v>
      </c>
      <c r="P177" s="7" t="s">
        <v>3165</v>
      </c>
      <c r="Q177" s="7" t="s">
        <v>3832</v>
      </c>
      <c r="R177" s="7" t="s">
        <v>4702</v>
      </c>
      <c r="S177" s="7" t="s">
        <v>3383</v>
      </c>
      <c r="T177" s="7" t="s">
        <v>4136</v>
      </c>
      <c r="U177" s="7" t="s">
        <v>4411</v>
      </c>
    </row>
    <row r="178" spans="4:21" ht="68">
      <c r="D178" t="s">
        <v>1667</v>
      </c>
      <c r="E178" t="s">
        <v>1663</v>
      </c>
      <c r="F178" s="9" t="s">
        <v>466</v>
      </c>
      <c r="G178" s="38" t="s">
        <v>731</v>
      </c>
      <c r="H178" s="7" t="s">
        <v>856</v>
      </c>
      <c r="I178" s="19" t="s">
        <v>1975</v>
      </c>
      <c r="J178" s="7" t="s">
        <v>1118</v>
      </c>
      <c r="K178" s="7" t="s">
        <v>2236</v>
      </c>
      <c r="L178" s="7" t="s">
        <v>1412</v>
      </c>
      <c r="M178" s="19" t="s">
        <v>2481</v>
      </c>
      <c r="N178" s="7" t="s">
        <v>1644</v>
      </c>
      <c r="O178" s="18" t="s">
        <v>2751</v>
      </c>
      <c r="P178" s="7" t="s">
        <v>3071</v>
      </c>
      <c r="Q178" s="7" t="s">
        <v>3833</v>
      </c>
      <c r="R178" s="7" t="s">
        <v>4703</v>
      </c>
      <c r="S178" s="7" t="s">
        <v>3384</v>
      </c>
      <c r="T178" s="7" t="s">
        <v>4137</v>
      </c>
      <c r="U178" s="7" t="s">
        <v>4412</v>
      </c>
    </row>
    <row r="179" spans="4:21" ht="68">
      <c r="D179" t="s">
        <v>1667</v>
      </c>
      <c r="E179" t="s">
        <v>1663</v>
      </c>
      <c r="F179" s="9" t="s">
        <v>467</v>
      </c>
      <c r="G179" s="38" t="s">
        <v>732</v>
      </c>
      <c r="H179" s="7" t="s">
        <v>857</v>
      </c>
      <c r="I179" s="7" t="s">
        <v>1976</v>
      </c>
      <c r="J179" s="7" t="s">
        <v>1064</v>
      </c>
      <c r="K179" s="7" t="s">
        <v>2237</v>
      </c>
      <c r="L179" s="7" t="s">
        <v>1326</v>
      </c>
      <c r="M179" s="7" t="s">
        <v>2482</v>
      </c>
      <c r="N179" s="7" t="s">
        <v>1559</v>
      </c>
      <c r="O179" s="18" t="s">
        <v>2752</v>
      </c>
      <c r="P179" s="7" t="s">
        <v>3166</v>
      </c>
      <c r="Q179" s="7" t="s">
        <v>3834</v>
      </c>
      <c r="R179" s="7" t="s">
        <v>4704</v>
      </c>
      <c r="S179" s="7" t="s">
        <v>3326</v>
      </c>
      <c r="T179" s="7" t="s">
        <v>4138</v>
      </c>
      <c r="U179" s="7" t="s">
        <v>4413</v>
      </c>
    </row>
    <row r="180" spans="4:21" ht="68">
      <c r="D180" t="s">
        <v>1667</v>
      </c>
      <c r="E180" t="s">
        <v>1663</v>
      </c>
      <c r="F180" s="9" t="s">
        <v>468</v>
      </c>
      <c r="G180" s="38" t="s">
        <v>733</v>
      </c>
      <c r="H180" s="7" t="s">
        <v>981</v>
      </c>
      <c r="I180" s="7" t="s">
        <v>1977</v>
      </c>
      <c r="J180" s="7" t="s">
        <v>1119</v>
      </c>
      <c r="K180" s="7" t="s">
        <v>2238</v>
      </c>
      <c r="L180" s="7" t="s">
        <v>1380</v>
      </c>
      <c r="M180" s="7" t="s">
        <v>2483</v>
      </c>
      <c r="N180" s="7" t="s">
        <v>1560</v>
      </c>
      <c r="O180" s="7" t="s">
        <v>2753</v>
      </c>
      <c r="P180" s="7" t="s">
        <v>3167</v>
      </c>
      <c r="Q180" s="7" t="s">
        <v>3835</v>
      </c>
      <c r="R180" s="7" t="s">
        <v>4705</v>
      </c>
      <c r="S180" s="7" t="s">
        <v>3385</v>
      </c>
      <c r="T180" s="7" t="s">
        <v>4139</v>
      </c>
      <c r="U180" s="7" t="s">
        <v>4414</v>
      </c>
    </row>
    <row r="181" spans="4:21" ht="68">
      <c r="D181" t="s">
        <v>1667</v>
      </c>
      <c r="E181" t="s">
        <v>1663</v>
      </c>
      <c r="F181" s="9" t="s">
        <v>469</v>
      </c>
      <c r="G181" s="38" t="s">
        <v>734</v>
      </c>
      <c r="H181" s="7" t="s">
        <v>1031</v>
      </c>
      <c r="I181" s="18" t="s">
        <v>1978</v>
      </c>
      <c r="J181" s="7" t="s">
        <v>1180</v>
      </c>
      <c r="K181" s="7" t="s">
        <v>2239</v>
      </c>
      <c r="L181" s="7" t="s">
        <v>1252</v>
      </c>
      <c r="M181" s="7" t="s">
        <v>2484</v>
      </c>
      <c r="N181" s="7" t="s">
        <v>1443</v>
      </c>
      <c r="O181" s="18" t="s">
        <v>2754</v>
      </c>
      <c r="P181" s="7" t="s">
        <v>3072</v>
      </c>
      <c r="Q181" s="7" t="s">
        <v>3836</v>
      </c>
      <c r="R181" s="7" t="s">
        <v>4706</v>
      </c>
      <c r="S181" s="7" t="s">
        <v>3487</v>
      </c>
      <c r="T181" s="7" t="s">
        <v>4140</v>
      </c>
      <c r="U181" s="7" t="s">
        <v>4415</v>
      </c>
    </row>
    <row r="182" spans="4:21" ht="68">
      <c r="D182" t="s">
        <v>1667</v>
      </c>
      <c r="E182" t="s">
        <v>1663</v>
      </c>
      <c r="F182" s="9" t="s">
        <v>470</v>
      </c>
      <c r="G182" s="38" t="s">
        <v>735</v>
      </c>
      <c r="H182" s="7" t="s">
        <v>928</v>
      </c>
      <c r="I182" s="7" t="s">
        <v>1979</v>
      </c>
      <c r="J182" s="7" t="s">
        <v>1065</v>
      </c>
      <c r="K182" s="7" t="s">
        <v>2240</v>
      </c>
      <c r="L182" s="7" t="s">
        <v>1253</v>
      </c>
      <c r="M182" s="7" t="s">
        <v>2485</v>
      </c>
      <c r="N182" s="7" t="s">
        <v>1490</v>
      </c>
      <c r="O182" s="18" t="s">
        <v>2755</v>
      </c>
      <c r="P182" s="7" t="s">
        <v>3168</v>
      </c>
      <c r="Q182" s="7" t="s">
        <v>3837</v>
      </c>
      <c r="R182" s="7" t="s">
        <v>4707</v>
      </c>
      <c r="S182" s="7" t="s">
        <v>3386</v>
      </c>
      <c r="T182" s="7" t="s">
        <v>4141</v>
      </c>
      <c r="U182" s="7" t="s">
        <v>4416</v>
      </c>
    </row>
    <row r="183" spans="4:21" ht="68">
      <c r="D183" t="s">
        <v>1667</v>
      </c>
      <c r="E183" t="s">
        <v>109</v>
      </c>
      <c r="F183" s="9" t="s">
        <v>570</v>
      </c>
      <c r="G183" s="38" t="s">
        <v>736</v>
      </c>
      <c r="H183" s="7" t="s">
        <v>150</v>
      </c>
      <c r="I183" s="7" t="s">
        <v>180</v>
      </c>
      <c r="J183" s="7" t="s">
        <v>150</v>
      </c>
      <c r="K183" s="7" t="s">
        <v>180</v>
      </c>
      <c r="L183" s="7" t="s">
        <v>247</v>
      </c>
      <c r="M183" s="7" t="s">
        <v>1980</v>
      </c>
      <c r="N183" s="7" t="s">
        <v>248</v>
      </c>
      <c r="O183" s="7" t="s">
        <v>2756</v>
      </c>
      <c r="P183" s="7" t="s">
        <v>3073</v>
      </c>
      <c r="Q183" s="7" t="s">
        <v>3838</v>
      </c>
      <c r="R183" s="7" t="s">
        <v>4708</v>
      </c>
      <c r="S183" s="7" t="s">
        <v>3387</v>
      </c>
      <c r="T183" s="7" t="s">
        <v>4142</v>
      </c>
      <c r="U183" s="7" t="s">
        <v>4417</v>
      </c>
    </row>
    <row r="184" spans="4:21" ht="102">
      <c r="D184" t="s">
        <v>1667</v>
      </c>
      <c r="E184" t="s">
        <v>109</v>
      </c>
      <c r="F184" s="9" t="s">
        <v>471</v>
      </c>
      <c r="G184" s="38" t="s">
        <v>737</v>
      </c>
      <c r="H184" s="7" t="s">
        <v>929</v>
      </c>
      <c r="I184" s="7" t="s">
        <v>1980</v>
      </c>
      <c r="J184" s="7" t="s">
        <v>1120</v>
      </c>
      <c r="K184" s="7" t="s">
        <v>2241</v>
      </c>
      <c r="L184" s="7" t="s">
        <v>1254</v>
      </c>
      <c r="M184" s="7" t="s">
        <v>2486</v>
      </c>
      <c r="N184" s="7" t="s">
        <v>1561</v>
      </c>
      <c r="O184" s="7" t="s">
        <v>2757</v>
      </c>
      <c r="P184" s="7" t="s">
        <v>3169</v>
      </c>
      <c r="Q184" s="7" t="s">
        <v>3839</v>
      </c>
      <c r="R184" s="7" t="s">
        <v>4709</v>
      </c>
      <c r="S184" s="7" t="s">
        <v>3388</v>
      </c>
      <c r="T184" s="7" t="s">
        <v>4143</v>
      </c>
      <c r="U184" s="7" t="s">
        <v>4418</v>
      </c>
    </row>
    <row r="185" spans="4:21" ht="102">
      <c r="D185" t="s">
        <v>1667</v>
      </c>
      <c r="E185" t="s">
        <v>109</v>
      </c>
      <c r="F185" s="9" t="s">
        <v>472</v>
      </c>
      <c r="G185" s="38" t="s">
        <v>738</v>
      </c>
      <c r="H185" s="7" t="s">
        <v>858</v>
      </c>
      <c r="I185" s="7" t="s">
        <v>1981</v>
      </c>
      <c r="J185" s="7" t="s">
        <v>1181</v>
      </c>
      <c r="K185" s="7" t="s">
        <v>2242</v>
      </c>
      <c r="L185" s="7" t="s">
        <v>1255</v>
      </c>
      <c r="M185" s="7" t="s">
        <v>2487</v>
      </c>
      <c r="N185" s="7" t="s">
        <v>1562</v>
      </c>
      <c r="O185" s="7" t="s">
        <v>2758</v>
      </c>
      <c r="P185" s="7" t="s">
        <v>3170</v>
      </c>
      <c r="Q185" s="7" t="s">
        <v>3840</v>
      </c>
      <c r="R185" s="7" t="s">
        <v>4710</v>
      </c>
      <c r="S185" s="7" t="s">
        <v>3488</v>
      </c>
      <c r="T185" s="7" t="s">
        <v>4144</v>
      </c>
      <c r="U185" s="7" t="s">
        <v>4419</v>
      </c>
    </row>
    <row r="186" spans="4:21" ht="68">
      <c r="D186" t="s">
        <v>1667</v>
      </c>
      <c r="E186" t="s">
        <v>109</v>
      </c>
      <c r="F186" s="9" t="s">
        <v>473</v>
      </c>
      <c r="G186" s="38" t="s">
        <v>739</v>
      </c>
      <c r="H186" s="7" t="s">
        <v>859</v>
      </c>
      <c r="I186" s="7" t="s">
        <v>1982</v>
      </c>
      <c r="J186" s="7" t="s">
        <v>1066</v>
      </c>
      <c r="K186" s="7" t="s">
        <v>2243</v>
      </c>
      <c r="L186" s="7" t="s">
        <v>1256</v>
      </c>
      <c r="M186" s="7" t="s">
        <v>2486</v>
      </c>
      <c r="N186" s="7" t="s">
        <v>1444</v>
      </c>
      <c r="O186" s="7" t="s">
        <v>2759</v>
      </c>
      <c r="P186" s="7" t="s">
        <v>3025</v>
      </c>
      <c r="Q186" s="7" t="s">
        <v>3841</v>
      </c>
      <c r="R186" s="7" t="s">
        <v>4711</v>
      </c>
      <c r="S186" s="7" t="s">
        <v>3327</v>
      </c>
      <c r="T186" s="7" t="s">
        <v>4145</v>
      </c>
      <c r="U186" s="7" t="s">
        <v>4420</v>
      </c>
    </row>
    <row r="187" spans="4:21" ht="51">
      <c r="D187" t="s">
        <v>1667</v>
      </c>
      <c r="E187" t="s">
        <v>109</v>
      </c>
      <c r="F187" s="9" t="s">
        <v>474</v>
      </c>
      <c r="G187" s="38" t="s">
        <v>740</v>
      </c>
      <c r="H187" s="7" t="s">
        <v>860</v>
      </c>
      <c r="I187" s="7" t="s">
        <v>1983</v>
      </c>
      <c r="J187" s="7" t="s">
        <v>1182</v>
      </c>
      <c r="K187" s="7" t="s">
        <v>2244</v>
      </c>
      <c r="L187" s="7" t="s">
        <v>1257</v>
      </c>
      <c r="M187" s="7" t="s">
        <v>2488</v>
      </c>
      <c r="N187" s="7" t="s">
        <v>1563</v>
      </c>
      <c r="O187" s="7" t="s">
        <v>2760</v>
      </c>
      <c r="P187" s="7" t="s">
        <v>3171</v>
      </c>
      <c r="Q187" s="7" t="s">
        <v>3842</v>
      </c>
      <c r="R187" s="7" t="s">
        <v>4712</v>
      </c>
      <c r="S187" s="7" t="s">
        <v>3489</v>
      </c>
      <c r="T187" s="7" t="s">
        <v>4146</v>
      </c>
      <c r="U187" s="7" t="s">
        <v>4421</v>
      </c>
    </row>
    <row r="188" spans="4:21" ht="85">
      <c r="D188" t="s">
        <v>1667</v>
      </c>
      <c r="E188" t="s">
        <v>109</v>
      </c>
      <c r="F188" s="9" t="s">
        <v>475</v>
      </c>
      <c r="G188" s="38" t="s">
        <v>741</v>
      </c>
      <c r="H188" s="7" t="s">
        <v>930</v>
      </c>
      <c r="I188" s="7" t="s">
        <v>1984</v>
      </c>
      <c r="J188" s="7" t="s">
        <v>1067</v>
      </c>
      <c r="K188" s="7" t="s">
        <v>2245</v>
      </c>
      <c r="L188" s="7" t="s">
        <v>1258</v>
      </c>
      <c r="M188" s="7" t="s">
        <v>2489</v>
      </c>
      <c r="N188" s="7" t="s">
        <v>1445</v>
      </c>
      <c r="O188" s="7" t="s">
        <v>2761</v>
      </c>
      <c r="P188" s="7" t="s">
        <v>3172</v>
      </c>
      <c r="Q188" s="7" t="s">
        <v>3843</v>
      </c>
      <c r="R188" s="7" t="s">
        <v>4713</v>
      </c>
      <c r="S188" s="7" t="s">
        <v>3389</v>
      </c>
      <c r="T188" s="7" t="s">
        <v>4147</v>
      </c>
      <c r="U188" s="7" t="s">
        <v>4422</v>
      </c>
    </row>
    <row r="189" spans="4:21" ht="68">
      <c r="D189" t="s">
        <v>1667</v>
      </c>
      <c r="E189" t="s">
        <v>1663</v>
      </c>
      <c r="F189" s="9" t="s">
        <v>93</v>
      </c>
      <c r="G189" s="38" t="s">
        <v>87</v>
      </c>
      <c r="H189" s="7" t="s">
        <v>89</v>
      </c>
      <c r="I189" s="7" t="s">
        <v>89</v>
      </c>
      <c r="J189" s="7" t="s">
        <v>138</v>
      </c>
      <c r="K189" s="7" t="s">
        <v>181</v>
      </c>
      <c r="L189" s="7" t="s">
        <v>221</v>
      </c>
      <c r="M189" s="7" t="s">
        <v>2490</v>
      </c>
      <c r="N189" s="7" t="s">
        <v>138</v>
      </c>
      <c r="O189" s="7" t="s">
        <v>181</v>
      </c>
      <c r="P189" s="7" t="s">
        <v>3074</v>
      </c>
      <c r="Q189" s="7" t="s">
        <v>3844</v>
      </c>
      <c r="R189" s="7" t="s">
        <v>4714</v>
      </c>
      <c r="S189" s="7" t="s">
        <v>3328</v>
      </c>
      <c r="T189" s="7" t="s">
        <v>4148</v>
      </c>
      <c r="U189" s="7" t="s">
        <v>4423</v>
      </c>
    </row>
    <row r="190" spans="4:21" ht="51">
      <c r="D190" t="s">
        <v>1667</v>
      </c>
      <c r="E190" t="s">
        <v>1663</v>
      </c>
      <c r="F190" s="9" t="s">
        <v>476</v>
      </c>
      <c r="G190" s="38" t="s">
        <v>742</v>
      </c>
      <c r="H190" s="7" t="s">
        <v>89</v>
      </c>
      <c r="I190" s="7" t="s">
        <v>89</v>
      </c>
      <c r="J190" s="7" t="s">
        <v>89</v>
      </c>
      <c r="K190" s="7" t="s">
        <v>89</v>
      </c>
      <c r="L190" s="7" t="s">
        <v>89</v>
      </c>
      <c r="M190" s="7" t="s">
        <v>89</v>
      </c>
      <c r="N190" s="7" t="s">
        <v>138</v>
      </c>
      <c r="O190" s="7" t="s">
        <v>181</v>
      </c>
      <c r="P190" s="7" t="s">
        <v>3075</v>
      </c>
      <c r="Q190" s="7" t="s">
        <v>3845</v>
      </c>
      <c r="R190" s="7" t="s">
        <v>3641</v>
      </c>
      <c r="S190" s="7" t="s">
        <v>3329</v>
      </c>
      <c r="T190" s="7" t="s">
        <v>4149</v>
      </c>
      <c r="U190" s="7" t="s">
        <v>4424</v>
      </c>
    </row>
    <row r="191" spans="4:21" ht="68">
      <c r="D191" t="s">
        <v>1667</v>
      </c>
      <c r="E191" t="s">
        <v>1663</v>
      </c>
      <c r="F191" s="9" t="s">
        <v>477</v>
      </c>
      <c r="G191" s="38" t="s">
        <v>743</v>
      </c>
      <c r="H191" s="7" t="s">
        <v>861</v>
      </c>
      <c r="I191" s="19" t="s">
        <v>861</v>
      </c>
      <c r="J191" s="7" t="s">
        <v>89</v>
      </c>
      <c r="K191" s="7" t="s">
        <v>89</v>
      </c>
      <c r="L191" s="7" t="s">
        <v>1259</v>
      </c>
      <c r="M191" s="19" t="s">
        <v>2491</v>
      </c>
      <c r="N191" s="7" t="s">
        <v>138</v>
      </c>
      <c r="O191" s="7" t="s">
        <v>181</v>
      </c>
      <c r="P191" s="7" t="s">
        <v>3074</v>
      </c>
      <c r="Q191" s="7" t="s">
        <v>3844</v>
      </c>
      <c r="R191" s="7" t="s">
        <v>4715</v>
      </c>
      <c r="S191" s="7" t="s">
        <v>3328</v>
      </c>
      <c r="T191" s="7" t="s">
        <v>4148</v>
      </c>
      <c r="U191" s="7" t="s">
        <v>4423</v>
      </c>
    </row>
    <row r="192" spans="4:21" ht="85">
      <c r="D192" t="s">
        <v>1667</v>
      </c>
      <c r="E192" t="s">
        <v>1663</v>
      </c>
      <c r="F192" s="9" t="s">
        <v>478</v>
      </c>
      <c r="G192" s="38" t="s">
        <v>744</v>
      </c>
      <c r="H192" s="7" t="s">
        <v>138</v>
      </c>
      <c r="I192" s="7" t="s">
        <v>181</v>
      </c>
      <c r="J192" s="7" t="s">
        <v>138</v>
      </c>
      <c r="K192" s="7" t="s">
        <v>181</v>
      </c>
      <c r="L192" s="7" t="s">
        <v>89</v>
      </c>
      <c r="M192" s="7" t="s">
        <v>89</v>
      </c>
      <c r="N192" s="7" t="s">
        <v>138</v>
      </c>
      <c r="O192" s="7" t="s">
        <v>181</v>
      </c>
      <c r="P192" s="7" t="s">
        <v>3076</v>
      </c>
      <c r="Q192" s="7" t="s">
        <v>3846</v>
      </c>
      <c r="R192" s="7" t="s">
        <v>4716</v>
      </c>
      <c r="S192" s="7" t="s">
        <v>3390</v>
      </c>
      <c r="T192" s="7" t="s">
        <v>4150</v>
      </c>
      <c r="U192" s="7" t="s">
        <v>4425</v>
      </c>
    </row>
    <row r="193" spans="4:21" ht="51">
      <c r="D193" t="s">
        <v>1667</v>
      </c>
      <c r="E193" t="s">
        <v>1663</v>
      </c>
      <c r="F193" s="9" t="s">
        <v>479</v>
      </c>
      <c r="G193" s="38" t="s">
        <v>743</v>
      </c>
      <c r="H193" s="7" t="s">
        <v>861</v>
      </c>
      <c r="I193" s="19" t="s">
        <v>861</v>
      </c>
      <c r="J193" s="7" t="s">
        <v>89</v>
      </c>
      <c r="K193" s="7" t="s">
        <v>89</v>
      </c>
      <c r="L193" s="7" t="s">
        <v>1259</v>
      </c>
      <c r="M193" s="19" t="s">
        <v>2491</v>
      </c>
      <c r="N193" s="7" t="s">
        <v>138</v>
      </c>
      <c r="O193" s="7" t="s">
        <v>181</v>
      </c>
      <c r="P193" s="7" t="s">
        <v>3074</v>
      </c>
      <c r="Q193" s="7" t="s">
        <v>3844</v>
      </c>
      <c r="R193" s="7" t="s">
        <v>4715</v>
      </c>
      <c r="S193" s="7" t="s">
        <v>3391</v>
      </c>
      <c r="T193" s="7" t="s">
        <v>4151</v>
      </c>
      <c r="U193" s="7" t="s">
        <v>4423</v>
      </c>
    </row>
    <row r="194" spans="4:21" ht="34">
      <c r="D194" t="s">
        <v>1667</v>
      </c>
      <c r="E194" t="s">
        <v>1663</v>
      </c>
      <c r="F194" s="9" t="s">
        <v>480</v>
      </c>
      <c r="G194" s="38" t="s">
        <v>745</v>
      </c>
      <c r="H194" s="7" t="s">
        <v>89</v>
      </c>
      <c r="I194" s="7" t="s">
        <v>89</v>
      </c>
      <c r="J194" s="7" t="s">
        <v>89</v>
      </c>
      <c r="K194" s="7" t="s">
        <v>89</v>
      </c>
      <c r="L194" s="7" t="s">
        <v>89</v>
      </c>
      <c r="M194" s="7" t="s">
        <v>89</v>
      </c>
      <c r="N194" s="7" t="s">
        <v>138</v>
      </c>
      <c r="O194" s="7" t="s">
        <v>181</v>
      </c>
      <c r="P194" s="7" t="s">
        <v>3077</v>
      </c>
      <c r="Q194" s="7" t="s">
        <v>3847</v>
      </c>
      <c r="R194" s="20" t="s">
        <v>4717</v>
      </c>
      <c r="S194" s="7" t="s">
        <v>3392</v>
      </c>
      <c r="T194" s="7" t="s">
        <v>4152</v>
      </c>
      <c r="U194" s="7" t="s">
        <v>4426</v>
      </c>
    </row>
    <row r="195" spans="4:21" ht="34">
      <c r="D195" t="s">
        <v>1667</v>
      </c>
      <c r="E195" t="s">
        <v>1663</v>
      </c>
      <c r="F195" s="9" t="s">
        <v>92</v>
      </c>
      <c r="G195" s="38" t="s">
        <v>746</v>
      </c>
      <c r="H195" s="7" t="s">
        <v>292</v>
      </c>
      <c r="I195" s="7" t="s">
        <v>1660</v>
      </c>
      <c r="J195" s="7" t="s">
        <v>165</v>
      </c>
      <c r="K195" s="18" t="s">
        <v>182</v>
      </c>
      <c r="L195" s="7" t="s">
        <v>293</v>
      </c>
      <c r="M195" s="19" t="s">
        <v>2492</v>
      </c>
      <c r="N195" s="7" t="s">
        <v>294</v>
      </c>
      <c r="O195" s="19" t="s">
        <v>2762</v>
      </c>
      <c r="P195" s="7" t="s">
        <v>3173</v>
      </c>
      <c r="Q195" s="19" t="s">
        <v>3848</v>
      </c>
      <c r="R195" s="19" t="s">
        <v>4718</v>
      </c>
      <c r="S195" s="19" t="s">
        <v>3490</v>
      </c>
      <c r="T195" s="19" t="s">
        <v>4153</v>
      </c>
      <c r="U195" s="19" t="s">
        <v>3657</v>
      </c>
    </row>
    <row r="196" spans="4:21" ht="68">
      <c r="D196" t="s">
        <v>1667</v>
      </c>
      <c r="E196" t="s">
        <v>1663</v>
      </c>
      <c r="F196" s="9" t="s">
        <v>481</v>
      </c>
      <c r="G196" s="38" t="s">
        <v>747</v>
      </c>
      <c r="H196" s="7" t="s">
        <v>89</v>
      </c>
      <c r="I196" s="7" t="s">
        <v>89</v>
      </c>
      <c r="J196" s="7" t="s">
        <v>1183</v>
      </c>
      <c r="K196" s="20" t="s">
        <v>2246</v>
      </c>
      <c r="L196" s="7" t="s">
        <v>89</v>
      </c>
      <c r="M196" s="7" t="s">
        <v>89</v>
      </c>
      <c r="N196" s="7" t="s">
        <v>1564</v>
      </c>
      <c r="O196" s="18" t="s">
        <v>2763</v>
      </c>
      <c r="P196" s="7" t="s">
        <v>3174</v>
      </c>
      <c r="Q196" s="19" t="s">
        <v>3849</v>
      </c>
      <c r="R196" s="19" t="s">
        <v>4719</v>
      </c>
      <c r="S196" s="19" t="s">
        <v>3491</v>
      </c>
      <c r="T196" s="20" t="s">
        <v>4154</v>
      </c>
      <c r="U196" s="20" t="s">
        <v>4427</v>
      </c>
    </row>
    <row r="197" spans="4:21" ht="51">
      <c r="D197" t="s">
        <v>1667</v>
      </c>
      <c r="E197" t="s">
        <v>1663</v>
      </c>
      <c r="F197" s="9" t="s">
        <v>482</v>
      </c>
      <c r="G197" s="38" t="s">
        <v>748</v>
      </c>
      <c r="H197" s="7" t="s">
        <v>862</v>
      </c>
      <c r="I197" s="19" t="s">
        <v>1985</v>
      </c>
      <c r="J197" s="19" t="s">
        <v>1068</v>
      </c>
      <c r="K197" s="19" t="s">
        <v>2247</v>
      </c>
      <c r="L197" s="7" t="s">
        <v>1260</v>
      </c>
      <c r="M197" s="18" t="s">
        <v>2493</v>
      </c>
      <c r="N197" s="7" t="s">
        <v>1645</v>
      </c>
      <c r="O197" s="19" t="s">
        <v>2764</v>
      </c>
      <c r="P197" s="7" t="s">
        <v>3175</v>
      </c>
      <c r="Q197" s="19" t="s">
        <v>3642</v>
      </c>
      <c r="R197" s="19" t="s">
        <v>4720</v>
      </c>
      <c r="S197" s="19" t="s">
        <v>3330</v>
      </c>
      <c r="T197" s="19" t="s">
        <v>3642</v>
      </c>
      <c r="U197" s="19" t="s">
        <v>4428</v>
      </c>
    </row>
    <row r="198" spans="4:21" ht="51">
      <c r="D198" t="s">
        <v>1667</v>
      </c>
      <c r="E198" t="s">
        <v>1663</v>
      </c>
      <c r="F198" s="9" t="s">
        <v>483</v>
      </c>
      <c r="G198" s="38" t="s">
        <v>749</v>
      </c>
      <c r="H198" s="7" t="s">
        <v>863</v>
      </c>
      <c r="I198" s="19" t="s">
        <v>1986</v>
      </c>
      <c r="J198" s="7" t="s">
        <v>1184</v>
      </c>
      <c r="K198" s="18" t="s">
        <v>2248</v>
      </c>
      <c r="L198" s="7" t="s">
        <v>1261</v>
      </c>
      <c r="M198" s="19" t="s">
        <v>1261</v>
      </c>
      <c r="N198" s="7" t="s">
        <v>1565</v>
      </c>
      <c r="O198" s="19" t="s">
        <v>2765</v>
      </c>
      <c r="P198" s="7" t="s">
        <v>3176</v>
      </c>
      <c r="Q198" s="19" t="s">
        <v>3850</v>
      </c>
      <c r="R198" s="19" t="s">
        <v>4721</v>
      </c>
      <c r="S198" s="19" t="s">
        <v>3492</v>
      </c>
      <c r="T198" s="19" t="s">
        <v>4155</v>
      </c>
      <c r="U198" s="19" t="s">
        <v>4429</v>
      </c>
    </row>
    <row r="199" spans="4:21" ht="51">
      <c r="D199" t="s">
        <v>1667</v>
      </c>
      <c r="E199" t="s">
        <v>1663</v>
      </c>
      <c r="F199" s="9" t="s">
        <v>484</v>
      </c>
      <c r="G199" s="38" t="s">
        <v>750</v>
      </c>
      <c r="H199" s="7" t="s">
        <v>982</v>
      </c>
      <c r="I199" s="19" t="s">
        <v>1987</v>
      </c>
      <c r="J199" s="7" t="s">
        <v>1185</v>
      </c>
      <c r="K199" s="7" t="s">
        <v>2249</v>
      </c>
      <c r="L199" s="7" t="s">
        <v>1381</v>
      </c>
      <c r="M199" s="7" t="s">
        <v>2494</v>
      </c>
      <c r="N199" s="7" t="s">
        <v>1566</v>
      </c>
      <c r="O199" s="19" t="s">
        <v>2766</v>
      </c>
      <c r="P199" s="7" t="s">
        <v>3177</v>
      </c>
      <c r="Q199" s="19" t="s">
        <v>3851</v>
      </c>
      <c r="R199" s="19" t="s">
        <v>4722</v>
      </c>
      <c r="S199" s="19" t="s">
        <v>3493</v>
      </c>
      <c r="T199" s="19" t="s">
        <v>4156</v>
      </c>
      <c r="U199" s="19" t="s">
        <v>4430</v>
      </c>
    </row>
    <row r="200" spans="4:21" ht="51">
      <c r="D200" t="s">
        <v>1667</v>
      </c>
      <c r="E200" t="s">
        <v>1663</v>
      </c>
      <c r="F200" s="9" t="s">
        <v>485</v>
      </c>
      <c r="G200" s="38" t="s">
        <v>751</v>
      </c>
      <c r="H200" s="7" t="s">
        <v>983</v>
      </c>
      <c r="I200" s="7" t="s">
        <v>1988</v>
      </c>
      <c r="J200" s="7" t="s">
        <v>1186</v>
      </c>
      <c r="K200" s="7" t="s">
        <v>2250</v>
      </c>
      <c r="L200" s="7" t="s">
        <v>89</v>
      </c>
      <c r="M200" s="7" t="s">
        <v>89</v>
      </c>
      <c r="N200" s="7" t="s">
        <v>1567</v>
      </c>
      <c r="O200" s="19" t="s">
        <v>2767</v>
      </c>
      <c r="P200" s="7" t="s">
        <v>3173</v>
      </c>
      <c r="Q200" s="19" t="s">
        <v>3848</v>
      </c>
      <c r="R200" s="19" t="s">
        <v>4723</v>
      </c>
      <c r="S200" s="19" t="s">
        <v>3494</v>
      </c>
      <c r="T200" s="19" t="s">
        <v>4157</v>
      </c>
      <c r="U200" s="19" t="s">
        <v>4431</v>
      </c>
    </row>
    <row r="201" spans="4:21" ht="102">
      <c r="D201" t="s">
        <v>1667</v>
      </c>
      <c r="E201" t="s">
        <v>106</v>
      </c>
      <c r="F201" s="9" t="s">
        <v>571</v>
      </c>
      <c r="G201" s="38" t="s">
        <v>752</v>
      </c>
      <c r="H201" s="7" t="s">
        <v>151</v>
      </c>
      <c r="I201" s="7" t="s">
        <v>183</v>
      </c>
      <c r="J201" s="7" t="s">
        <v>151</v>
      </c>
      <c r="K201" s="7" t="s">
        <v>183</v>
      </c>
      <c r="L201" s="7" t="s">
        <v>151</v>
      </c>
      <c r="M201" s="7" t="s">
        <v>183</v>
      </c>
      <c r="N201" s="7" t="s">
        <v>249</v>
      </c>
      <c r="O201" s="18" t="s">
        <v>2768</v>
      </c>
      <c r="P201" s="7" t="s">
        <v>3078</v>
      </c>
      <c r="Q201" s="7" t="s">
        <v>3852</v>
      </c>
      <c r="R201" s="7" t="s">
        <v>4724</v>
      </c>
      <c r="S201" s="7" t="s">
        <v>3393</v>
      </c>
      <c r="T201" s="7" t="s">
        <v>4158</v>
      </c>
      <c r="U201" s="7" t="s">
        <v>4432</v>
      </c>
    </row>
    <row r="202" spans="4:21" ht="102">
      <c r="D202" t="s">
        <v>1667</v>
      </c>
      <c r="E202" t="s">
        <v>106</v>
      </c>
      <c r="F202" s="9" t="s">
        <v>486</v>
      </c>
      <c r="G202" s="38" t="s">
        <v>753</v>
      </c>
      <c r="H202" s="7" t="s">
        <v>931</v>
      </c>
      <c r="I202" s="7" t="s">
        <v>1989</v>
      </c>
      <c r="J202" s="7" t="s">
        <v>931</v>
      </c>
      <c r="K202" s="7" t="s">
        <v>1989</v>
      </c>
      <c r="L202" s="7" t="s">
        <v>1327</v>
      </c>
      <c r="M202" s="7" t="s">
        <v>2495</v>
      </c>
      <c r="N202" s="7" t="s">
        <v>1491</v>
      </c>
      <c r="O202" s="7" t="s">
        <v>2769</v>
      </c>
      <c r="P202" s="7" t="s">
        <v>3290</v>
      </c>
      <c r="Q202" s="7" t="s">
        <v>3853</v>
      </c>
      <c r="R202" s="7" t="s">
        <v>4725</v>
      </c>
      <c r="S202" s="7" t="s">
        <v>3394</v>
      </c>
      <c r="T202" s="7" t="s">
        <v>4159</v>
      </c>
      <c r="U202" s="7" t="s">
        <v>4433</v>
      </c>
    </row>
    <row r="203" spans="4:21" ht="102">
      <c r="D203" t="s">
        <v>1667</v>
      </c>
      <c r="E203" t="s">
        <v>106</v>
      </c>
      <c r="F203" s="9" t="s">
        <v>487</v>
      </c>
      <c r="G203" s="38" t="s">
        <v>754</v>
      </c>
      <c r="H203" s="7" t="s">
        <v>932</v>
      </c>
      <c r="I203" s="7" t="s">
        <v>1990</v>
      </c>
      <c r="J203" s="7" t="s">
        <v>1121</v>
      </c>
      <c r="K203" s="7" t="s">
        <v>1990</v>
      </c>
      <c r="L203" s="7" t="s">
        <v>1328</v>
      </c>
      <c r="M203" s="7" t="s">
        <v>2496</v>
      </c>
      <c r="N203" s="7" t="s">
        <v>1492</v>
      </c>
      <c r="O203" s="18" t="s">
        <v>2770</v>
      </c>
      <c r="P203" s="7" t="s">
        <v>3079</v>
      </c>
      <c r="Q203" s="7" t="s">
        <v>3854</v>
      </c>
      <c r="R203" s="7" t="s">
        <v>4726</v>
      </c>
      <c r="S203" s="7" t="s">
        <v>3395</v>
      </c>
      <c r="T203" s="7" t="s">
        <v>4160</v>
      </c>
      <c r="U203" s="7" t="s">
        <v>4434</v>
      </c>
    </row>
    <row r="204" spans="4:21" ht="85">
      <c r="D204" t="s">
        <v>1667</v>
      </c>
      <c r="E204" t="s">
        <v>106</v>
      </c>
      <c r="F204" s="9" t="s">
        <v>488</v>
      </c>
      <c r="G204" s="38" t="s">
        <v>755</v>
      </c>
      <c r="H204" s="7" t="s">
        <v>933</v>
      </c>
      <c r="I204" s="7" t="s">
        <v>1991</v>
      </c>
      <c r="J204" s="7" t="s">
        <v>1069</v>
      </c>
      <c r="K204" s="7" t="s">
        <v>2251</v>
      </c>
      <c r="L204" s="7" t="s">
        <v>1262</v>
      </c>
      <c r="M204" s="7" t="s">
        <v>2497</v>
      </c>
      <c r="N204" s="7" t="s">
        <v>1646</v>
      </c>
      <c r="O204" s="7" t="s">
        <v>2771</v>
      </c>
      <c r="P204" s="7" t="s">
        <v>3291</v>
      </c>
      <c r="Q204" s="7" t="s">
        <v>3855</v>
      </c>
      <c r="R204" s="7" t="s">
        <v>4727</v>
      </c>
      <c r="S204" s="7" t="s">
        <v>3396</v>
      </c>
      <c r="T204" s="7" t="s">
        <v>4161</v>
      </c>
      <c r="U204" s="20" t="s">
        <v>4435</v>
      </c>
    </row>
    <row r="205" spans="4:21" ht="102">
      <c r="D205" t="s">
        <v>1667</v>
      </c>
      <c r="E205" t="s">
        <v>106</v>
      </c>
      <c r="F205" s="9" t="s">
        <v>489</v>
      </c>
      <c r="G205" s="38" t="s">
        <v>756</v>
      </c>
      <c r="H205" s="7" t="s">
        <v>151</v>
      </c>
      <c r="I205" s="7" t="s">
        <v>183</v>
      </c>
      <c r="J205" s="7" t="s">
        <v>151</v>
      </c>
      <c r="K205" s="7" t="s">
        <v>183</v>
      </c>
      <c r="L205" s="7" t="s">
        <v>1329</v>
      </c>
      <c r="M205" s="19" t="s">
        <v>2498</v>
      </c>
      <c r="N205" s="7" t="s">
        <v>151</v>
      </c>
      <c r="O205" s="7" t="s">
        <v>183</v>
      </c>
      <c r="P205" s="7" t="s">
        <v>3292</v>
      </c>
      <c r="Q205" s="7" t="s">
        <v>3856</v>
      </c>
      <c r="R205" s="7" t="s">
        <v>4728</v>
      </c>
      <c r="S205" s="7" t="s">
        <v>3397</v>
      </c>
      <c r="T205" s="7" t="s">
        <v>4162</v>
      </c>
      <c r="U205" s="7" t="s">
        <v>4436</v>
      </c>
    </row>
    <row r="206" spans="4:21" ht="102">
      <c r="D206" t="s">
        <v>1667</v>
      </c>
      <c r="E206" t="s">
        <v>106</v>
      </c>
      <c r="F206" s="9" t="s">
        <v>490</v>
      </c>
      <c r="G206" s="38" t="s">
        <v>757</v>
      </c>
      <c r="H206" s="7" t="s">
        <v>934</v>
      </c>
      <c r="I206" s="7" t="s">
        <v>1989</v>
      </c>
      <c r="J206" s="7" t="s">
        <v>151</v>
      </c>
      <c r="K206" s="7" t="s">
        <v>183</v>
      </c>
      <c r="L206" s="7" t="s">
        <v>934</v>
      </c>
      <c r="M206" s="7" t="s">
        <v>1989</v>
      </c>
      <c r="N206" s="7" t="s">
        <v>1493</v>
      </c>
      <c r="O206" s="18" t="s">
        <v>2772</v>
      </c>
      <c r="P206" s="7" t="s">
        <v>3293</v>
      </c>
      <c r="Q206" s="7" t="s">
        <v>3857</v>
      </c>
      <c r="R206" s="7" t="s">
        <v>4729</v>
      </c>
      <c r="S206" s="7" t="s">
        <v>3398</v>
      </c>
      <c r="T206" s="7" t="s">
        <v>4163</v>
      </c>
      <c r="U206" s="7" t="s">
        <v>4437</v>
      </c>
    </row>
    <row r="207" spans="4:21" ht="68">
      <c r="D207" t="s">
        <v>1667</v>
      </c>
      <c r="E207" t="s">
        <v>1663</v>
      </c>
      <c r="F207" s="9" t="s">
        <v>572</v>
      </c>
      <c r="G207" s="38" t="s">
        <v>758</v>
      </c>
      <c r="H207" s="7" t="s">
        <v>295</v>
      </c>
      <c r="I207" s="7" t="s">
        <v>295</v>
      </c>
      <c r="J207" s="7" t="s">
        <v>89</v>
      </c>
      <c r="K207" s="7" t="s">
        <v>89</v>
      </c>
      <c r="L207" s="7" t="s">
        <v>90</v>
      </c>
      <c r="M207" s="7" t="s">
        <v>90</v>
      </c>
      <c r="N207" s="7" t="s">
        <v>250</v>
      </c>
      <c r="O207" s="7" t="s">
        <v>2773</v>
      </c>
      <c r="P207" s="7" t="s">
        <v>3080</v>
      </c>
      <c r="Q207" s="7" t="s">
        <v>3858</v>
      </c>
      <c r="R207" s="7" t="s">
        <v>4730</v>
      </c>
      <c r="S207" s="7" t="s">
        <v>3399</v>
      </c>
      <c r="T207" s="7" t="s">
        <v>4164</v>
      </c>
      <c r="U207" s="18" t="s">
        <v>4438</v>
      </c>
    </row>
    <row r="208" spans="4:21" ht="68">
      <c r="D208" t="s">
        <v>1667</v>
      </c>
      <c r="E208" t="s">
        <v>1663</v>
      </c>
      <c r="F208" s="9" t="s">
        <v>491</v>
      </c>
      <c r="G208" s="38" t="s">
        <v>759</v>
      </c>
      <c r="H208" s="7" t="s">
        <v>1017</v>
      </c>
      <c r="I208" s="19" t="s">
        <v>1992</v>
      </c>
      <c r="J208" s="7" t="s">
        <v>1070</v>
      </c>
      <c r="K208" s="20" t="s">
        <v>2252</v>
      </c>
      <c r="L208" s="7" t="s">
        <v>90</v>
      </c>
      <c r="M208" s="7" t="s">
        <v>90</v>
      </c>
      <c r="N208" s="7" t="s">
        <v>1568</v>
      </c>
      <c r="O208" s="7" t="s">
        <v>2774</v>
      </c>
      <c r="P208" s="7" t="s">
        <v>3081</v>
      </c>
      <c r="Q208" s="7" t="s">
        <v>3859</v>
      </c>
      <c r="R208" s="7" t="s">
        <v>4731</v>
      </c>
      <c r="S208" s="7" t="s">
        <v>3400</v>
      </c>
      <c r="T208" s="7" t="s">
        <v>4165</v>
      </c>
      <c r="U208" s="18" t="s">
        <v>4439</v>
      </c>
    </row>
    <row r="209" spans="4:21" ht="68">
      <c r="D209" t="s">
        <v>1667</v>
      </c>
      <c r="E209" t="s">
        <v>1663</v>
      </c>
      <c r="F209" s="9" t="s">
        <v>492</v>
      </c>
      <c r="G209" s="38" t="s">
        <v>758</v>
      </c>
      <c r="H209" s="7" t="s">
        <v>295</v>
      </c>
      <c r="I209" s="7" t="s">
        <v>295</v>
      </c>
      <c r="J209" s="7" t="s">
        <v>295</v>
      </c>
      <c r="K209" s="7" t="s">
        <v>295</v>
      </c>
      <c r="L209" s="7" t="s">
        <v>90</v>
      </c>
      <c r="M209" s="7" t="s">
        <v>90</v>
      </c>
      <c r="N209" s="7" t="s">
        <v>1446</v>
      </c>
      <c r="O209" s="19" t="s">
        <v>1446</v>
      </c>
      <c r="P209" s="7" t="s">
        <v>3178</v>
      </c>
      <c r="Q209" s="7" t="s">
        <v>3860</v>
      </c>
      <c r="R209" s="7" t="s">
        <v>4730</v>
      </c>
      <c r="S209" s="7" t="s">
        <v>3401</v>
      </c>
      <c r="T209" s="7" t="s">
        <v>3861</v>
      </c>
      <c r="U209" s="18" t="s">
        <v>4440</v>
      </c>
    </row>
    <row r="210" spans="4:21" ht="68">
      <c r="D210" t="s">
        <v>1667</v>
      </c>
      <c r="E210" t="s">
        <v>1663</v>
      </c>
      <c r="F210" s="9" t="s">
        <v>493</v>
      </c>
      <c r="G210" s="38" t="s">
        <v>760</v>
      </c>
      <c r="H210" s="7" t="s">
        <v>295</v>
      </c>
      <c r="I210" s="7" t="s">
        <v>295</v>
      </c>
      <c r="J210" s="7" t="s">
        <v>1071</v>
      </c>
      <c r="K210" s="19" t="s">
        <v>2253</v>
      </c>
      <c r="L210" s="7" t="s">
        <v>90</v>
      </c>
      <c r="M210" s="7" t="s">
        <v>90</v>
      </c>
      <c r="N210" s="7" t="s">
        <v>1447</v>
      </c>
      <c r="O210" s="7" t="s">
        <v>2775</v>
      </c>
      <c r="P210" s="7" t="s">
        <v>3082</v>
      </c>
      <c r="Q210" s="7" t="s">
        <v>3861</v>
      </c>
      <c r="R210" s="7" t="s">
        <v>4732</v>
      </c>
      <c r="S210" s="7" t="s">
        <v>3402</v>
      </c>
      <c r="T210" s="7" t="s">
        <v>4166</v>
      </c>
      <c r="U210" s="18" t="s">
        <v>4440</v>
      </c>
    </row>
    <row r="211" spans="4:21" ht="68">
      <c r="D211" t="s">
        <v>1667</v>
      </c>
      <c r="E211" t="s">
        <v>1663</v>
      </c>
      <c r="F211" s="9" t="s">
        <v>494</v>
      </c>
      <c r="G211" s="38" t="s">
        <v>761</v>
      </c>
      <c r="H211" s="7" t="s">
        <v>295</v>
      </c>
      <c r="I211" s="7" t="s">
        <v>295</v>
      </c>
      <c r="J211" s="7" t="s">
        <v>295</v>
      </c>
      <c r="K211" s="7" t="s">
        <v>295</v>
      </c>
      <c r="L211" s="7" t="s">
        <v>90</v>
      </c>
      <c r="M211" s="7" t="s">
        <v>90</v>
      </c>
      <c r="N211" s="7" t="s">
        <v>1569</v>
      </c>
      <c r="O211" s="7" t="s">
        <v>2776</v>
      </c>
      <c r="P211" s="7" t="s">
        <v>3026</v>
      </c>
      <c r="Q211" s="7" t="s">
        <v>3862</v>
      </c>
      <c r="R211" s="7" t="s">
        <v>3643</v>
      </c>
      <c r="S211" s="7" t="s">
        <v>3403</v>
      </c>
      <c r="T211" s="7" t="s">
        <v>4166</v>
      </c>
      <c r="U211" s="18" t="s">
        <v>4441</v>
      </c>
    </row>
    <row r="212" spans="4:21" ht="68">
      <c r="D212" t="s">
        <v>1667</v>
      </c>
      <c r="E212" t="s">
        <v>1663</v>
      </c>
      <c r="F212" s="9" t="s">
        <v>495</v>
      </c>
      <c r="G212" s="38" t="s">
        <v>762</v>
      </c>
      <c r="H212" s="7" t="s">
        <v>90</v>
      </c>
      <c r="I212" s="7" t="s">
        <v>90</v>
      </c>
      <c r="J212" s="7" t="s">
        <v>90</v>
      </c>
      <c r="K212" s="7" t="s">
        <v>90</v>
      </c>
      <c r="L212" s="7" t="s">
        <v>90</v>
      </c>
      <c r="M212" s="7" t="s">
        <v>90</v>
      </c>
      <c r="N212" s="7" t="s">
        <v>1570</v>
      </c>
      <c r="O212" s="20" t="s">
        <v>2777</v>
      </c>
      <c r="P212" s="7" t="s">
        <v>3179</v>
      </c>
      <c r="Q212" s="7" t="s">
        <v>3863</v>
      </c>
      <c r="R212" s="7" t="s">
        <v>4733</v>
      </c>
      <c r="S212" s="7" t="s">
        <v>3404</v>
      </c>
      <c r="T212" s="7" t="s">
        <v>4167</v>
      </c>
      <c r="U212" s="7" t="s">
        <v>4439</v>
      </c>
    </row>
    <row r="213" spans="4:21" ht="68">
      <c r="D213" t="s">
        <v>1667</v>
      </c>
      <c r="E213" t="s">
        <v>1663</v>
      </c>
      <c r="F213" s="9" t="s">
        <v>91</v>
      </c>
      <c r="G213" s="38" t="s">
        <v>88</v>
      </c>
      <c r="H213" s="7" t="s">
        <v>196</v>
      </c>
      <c r="I213" s="7" t="s">
        <v>1993</v>
      </c>
      <c r="J213" s="7" t="s">
        <v>166</v>
      </c>
      <c r="K213" s="7" t="s">
        <v>2254</v>
      </c>
      <c r="L213" s="7" t="s">
        <v>251</v>
      </c>
      <c r="M213" s="7" t="s">
        <v>2499</v>
      </c>
      <c r="N213" s="7" t="s">
        <v>252</v>
      </c>
      <c r="O213" s="7" t="s">
        <v>2778</v>
      </c>
      <c r="P213" s="7" t="s">
        <v>3083</v>
      </c>
      <c r="Q213" s="20" t="s">
        <v>3864</v>
      </c>
      <c r="R213" s="7" t="s">
        <v>4734</v>
      </c>
      <c r="S213" s="7" t="s">
        <v>3405</v>
      </c>
      <c r="T213" s="20" t="s">
        <v>4168</v>
      </c>
      <c r="U213" s="7" t="s">
        <v>4442</v>
      </c>
    </row>
    <row r="214" spans="4:21" ht="68">
      <c r="D214" t="s">
        <v>1667</v>
      </c>
      <c r="E214" t="s">
        <v>1663</v>
      </c>
      <c r="F214" s="9" t="s">
        <v>496</v>
      </c>
      <c r="G214" s="38" t="s">
        <v>763</v>
      </c>
      <c r="H214" s="7" t="s">
        <v>935</v>
      </c>
      <c r="I214" s="7" t="s">
        <v>1994</v>
      </c>
      <c r="J214" s="7" t="s">
        <v>1122</v>
      </c>
      <c r="K214" s="19" t="s">
        <v>2255</v>
      </c>
      <c r="L214" s="7" t="s">
        <v>1263</v>
      </c>
      <c r="M214" s="19" t="s">
        <v>2500</v>
      </c>
      <c r="N214" s="7" t="s">
        <v>1448</v>
      </c>
      <c r="O214" s="7" t="s">
        <v>2779</v>
      </c>
      <c r="P214" s="7" t="s">
        <v>3027</v>
      </c>
      <c r="Q214" s="20" t="s">
        <v>3865</v>
      </c>
      <c r="R214" s="7" t="s">
        <v>4735</v>
      </c>
      <c r="S214" s="7" t="s">
        <v>3495</v>
      </c>
      <c r="T214" s="7" t="s">
        <v>4169</v>
      </c>
      <c r="U214" s="20" t="s">
        <v>4443</v>
      </c>
    </row>
    <row r="215" spans="4:21" ht="68">
      <c r="D215" t="s">
        <v>1667</v>
      </c>
      <c r="E215" t="s">
        <v>1663</v>
      </c>
      <c r="F215" s="9" t="s">
        <v>497</v>
      </c>
      <c r="G215" s="38" t="s">
        <v>88</v>
      </c>
      <c r="H215" s="7" t="s">
        <v>936</v>
      </c>
      <c r="I215" s="19" t="s">
        <v>1995</v>
      </c>
      <c r="J215" s="7" t="s">
        <v>1123</v>
      </c>
      <c r="K215" s="7" t="s">
        <v>2256</v>
      </c>
      <c r="L215" s="7" t="s">
        <v>1083</v>
      </c>
      <c r="M215" s="19" t="s">
        <v>2299</v>
      </c>
      <c r="N215" s="7" t="s">
        <v>1449</v>
      </c>
      <c r="O215" s="7" t="s">
        <v>2779</v>
      </c>
      <c r="P215" s="7" t="s">
        <v>3180</v>
      </c>
      <c r="Q215" s="20" t="s">
        <v>3866</v>
      </c>
      <c r="R215" s="7" t="s">
        <v>4734</v>
      </c>
      <c r="S215" s="7" t="s">
        <v>3496</v>
      </c>
      <c r="T215" s="20" t="s">
        <v>4170</v>
      </c>
      <c r="U215" s="7" t="s">
        <v>4444</v>
      </c>
    </row>
    <row r="216" spans="4:21" ht="68">
      <c r="D216" t="s">
        <v>1667</v>
      </c>
      <c r="E216" t="s">
        <v>1663</v>
      </c>
      <c r="F216" s="9" t="s">
        <v>498</v>
      </c>
      <c r="G216" s="38" t="s">
        <v>764</v>
      </c>
      <c r="H216" s="7" t="s">
        <v>864</v>
      </c>
      <c r="I216" s="19" t="s">
        <v>1996</v>
      </c>
      <c r="J216" s="7" t="s">
        <v>1072</v>
      </c>
      <c r="K216" s="19" t="s">
        <v>2257</v>
      </c>
      <c r="L216" s="7" t="s">
        <v>1264</v>
      </c>
      <c r="M216" s="19" t="s">
        <v>2501</v>
      </c>
      <c r="N216" s="7" t="s">
        <v>1450</v>
      </c>
      <c r="O216" s="19" t="s">
        <v>2780</v>
      </c>
      <c r="P216" s="7" t="s">
        <v>3181</v>
      </c>
      <c r="Q216" s="7" t="s">
        <v>3867</v>
      </c>
      <c r="R216" s="7" t="s">
        <v>4736</v>
      </c>
      <c r="S216" s="7" t="s">
        <v>3497</v>
      </c>
      <c r="T216" s="7" t="s">
        <v>4171</v>
      </c>
      <c r="U216" s="7" t="s">
        <v>4445</v>
      </c>
    </row>
    <row r="217" spans="4:21" ht="51">
      <c r="D217" t="s">
        <v>1667</v>
      </c>
      <c r="E217" t="s">
        <v>1663</v>
      </c>
      <c r="F217" s="9" t="s">
        <v>499</v>
      </c>
      <c r="G217" s="38" t="s">
        <v>88</v>
      </c>
      <c r="H217" s="7" t="s">
        <v>865</v>
      </c>
      <c r="I217" s="19" t="s">
        <v>1997</v>
      </c>
      <c r="J217" s="7" t="s">
        <v>1073</v>
      </c>
      <c r="K217" s="7" t="s">
        <v>2258</v>
      </c>
      <c r="L217" s="7">
        <v>1000</v>
      </c>
      <c r="M217" s="19" t="s">
        <v>2502</v>
      </c>
      <c r="N217" s="7" t="s">
        <v>1451</v>
      </c>
      <c r="O217" s="7" t="s">
        <v>2779</v>
      </c>
      <c r="P217" s="7" t="s">
        <v>3182</v>
      </c>
      <c r="Q217" s="7" t="s">
        <v>3868</v>
      </c>
      <c r="R217" s="7" t="s">
        <v>4737</v>
      </c>
      <c r="S217" s="7" t="s">
        <v>3498</v>
      </c>
      <c r="T217" s="20" t="s">
        <v>4172</v>
      </c>
      <c r="U217" s="7" t="s">
        <v>4444</v>
      </c>
    </row>
    <row r="218" spans="4:21" ht="68">
      <c r="D218" t="s">
        <v>1667</v>
      </c>
      <c r="E218" t="s">
        <v>1663</v>
      </c>
      <c r="F218" s="9" t="s">
        <v>500</v>
      </c>
      <c r="G218" s="38" t="s">
        <v>765</v>
      </c>
      <c r="H218" s="7" t="s">
        <v>935</v>
      </c>
      <c r="I218" s="7" t="s">
        <v>1994</v>
      </c>
      <c r="J218" s="7" t="s">
        <v>1074</v>
      </c>
      <c r="K218" s="7" t="s">
        <v>2259</v>
      </c>
      <c r="L218" s="7">
        <v>1.0000000000000001E+63</v>
      </c>
      <c r="M218" s="19" t="s">
        <v>2047</v>
      </c>
      <c r="N218" s="7" t="s">
        <v>1448</v>
      </c>
      <c r="O218" s="7" t="s">
        <v>2779</v>
      </c>
      <c r="P218" s="7" t="s">
        <v>3183</v>
      </c>
      <c r="Q218" s="7" t="s">
        <v>3869</v>
      </c>
      <c r="R218" s="7" t="s">
        <v>4738</v>
      </c>
      <c r="S218" s="7" t="s">
        <v>3499</v>
      </c>
      <c r="T218" s="20" t="s">
        <v>4173</v>
      </c>
      <c r="U218" s="20" t="s">
        <v>4446</v>
      </c>
    </row>
    <row r="219" spans="4:21" ht="102">
      <c r="D219" t="s">
        <v>1667</v>
      </c>
      <c r="E219" t="s">
        <v>108</v>
      </c>
      <c r="F219" s="9" t="s">
        <v>102</v>
      </c>
      <c r="G219" s="38" t="s">
        <v>766</v>
      </c>
      <c r="H219" s="7" t="s">
        <v>296</v>
      </c>
      <c r="I219" s="7" t="s">
        <v>1998</v>
      </c>
      <c r="J219" s="7" t="s">
        <v>167</v>
      </c>
      <c r="K219" s="7" t="s">
        <v>2260</v>
      </c>
      <c r="L219" s="7" t="s">
        <v>222</v>
      </c>
      <c r="M219" s="7" t="s">
        <v>2503</v>
      </c>
      <c r="N219" s="7" t="s">
        <v>315</v>
      </c>
      <c r="O219" s="19" t="s">
        <v>2781</v>
      </c>
      <c r="P219" s="7" t="s">
        <v>3294</v>
      </c>
      <c r="Q219" s="7" t="s">
        <v>3870</v>
      </c>
      <c r="R219" s="19" t="s">
        <v>4739</v>
      </c>
      <c r="S219" s="7" t="s">
        <v>3500</v>
      </c>
      <c r="T219" s="7" t="s">
        <v>4174</v>
      </c>
      <c r="U219" s="19" t="s">
        <v>4447</v>
      </c>
    </row>
    <row r="220" spans="4:21" ht="102">
      <c r="D220" t="s">
        <v>1667</v>
      </c>
      <c r="E220" t="s">
        <v>108</v>
      </c>
      <c r="F220" s="9" t="s">
        <v>501</v>
      </c>
      <c r="G220" s="38" t="s">
        <v>767</v>
      </c>
      <c r="H220" s="7" t="s">
        <v>866</v>
      </c>
      <c r="I220" s="7" t="s">
        <v>1999</v>
      </c>
      <c r="J220" s="7" t="s">
        <v>1124</v>
      </c>
      <c r="K220" s="7" t="s">
        <v>2261</v>
      </c>
      <c r="L220" s="7" t="s">
        <v>1407</v>
      </c>
      <c r="M220" s="7" t="s">
        <v>2504</v>
      </c>
      <c r="N220" s="7" t="s">
        <v>1494</v>
      </c>
      <c r="O220" s="18" t="s">
        <v>2782</v>
      </c>
      <c r="P220" s="7" t="s">
        <v>3184</v>
      </c>
      <c r="Q220" s="19" t="s">
        <v>3871</v>
      </c>
      <c r="R220" s="19" t="s">
        <v>4740</v>
      </c>
      <c r="S220" s="7" t="s">
        <v>3501</v>
      </c>
      <c r="T220" s="7" t="s">
        <v>4175</v>
      </c>
      <c r="U220" s="19" t="s">
        <v>4448</v>
      </c>
    </row>
    <row r="221" spans="4:21" ht="102">
      <c r="D221" t="s">
        <v>1667</v>
      </c>
      <c r="E221" t="s">
        <v>108</v>
      </c>
      <c r="F221" s="9" t="s">
        <v>502</v>
      </c>
      <c r="G221" s="38" t="s">
        <v>768</v>
      </c>
      <c r="H221" s="7" t="s">
        <v>937</v>
      </c>
      <c r="I221" s="7" t="s">
        <v>2000</v>
      </c>
      <c r="J221" s="7" t="s">
        <v>1125</v>
      </c>
      <c r="K221" s="7" t="s">
        <v>2262</v>
      </c>
      <c r="L221" s="7" t="s">
        <v>1265</v>
      </c>
      <c r="M221" s="7" t="s">
        <v>2505</v>
      </c>
      <c r="N221" s="7" t="s">
        <v>1495</v>
      </c>
      <c r="O221" s="7" t="s">
        <v>2783</v>
      </c>
      <c r="P221" s="7" t="s">
        <v>3084</v>
      </c>
      <c r="Q221" s="19" t="s">
        <v>3872</v>
      </c>
      <c r="R221" s="19" t="s">
        <v>4741</v>
      </c>
      <c r="S221" s="7" t="s">
        <v>3406</v>
      </c>
      <c r="T221" s="19" t="s">
        <v>4176</v>
      </c>
      <c r="U221" s="19" t="s">
        <v>4449</v>
      </c>
    </row>
    <row r="222" spans="4:21" ht="85">
      <c r="D222" t="s">
        <v>1667</v>
      </c>
      <c r="E222" t="s">
        <v>108</v>
      </c>
      <c r="F222" s="9" t="s">
        <v>503</v>
      </c>
      <c r="G222" s="38" t="s">
        <v>769</v>
      </c>
      <c r="H222" s="7" t="s">
        <v>867</v>
      </c>
      <c r="I222" s="7" t="s">
        <v>2001</v>
      </c>
      <c r="J222" s="7" t="s">
        <v>1187</v>
      </c>
      <c r="K222" s="7" t="s">
        <v>2263</v>
      </c>
      <c r="L222" s="7" t="s">
        <v>1330</v>
      </c>
      <c r="M222" s="7" t="s">
        <v>2506</v>
      </c>
      <c r="N222" s="7" t="s">
        <v>1647</v>
      </c>
      <c r="O222" s="7" t="s">
        <v>2784</v>
      </c>
      <c r="P222" s="7" t="s">
        <v>3085</v>
      </c>
      <c r="Q222" s="19" t="s">
        <v>3873</v>
      </c>
      <c r="R222" s="19" t="s">
        <v>4742</v>
      </c>
      <c r="S222" s="7" t="s">
        <v>3331</v>
      </c>
      <c r="T222" s="7" t="s">
        <v>4177</v>
      </c>
      <c r="U222" s="19" t="s">
        <v>4450</v>
      </c>
    </row>
    <row r="223" spans="4:21" ht="85">
      <c r="D223" t="s">
        <v>1667</v>
      </c>
      <c r="E223" t="s">
        <v>108</v>
      </c>
      <c r="F223" s="9" t="s">
        <v>504</v>
      </c>
      <c r="G223" s="38" t="s">
        <v>770</v>
      </c>
      <c r="H223" s="7" t="s">
        <v>984</v>
      </c>
      <c r="I223" s="7" t="s">
        <v>2002</v>
      </c>
      <c r="J223" s="7" t="s">
        <v>1188</v>
      </c>
      <c r="K223" s="7" t="s">
        <v>2264</v>
      </c>
      <c r="L223" s="7" t="s">
        <v>1266</v>
      </c>
      <c r="M223" s="7" t="s">
        <v>2507</v>
      </c>
      <c r="N223" s="7" t="s">
        <v>1648</v>
      </c>
      <c r="O223" s="18" t="s">
        <v>2785</v>
      </c>
      <c r="P223" s="7" t="s">
        <v>3295</v>
      </c>
      <c r="Q223" s="7" t="s">
        <v>3874</v>
      </c>
      <c r="R223" s="7" t="s">
        <v>4743</v>
      </c>
      <c r="S223" s="7" t="s">
        <v>3332</v>
      </c>
      <c r="T223" s="7" t="s">
        <v>4178</v>
      </c>
      <c r="U223" s="19" t="s">
        <v>4451</v>
      </c>
    </row>
    <row r="224" spans="4:21" ht="102">
      <c r="D224" t="s">
        <v>1667</v>
      </c>
      <c r="E224" t="s">
        <v>108</v>
      </c>
      <c r="F224" s="9" t="s">
        <v>505</v>
      </c>
      <c r="G224" s="38" t="s">
        <v>771</v>
      </c>
      <c r="H224" s="7" t="s">
        <v>985</v>
      </c>
      <c r="I224" s="19" t="s">
        <v>2003</v>
      </c>
      <c r="J224" s="7" t="s">
        <v>1189</v>
      </c>
      <c r="K224" s="7" t="s">
        <v>2265</v>
      </c>
      <c r="L224" s="7" t="s">
        <v>1382</v>
      </c>
      <c r="M224" s="7" t="s">
        <v>2508</v>
      </c>
      <c r="N224" s="7" t="s">
        <v>1649</v>
      </c>
      <c r="O224" s="7" t="s">
        <v>2786</v>
      </c>
      <c r="P224" s="7" t="s">
        <v>3185</v>
      </c>
      <c r="Q224" s="7" t="s">
        <v>3875</v>
      </c>
      <c r="R224" s="7" t="s">
        <v>4744</v>
      </c>
      <c r="S224" s="7" t="s">
        <v>3502</v>
      </c>
      <c r="T224" s="7" t="s">
        <v>4179</v>
      </c>
      <c r="U224" s="19" t="s">
        <v>4540</v>
      </c>
    </row>
    <row r="225" spans="4:21" ht="102">
      <c r="D225" t="s">
        <v>1667</v>
      </c>
      <c r="E225" t="s">
        <v>1664</v>
      </c>
      <c r="F225" s="9" t="s">
        <v>117</v>
      </c>
      <c r="G225" s="38" t="s">
        <v>772</v>
      </c>
      <c r="H225" s="7" t="s">
        <v>197</v>
      </c>
      <c r="I225" s="7" t="s">
        <v>2004</v>
      </c>
      <c r="J225" s="7" t="s">
        <v>139</v>
      </c>
      <c r="K225" s="7" t="s">
        <v>2266</v>
      </c>
      <c r="L225" s="7" t="s">
        <v>223</v>
      </c>
      <c r="M225" s="7" t="s">
        <v>2509</v>
      </c>
      <c r="N225" s="7" t="s">
        <v>206</v>
      </c>
      <c r="O225" s="7" t="s">
        <v>2787</v>
      </c>
      <c r="P225" s="7" t="s">
        <v>3086</v>
      </c>
      <c r="Q225" s="7" t="s">
        <v>3876</v>
      </c>
      <c r="R225" s="7" t="s">
        <v>4745</v>
      </c>
      <c r="S225" s="7" t="s">
        <v>3620</v>
      </c>
      <c r="T225" s="7" t="s">
        <v>4180</v>
      </c>
      <c r="U225" s="7" t="s">
        <v>4541</v>
      </c>
    </row>
    <row r="226" spans="4:21" ht="102">
      <c r="D226" t="s">
        <v>1667</v>
      </c>
      <c r="E226" t="s">
        <v>1664</v>
      </c>
      <c r="F226" s="9" t="s">
        <v>506</v>
      </c>
      <c r="G226" s="38" t="s">
        <v>773</v>
      </c>
      <c r="H226" s="7" t="s">
        <v>938</v>
      </c>
      <c r="I226" s="7" t="s">
        <v>2005</v>
      </c>
      <c r="J226" s="7" t="s">
        <v>1219</v>
      </c>
      <c r="K226" s="7" t="s">
        <v>2267</v>
      </c>
      <c r="L226" s="7" t="s">
        <v>1267</v>
      </c>
      <c r="M226" s="7" t="s">
        <v>2510</v>
      </c>
      <c r="N226" s="7" t="s">
        <v>1571</v>
      </c>
      <c r="O226" s="7" t="s">
        <v>2788</v>
      </c>
      <c r="P226" s="7" t="s">
        <v>3296</v>
      </c>
      <c r="Q226" s="7" t="s">
        <v>3877</v>
      </c>
      <c r="R226" s="7" t="s">
        <v>4746</v>
      </c>
      <c r="S226" s="7" t="s">
        <v>3503</v>
      </c>
      <c r="T226" s="7" t="s">
        <v>4181</v>
      </c>
      <c r="U226" s="7" t="s">
        <v>4542</v>
      </c>
    </row>
    <row r="227" spans="4:21" ht="85">
      <c r="D227" t="s">
        <v>1667</v>
      </c>
      <c r="E227" t="s">
        <v>1664</v>
      </c>
      <c r="F227" s="9" t="s">
        <v>507</v>
      </c>
      <c r="G227" s="38" t="s">
        <v>774</v>
      </c>
      <c r="H227" s="7" t="s">
        <v>939</v>
      </c>
      <c r="I227" s="19" t="s">
        <v>2006</v>
      </c>
      <c r="J227" s="7" t="s">
        <v>1075</v>
      </c>
      <c r="K227" s="7" t="s">
        <v>2268</v>
      </c>
      <c r="L227" s="7" t="s">
        <v>1268</v>
      </c>
      <c r="M227" s="7" t="s">
        <v>2511</v>
      </c>
      <c r="N227" s="7" t="s">
        <v>1572</v>
      </c>
      <c r="O227" s="7" t="s">
        <v>2789</v>
      </c>
      <c r="P227" s="7" t="s">
        <v>3186</v>
      </c>
      <c r="Q227" s="7" t="s">
        <v>3878</v>
      </c>
      <c r="R227" s="7" t="s">
        <v>4747</v>
      </c>
      <c r="S227" s="7" t="s">
        <v>3621</v>
      </c>
      <c r="T227" s="7" t="s">
        <v>4182</v>
      </c>
      <c r="U227" s="7" t="s">
        <v>4452</v>
      </c>
    </row>
    <row r="228" spans="4:21" ht="102">
      <c r="D228" t="s">
        <v>1667</v>
      </c>
      <c r="E228" t="s">
        <v>1664</v>
      </c>
      <c r="F228" s="9" t="s">
        <v>508</v>
      </c>
      <c r="G228" s="38" t="s">
        <v>773</v>
      </c>
      <c r="H228" s="7" t="s">
        <v>940</v>
      </c>
      <c r="I228" s="7" t="s">
        <v>2007</v>
      </c>
      <c r="J228" s="7" t="s">
        <v>1126</v>
      </c>
      <c r="K228" s="7" t="s">
        <v>2269</v>
      </c>
      <c r="L228" s="7" t="s">
        <v>1383</v>
      </c>
      <c r="M228" s="7" t="s">
        <v>2512</v>
      </c>
      <c r="N228" s="7" t="s">
        <v>1573</v>
      </c>
      <c r="O228" s="7" t="s">
        <v>2790</v>
      </c>
      <c r="P228" s="7" t="s">
        <v>3187</v>
      </c>
      <c r="Q228" s="7" t="s">
        <v>3879</v>
      </c>
      <c r="R228" s="7" t="s">
        <v>4746</v>
      </c>
      <c r="S228" s="7" t="s">
        <v>3622</v>
      </c>
      <c r="T228" s="7" t="s">
        <v>4183</v>
      </c>
      <c r="U228" s="7" t="s">
        <v>4453</v>
      </c>
    </row>
    <row r="229" spans="4:21" ht="102">
      <c r="D229" t="s">
        <v>1667</v>
      </c>
      <c r="E229" t="s">
        <v>1664</v>
      </c>
      <c r="F229" s="9" t="s">
        <v>509</v>
      </c>
      <c r="G229" s="38" t="s">
        <v>775</v>
      </c>
      <c r="H229" s="7" t="s">
        <v>868</v>
      </c>
      <c r="I229" s="7" t="s">
        <v>2008</v>
      </c>
      <c r="J229" s="7" t="s">
        <v>1190</v>
      </c>
      <c r="K229" s="7" t="s">
        <v>2270</v>
      </c>
      <c r="L229" s="7" t="s">
        <v>1269</v>
      </c>
      <c r="M229" s="7" t="s">
        <v>2513</v>
      </c>
      <c r="N229" s="7" t="s">
        <v>1269</v>
      </c>
      <c r="O229" s="7" t="s">
        <v>2513</v>
      </c>
      <c r="P229" s="7" t="s">
        <v>3188</v>
      </c>
      <c r="Q229" s="7" t="s">
        <v>3880</v>
      </c>
      <c r="R229" s="7" t="s">
        <v>4748</v>
      </c>
      <c r="S229" s="7" t="s">
        <v>3504</v>
      </c>
      <c r="T229" s="7" t="s">
        <v>4184</v>
      </c>
      <c r="U229" s="7" t="s">
        <v>4454</v>
      </c>
    </row>
    <row r="230" spans="4:21" ht="85">
      <c r="D230" t="s">
        <v>1667</v>
      </c>
      <c r="E230" t="s">
        <v>1664</v>
      </c>
      <c r="F230" s="9" t="s">
        <v>510</v>
      </c>
      <c r="G230" s="38" t="s">
        <v>776</v>
      </c>
      <c r="H230" s="7" t="s">
        <v>869</v>
      </c>
      <c r="I230" s="7" t="s">
        <v>2009</v>
      </c>
      <c r="J230" s="7" t="s">
        <v>1191</v>
      </c>
      <c r="K230" s="7" t="s">
        <v>2271</v>
      </c>
      <c r="L230" s="7" t="s">
        <v>1270</v>
      </c>
      <c r="M230" s="7" t="s">
        <v>2514</v>
      </c>
      <c r="N230" s="7" t="s">
        <v>1574</v>
      </c>
      <c r="O230" s="7" t="s">
        <v>2791</v>
      </c>
      <c r="P230" s="7" t="s">
        <v>3189</v>
      </c>
      <c r="Q230" s="7" t="s">
        <v>3881</v>
      </c>
      <c r="R230" s="7" t="s">
        <v>4749</v>
      </c>
      <c r="S230" s="7" t="s">
        <v>3333</v>
      </c>
      <c r="T230" s="7" t="s">
        <v>4185</v>
      </c>
      <c r="U230" s="7" t="s">
        <v>4455</v>
      </c>
    </row>
    <row r="231" spans="4:21" ht="85">
      <c r="D231" t="s">
        <v>1666</v>
      </c>
      <c r="E231" t="s">
        <v>1663</v>
      </c>
      <c r="F231" s="9" t="s">
        <v>118</v>
      </c>
      <c r="G231" s="38" t="s">
        <v>777</v>
      </c>
      <c r="H231" s="7" t="s">
        <v>297</v>
      </c>
      <c r="I231" s="7" t="s">
        <v>2010</v>
      </c>
      <c r="J231" s="7" t="s">
        <v>152</v>
      </c>
      <c r="K231" s="7" t="s">
        <v>2272</v>
      </c>
      <c r="L231" s="7" t="s">
        <v>316</v>
      </c>
      <c r="M231" s="7" t="s">
        <v>2515</v>
      </c>
      <c r="N231" s="7" t="s">
        <v>298</v>
      </c>
      <c r="O231" s="7" t="s">
        <v>2792</v>
      </c>
      <c r="P231" s="7" t="s">
        <v>3190</v>
      </c>
      <c r="Q231" s="7" t="s">
        <v>3882</v>
      </c>
      <c r="R231" s="7" t="s">
        <v>4750</v>
      </c>
      <c r="S231" s="7" t="s">
        <v>3505</v>
      </c>
      <c r="T231" s="7" t="s">
        <v>4186</v>
      </c>
      <c r="U231" s="7" t="s">
        <v>4456</v>
      </c>
    </row>
    <row r="232" spans="4:21" ht="85">
      <c r="D232" t="s">
        <v>1666</v>
      </c>
      <c r="E232" t="s">
        <v>1663</v>
      </c>
      <c r="F232" s="9" t="s">
        <v>511</v>
      </c>
      <c r="G232" s="38" t="s">
        <v>778</v>
      </c>
      <c r="H232" s="7" t="s">
        <v>297</v>
      </c>
      <c r="I232" s="7" t="s">
        <v>2010</v>
      </c>
      <c r="J232" s="7" t="s">
        <v>1220</v>
      </c>
      <c r="K232" s="7" t="s">
        <v>2273</v>
      </c>
      <c r="L232" s="7" t="s">
        <v>1408</v>
      </c>
      <c r="M232" s="7" t="s">
        <v>2516</v>
      </c>
      <c r="N232" s="7" t="s">
        <v>1575</v>
      </c>
      <c r="O232" s="7" t="s">
        <v>2793</v>
      </c>
      <c r="P232" s="7" t="s">
        <v>3191</v>
      </c>
      <c r="Q232" s="7" t="s">
        <v>3883</v>
      </c>
      <c r="R232" s="7" t="s">
        <v>4751</v>
      </c>
      <c r="S232" s="7" t="s">
        <v>3506</v>
      </c>
      <c r="T232" s="7" t="s">
        <v>4187</v>
      </c>
      <c r="U232" s="7" t="s">
        <v>4457</v>
      </c>
    </row>
    <row r="233" spans="4:21" ht="85">
      <c r="D233" t="s">
        <v>1666</v>
      </c>
      <c r="E233" t="s">
        <v>1663</v>
      </c>
      <c r="F233" s="9" t="s">
        <v>512</v>
      </c>
      <c r="G233" s="38" t="s">
        <v>779</v>
      </c>
      <c r="H233" s="7" t="s">
        <v>986</v>
      </c>
      <c r="I233" s="7" t="s">
        <v>2011</v>
      </c>
      <c r="J233" s="7" t="s">
        <v>1192</v>
      </c>
      <c r="K233" s="7" t="s">
        <v>2274</v>
      </c>
      <c r="L233" s="7" t="s">
        <v>1409</v>
      </c>
      <c r="M233" s="7" t="s">
        <v>2517</v>
      </c>
      <c r="N233" s="7" t="s">
        <v>1576</v>
      </c>
      <c r="O233" s="7" t="s">
        <v>2794</v>
      </c>
      <c r="P233" s="7" t="s">
        <v>3297</v>
      </c>
      <c r="Q233" s="7" t="s">
        <v>3884</v>
      </c>
      <c r="R233" s="7" t="s">
        <v>4752</v>
      </c>
      <c r="S233" s="7" t="s">
        <v>3593</v>
      </c>
      <c r="T233" s="7" t="s">
        <v>4188</v>
      </c>
      <c r="U233" s="7" t="s">
        <v>4458</v>
      </c>
    </row>
    <row r="234" spans="4:21" ht="85">
      <c r="D234" t="s">
        <v>1666</v>
      </c>
      <c r="E234" t="s">
        <v>1663</v>
      </c>
      <c r="F234" s="9" t="s">
        <v>513</v>
      </c>
      <c r="G234" s="38" t="s">
        <v>780</v>
      </c>
      <c r="H234" s="7" t="s">
        <v>297</v>
      </c>
      <c r="I234" s="7" t="s">
        <v>2010</v>
      </c>
      <c r="J234" s="7" t="s">
        <v>1220</v>
      </c>
      <c r="K234" s="7" t="s">
        <v>2273</v>
      </c>
      <c r="L234" s="7" t="s">
        <v>316</v>
      </c>
      <c r="M234" s="7" t="s">
        <v>2515</v>
      </c>
      <c r="N234" s="7" t="s">
        <v>1575</v>
      </c>
      <c r="O234" s="7" t="s">
        <v>2793</v>
      </c>
      <c r="P234" s="7" t="s">
        <v>3298</v>
      </c>
      <c r="Q234" s="7" t="s">
        <v>3885</v>
      </c>
      <c r="R234" s="7" t="s">
        <v>4753</v>
      </c>
      <c r="S234" s="7" t="s">
        <v>3505</v>
      </c>
      <c r="T234" s="7" t="s">
        <v>4186</v>
      </c>
      <c r="U234" s="7" t="s">
        <v>4543</v>
      </c>
    </row>
    <row r="235" spans="4:21" ht="102">
      <c r="D235" t="s">
        <v>1666</v>
      </c>
      <c r="E235" t="s">
        <v>1663</v>
      </c>
      <c r="F235" s="9" t="s">
        <v>514</v>
      </c>
      <c r="G235" s="38" t="s">
        <v>781</v>
      </c>
      <c r="H235" s="7" t="s">
        <v>297</v>
      </c>
      <c r="I235" s="7" t="s">
        <v>2010</v>
      </c>
      <c r="J235" s="7" t="s">
        <v>1220</v>
      </c>
      <c r="K235" s="7" t="s">
        <v>2273</v>
      </c>
      <c r="L235" s="7" t="s">
        <v>1384</v>
      </c>
      <c r="M235" s="7" t="s">
        <v>2518</v>
      </c>
      <c r="N235" s="7" t="s">
        <v>1577</v>
      </c>
      <c r="O235" s="7" t="s">
        <v>2795</v>
      </c>
      <c r="P235" s="7" t="s">
        <v>3192</v>
      </c>
      <c r="Q235" s="7" t="s">
        <v>3886</v>
      </c>
      <c r="R235" s="7" t="s">
        <v>4754</v>
      </c>
      <c r="S235" s="7" t="s">
        <v>3507</v>
      </c>
      <c r="T235" s="7" t="s">
        <v>4189</v>
      </c>
      <c r="U235" s="7" t="s">
        <v>4459</v>
      </c>
    </row>
    <row r="236" spans="4:21" ht="85">
      <c r="D236" t="s">
        <v>1666</v>
      </c>
      <c r="E236" t="s">
        <v>1663</v>
      </c>
      <c r="F236" s="9" t="s">
        <v>515</v>
      </c>
      <c r="G236" s="38" t="s">
        <v>782</v>
      </c>
      <c r="H236" s="7" t="s">
        <v>986</v>
      </c>
      <c r="I236" s="7" t="s">
        <v>2011</v>
      </c>
      <c r="J236" s="7" t="s">
        <v>1192</v>
      </c>
      <c r="K236" s="7" t="s">
        <v>2274</v>
      </c>
      <c r="L236" s="7" t="s">
        <v>1409</v>
      </c>
      <c r="M236" s="7" t="s">
        <v>2517</v>
      </c>
      <c r="N236" s="7" t="s">
        <v>1496</v>
      </c>
      <c r="O236" s="7" t="s">
        <v>2796</v>
      </c>
      <c r="P236" s="7" t="s">
        <v>3193</v>
      </c>
      <c r="Q236" s="7" t="s">
        <v>3887</v>
      </c>
      <c r="R236" s="7" t="s">
        <v>4755</v>
      </c>
      <c r="S236" s="7" t="s">
        <v>3508</v>
      </c>
      <c r="T236" s="7" t="s">
        <v>4190</v>
      </c>
      <c r="U236" s="7" t="s">
        <v>4460</v>
      </c>
    </row>
    <row r="237" spans="4:21" ht="68">
      <c r="D237" t="s">
        <v>1667</v>
      </c>
      <c r="E237" t="s">
        <v>1663</v>
      </c>
      <c r="F237" s="9" t="s">
        <v>119</v>
      </c>
      <c r="G237" s="38" t="s">
        <v>111</v>
      </c>
      <c r="H237" s="7" t="s">
        <v>198</v>
      </c>
      <c r="I237" s="7" t="s">
        <v>2012</v>
      </c>
      <c r="J237" s="7" t="s">
        <v>140</v>
      </c>
      <c r="K237" s="7" t="s">
        <v>2275</v>
      </c>
      <c r="L237" s="7" t="s">
        <v>224</v>
      </c>
      <c r="M237" s="7" t="s">
        <v>2519</v>
      </c>
      <c r="N237" s="7" t="s">
        <v>299</v>
      </c>
      <c r="O237" s="19" t="s">
        <v>2797</v>
      </c>
      <c r="P237" s="7" t="s">
        <v>3087</v>
      </c>
      <c r="Q237" s="7" t="s">
        <v>3888</v>
      </c>
      <c r="R237" s="7" t="s">
        <v>4756</v>
      </c>
      <c r="S237" s="7" t="s">
        <v>3407</v>
      </c>
      <c r="T237" s="7" t="s">
        <v>4191</v>
      </c>
      <c r="U237" s="7" t="s">
        <v>4461</v>
      </c>
    </row>
    <row r="238" spans="4:21" ht="68">
      <c r="D238" t="s">
        <v>1667</v>
      </c>
      <c r="E238" t="s">
        <v>1663</v>
      </c>
      <c r="F238" s="9" t="s">
        <v>516</v>
      </c>
      <c r="G238" s="38" t="s">
        <v>783</v>
      </c>
      <c r="H238" s="7" t="s">
        <v>941</v>
      </c>
      <c r="I238" s="7" t="s">
        <v>2013</v>
      </c>
      <c r="J238" s="7" t="s">
        <v>1076</v>
      </c>
      <c r="K238" s="7" t="s">
        <v>2276</v>
      </c>
      <c r="L238" s="7" t="s">
        <v>1271</v>
      </c>
      <c r="M238" s="7" t="s">
        <v>2520</v>
      </c>
      <c r="N238" s="7" t="s">
        <v>1578</v>
      </c>
      <c r="O238" s="39" t="s">
        <v>2798</v>
      </c>
      <c r="P238" s="7" t="s">
        <v>3088</v>
      </c>
      <c r="Q238" s="7" t="s">
        <v>3889</v>
      </c>
      <c r="R238" s="7" t="s">
        <v>4757</v>
      </c>
      <c r="S238" s="7" t="s">
        <v>3594</v>
      </c>
      <c r="T238" s="7" t="s">
        <v>4192</v>
      </c>
      <c r="U238" s="7" t="s">
        <v>4462</v>
      </c>
    </row>
    <row r="239" spans="4:21" ht="68">
      <c r="D239" t="s">
        <v>1667</v>
      </c>
      <c r="E239" t="s">
        <v>1663</v>
      </c>
      <c r="F239" s="9" t="s">
        <v>517</v>
      </c>
      <c r="G239" s="38" t="s">
        <v>784</v>
      </c>
      <c r="H239" s="7" t="s">
        <v>1022</v>
      </c>
      <c r="I239" s="7" t="s">
        <v>2014</v>
      </c>
      <c r="J239" s="7" t="s">
        <v>1077</v>
      </c>
      <c r="K239" s="7" t="s">
        <v>2277</v>
      </c>
      <c r="L239" s="7" t="s">
        <v>1272</v>
      </c>
      <c r="M239" s="7" t="s">
        <v>2521</v>
      </c>
      <c r="N239" s="7" t="s">
        <v>1497</v>
      </c>
      <c r="O239" s="7" t="s">
        <v>2799</v>
      </c>
      <c r="P239" s="7" t="s">
        <v>3194</v>
      </c>
      <c r="Q239" s="7" t="s">
        <v>3890</v>
      </c>
      <c r="R239" s="7" t="s">
        <v>3644</v>
      </c>
      <c r="S239" s="7" t="s">
        <v>3408</v>
      </c>
      <c r="T239" s="7" t="s">
        <v>4193</v>
      </c>
      <c r="U239" s="7" t="s">
        <v>4463</v>
      </c>
    </row>
    <row r="240" spans="4:21" ht="68">
      <c r="D240" t="s">
        <v>1667</v>
      </c>
      <c r="E240" t="s">
        <v>1663</v>
      </c>
      <c r="F240" s="9" t="s">
        <v>518</v>
      </c>
      <c r="G240" s="38" t="s">
        <v>785</v>
      </c>
      <c r="H240" s="7" t="s">
        <v>870</v>
      </c>
      <c r="I240" s="7" t="s">
        <v>2015</v>
      </c>
      <c r="J240" s="7" t="s">
        <v>1193</v>
      </c>
      <c r="K240" s="7" t="s">
        <v>2278</v>
      </c>
      <c r="L240" s="7" t="s">
        <v>1272</v>
      </c>
      <c r="M240" s="7" t="s">
        <v>2521</v>
      </c>
      <c r="N240" s="7" t="s">
        <v>1452</v>
      </c>
      <c r="O240" s="7" t="s">
        <v>2800</v>
      </c>
      <c r="P240" s="7" t="s">
        <v>3195</v>
      </c>
      <c r="Q240" s="7" t="s">
        <v>3891</v>
      </c>
      <c r="R240" s="7" t="s">
        <v>4758</v>
      </c>
      <c r="S240" s="7" t="s">
        <v>3509</v>
      </c>
      <c r="T240" s="7" t="s">
        <v>4194</v>
      </c>
      <c r="U240" s="7" t="s">
        <v>4464</v>
      </c>
    </row>
    <row r="241" spans="4:21" ht="68">
      <c r="D241" t="s">
        <v>1667</v>
      </c>
      <c r="E241" t="s">
        <v>1663</v>
      </c>
      <c r="F241" s="9" t="s">
        <v>519</v>
      </c>
      <c r="G241" s="38" t="s">
        <v>786</v>
      </c>
      <c r="H241" s="7" t="s">
        <v>987</v>
      </c>
      <c r="I241" s="7" t="s">
        <v>2016</v>
      </c>
      <c r="J241" s="7" t="s">
        <v>140</v>
      </c>
      <c r="K241" s="7" t="s">
        <v>2275</v>
      </c>
      <c r="L241" s="7" t="s">
        <v>1385</v>
      </c>
      <c r="M241" s="7" t="s">
        <v>2522</v>
      </c>
      <c r="N241" s="7" t="s">
        <v>1453</v>
      </c>
      <c r="O241" s="7" t="s">
        <v>2801</v>
      </c>
      <c r="P241" s="7" t="s">
        <v>3196</v>
      </c>
      <c r="Q241" s="7" t="s">
        <v>3892</v>
      </c>
      <c r="R241" s="7" t="s">
        <v>4759</v>
      </c>
      <c r="S241" s="7" t="s">
        <v>3510</v>
      </c>
      <c r="T241" s="7" t="s">
        <v>4195</v>
      </c>
      <c r="U241" s="7" t="s">
        <v>4465</v>
      </c>
    </row>
    <row r="242" spans="4:21" ht="102">
      <c r="D242" t="s">
        <v>1667</v>
      </c>
      <c r="E242" t="s">
        <v>1663</v>
      </c>
      <c r="F242" s="9" t="s">
        <v>520</v>
      </c>
      <c r="G242" s="38" t="s">
        <v>787</v>
      </c>
      <c r="H242" s="7" t="s">
        <v>871</v>
      </c>
      <c r="I242" s="7" t="s">
        <v>2017</v>
      </c>
      <c r="J242" s="7" t="s">
        <v>1078</v>
      </c>
      <c r="K242" s="7" t="s">
        <v>2279</v>
      </c>
      <c r="L242" s="7" t="s">
        <v>1272</v>
      </c>
      <c r="M242" s="7" t="s">
        <v>2521</v>
      </c>
      <c r="N242" s="7" t="s">
        <v>1579</v>
      </c>
      <c r="O242" s="19" t="s">
        <v>2802</v>
      </c>
      <c r="P242" s="7" t="s">
        <v>3089</v>
      </c>
      <c r="Q242" s="7" t="s">
        <v>3893</v>
      </c>
      <c r="R242" s="7" t="s">
        <v>4760</v>
      </c>
      <c r="S242" s="7" t="s">
        <v>3511</v>
      </c>
      <c r="T242" s="7" t="s">
        <v>4196</v>
      </c>
      <c r="U242" s="7" t="s">
        <v>4466</v>
      </c>
    </row>
    <row r="243" spans="4:21" ht="102">
      <c r="D243" t="s">
        <v>1667</v>
      </c>
      <c r="E243" t="s">
        <v>106</v>
      </c>
      <c r="F243" s="9" t="s">
        <v>120</v>
      </c>
      <c r="G243" s="38" t="s">
        <v>112</v>
      </c>
      <c r="H243" s="7" t="s">
        <v>199</v>
      </c>
      <c r="I243" s="7" t="s">
        <v>2018</v>
      </c>
      <c r="J243" s="7" t="s">
        <v>153</v>
      </c>
      <c r="K243" s="7" t="s">
        <v>2280</v>
      </c>
      <c r="L243" s="7" t="s">
        <v>225</v>
      </c>
      <c r="M243" s="7" t="s">
        <v>2523</v>
      </c>
      <c r="N243" s="7" t="s">
        <v>1023</v>
      </c>
      <c r="O243" s="18" t="s">
        <v>2803</v>
      </c>
      <c r="P243" s="7" t="s">
        <v>3090</v>
      </c>
      <c r="Q243" s="7" t="s">
        <v>3894</v>
      </c>
      <c r="R243" s="7" t="s">
        <v>4761</v>
      </c>
      <c r="S243" s="7" t="s">
        <v>3623</v>
      </c>
      <c r="T243" s="7" t="s">
        <v>4197</v>
      </c>
      <c r="U243" s="7" t="s">
        <v>4467</v>
      </c>
    </row>
    <row r="244" spans="4:21" ht="102">
      <c r="D244" t="s">
        <v>1667</v>
      </c>
      <c r="E244" t="s">
        <v>106</v>
      </c>
      <c r="F244" s="9" t="s">
        <v>521</v>
      </c>
      <c r="G244" s="38" t="s">
        <v>112</v>
      </c>
      <c r="H244" s="7" t="s">
        <v>942</v>
      </c>
      <c r="I244" s="7" t="s">
        <v>2019</v>
      </c>
      <c r="J244" s="7" t="s">
        <v>1127</v>
      </c>
      <c r="K244" s="7" t="s">
        <v>2281</v>
      </c>
      <c r="L244" s="7" t="s">
        <v>1331</v>
      </c>
      <c r="M244" s="7" t="s">
        <v>2524</v>
      </c>
      <c r="N244" s="7" t="s">
        <v>1023</v>
      </c>
      <c r="O244" s="18" t="s">
        <v>2803</v>
      </c>
      <c r="P244" s="7" t="s">
        <v>3091</v>
      </c>
      <c r="Q244" s="7" t="s">
        <v>3895</v>
      </c>
      <c r="R244" s="7" t="s">
        <v>4761</v>
      </c>
      <c r="S244" s="7" t="s">
        <v>3624</v>
      </c>
      <c r="T244" s="7" t="s">
        <v>4198</v>
      </c>
      <c r="U244" s="7" t="s">
        <v>4468</v>
      </c>
    </row>
    <row r="245" spans="4:21" ht="102">
      <c r="D245" t="s">
        <v>1667</v>
      </c>
      <c r="E245" t="s">
        <v>106</v>
      </c>
      <c r="F245" s="9" t="s">
        <v>522</v>
      </c>
      <c r="G245" s="38" t="s">
        <v>788</v>
      </c>
      <c r="H245" s="7" t="s">
        <v>988</v>
      </c>
      <c r="I245" s="7" t="s">
        <v>2020</v>
      </c>
      <c r="J245" s="7" t="s">
        <v>1194</v>
      </c>
      <c r="K245" s="18" t="s">
        <v>2282</v>
      </c>
      <c r="L245" s="7" t="s">
        <v>1332</v>
      </c>
      <c r="M245" s="7" t="s">
        <v>2525</v>
      </c>
      <c r="N245" s="7" t="s">
        <v>1580</v>
      </c>
      <c r="O245" s="18" t="s">
        <v>2804</v>
      </c>
      <c r="P245" s="7" t="s">
        <v>3092</v>
      </c>
      <c r="Q245" s="7" t="s">
        <v>3896</v>
      </c>
      <c r="R245" s="7" t="s">
        <v>4762</v>
      </c>
      <c r="S245" s="7" t="s">
        <v>3409</v>
      </c>
      <c r="T245" s="7" t="s">
        <v>4199</v>
      </c>
      <c r="U245" s="7" t="s">
        <v>4544</v>
      </c>
    </row>
    <row r="246" spans="4:21" ht="102">
      <c r="D246" t="s">
        <v>1667</v>
      </c>
      <c r="E246" t="s">
        <v>106</v>
      </c>
      <c r="F246" s="9" t="s">
        <v>523</v>
      </c>
      <c r="G246" s="38" t="s">
        <v>789</v>
      </c>
      <c r="H246" s="7" t="s">
        <v>989</v>
      </c>
      <c r="I246" s="7" t="s">
        <v>2021</v>
      </c>
      <c r="J246" s="7" t="s">
        <v>1195</v>
      </c>
      <c r="K246" s="7" t="s">
        <v>2283</v>
      </c>
      <c r="L246" s="7" t="s">
        <v>1386</v>
      </c>
      <c r="M246" s="18" t="s">
        <v>2526</v>
      </c>
      <c r="N246" s="7" t="s">
        <v>1581</v>
      </c>
      <c r="O246" s="18" t="s">
        <v>2805</v>
      </c>
      <c r="P246" s="7" t="s">
        <v>3093</v>
      </c>
      <c r="Q246" s="7" t="s">
        <v>3897</v>
      </c>
      <c r="R246" s="7" t="s">
        <v>4763</v>
      </c>
      <c r="S246" s="7" t="s">
        <v>3625</v>
      </c>
      <c r="T246" s="7" t="s">
        <v>4200</v>
      </c>
      <c r="U246" s="7" t="s">
        <v>4545</v>
      </c>
    </row>
    <row r="247" spans="4:21" ht="102">
      <c r="D247" t="s">
        <v>1667</v>
      </c>
      <c r="E247" t="s">
        <v>106</v>
      </c>
      <c r="F247" s="9" t="s">
        <v>524</v>
      </c>
      <c r="G247" s="38" t="s">
        <v>790</v>
      </c>
      <c r="H247" s="7" t="s">
        <v>943</v>
      </c>
      <c r="I247" s="7" t="s">
        <v>2022</v>
      </c>
      <c r="J247" s="7" t="s">
        <v>1128</v>
      </c>
      <c r="K247" s="18" t="s">
        <v>2284</v>
      </c>
      <c r="L247" s="7" t="s">
        <v>1333</v>
      </c>
      <c r="M247" s="18" t="s">
        <v>2527</v>
      </c>
      <c r="N247" s="7" t="s">
        <v>1582</v>
      </c>
      <c r="O247" s="18" t="s">
        <v>2806</v>
      </c>
      <c r="P247" s="7" t="s">
        <v>3094</v>
      </c>
      <c r="Q247" s="7" t="s">
        <v>3898</v>
      </c>
      <c r="R247" s="7" t="s">
        <v>4764</v>
      </c>
      <c r="S247" s="7" t="s">
        <v>3631</v>
      </c>
      <c r="T247" s="7" t="s">
        <v>4201</v>
      </c>
      <c r="U247" s="7" t="s">
        <v>4469</v>
      </c>
    </row>
    <row r="248" spans="4:21" ht="102">
      <c r="D248" t="s">
        <v>1667</v>
      </c>
      <c r="E248" t="s">
        <v>106</v>
      </c>
      <c r="F248" s="9" t="s">
        <v>525</v>
      </c>
      <c r="G248" s="38" t="s">
        <v>791</v>
      </c>
      <c r="H248" s="7" t="s">
        <v>872</v>
      </c>
      <c r="I248" s="7" t="s">
        <v>2023</v>
      </c>
      <c r="J248" s="7" t="s">
        <v>1196</v>
      </c>
      <c r="K248" s="7" t="s">
        <v>2285</v>
      </c>
      <c r="L248" s="7" t="s">
        <v>1334</v>
      </c>
      <c r="M248" s="7" t="s">
        <v>2528</v>
      </c>
      <c r="N248" s="7" t="s">
        <v>1583</v>
      </c>
      <c r="O248" s="18" t="s">
        <v>2807</v>
      </c>
      <c r="P248" s="7" t="s">
        <v>3028</v>
      </c>
      <c r="Q248" s="7" t="s">
        <v>3899</v>
      </c>
      <c r="R248" s="7" t="s">
        <v>4765</v>
      </c>
      <c r="S248" s="7" t="s">
        <v>3595</v>
      </c>
      <c r="T248" s="7" t="s">
        <v>4202</v>
      </c>
      <c r="U248" s="7" t="s">
        <v>3658</v>
      </c>
    </row>
    <row r="249" spans="4:21" ht="68">
      <c r="D249" t="s">
        <v>1667</v>
      </c>
      <c r="E249" t="s">
        <v>105</v>
      </c>
      <c r="F249" s="9" t="s">
        <v>121</v>
      </c>
      <c r="G249" s="38" t="s">
        <v>115</v>
      </c>
      <c r="H249" s="7" t="s">
        <v>154</v>
      </c>
      <c r="I249" s="7" t="s">
        <v>184</v>
      </c>
      <c r="J249" s="7" t="s">
        <v>154</v>
      </c>
      <c r="K249" s="7" t="s">
        <v>184</v>
      </c>
      <c r="L249" s="7" t="s">
        <v>154</v>
      </c>
      <c r="M249" s="7" t="s">
        <v>184</v>
      </c>
      <c r="N249" s="7" t="s">
        <v>300</v>
      </c>
      <c r="O249" s="7" t="s">
        <v>2808</v>
      </c>
      <c r="P249" s="7" t="s">
        <v>3095</v>
      </c>
      <c r="Q249" s="7" t="s">
        <v>3900</v>
      </c>
      <c r="R249" s="7" t="s">
        <v>4766</v>
      </c>
      <c r="S249" s="7" t="s">
        <v>3410</v>
      </c>
      <c r="T249" s="7" t="s">
        <v>4203</v>
      </c>
      <c r="U249" s="7" t="s">
        <v>3659</v>
      </c>
    </row>
    <row r="250" spans="4:21" ht="68">
      <c r="D250" t="s">
        <v>1667</v>
      </c>
      <c r="E250" t="s">
        <v>105</v>
      </c>
      <c r="F250" s="9" t="s">
        <v>526</v>
      </c>
      <c r="G250" s="38" t="s">
        <v>792</v>
      </c>
      <c r="H250" s="7" t="s">
        <v>873</v>
      </c>
      <c r="I250" s="7" t="s">
        <v>2024</v>
      </c>
      <c r="J250" s="7" t="s">
        <v>1227</v>
      </c>
      <c r="K250" s="7" t="s">
        <v>2286</v>
      </c>
      <c r="L250" s="7" t="s">
        <v>874</v>
      </c>
      <c r="M250" s="7" t="s">
        <v>2025</v>
      </c>
      <c r="N250" s="7" t="s">
        <v>1498</v>
      </c>
      <c r="O250" s="19" t="s">
        <v>2809</v>
      </c>
      <c r="P250" s="7" t="s">
        <v>3096</v>
      </c>
      <c r="Q250" s="7" t="s">
        <v>3901</v>
      </c>
      <c r="R250" s="7" t="s">
        <v>4767</v>
      </c>
      <c r="S250" s="7" t="s">
        <v>3411</v>
      </c>
      <c r="T250" s="7" t="s">
        <v>4204</v>
      </c>
      <c r="U250" s="7" t="s">
        <v>4470</v>
      </c>
    </row>
    <row r="251" spans="4:21" ht="68">
      <c r="D251" t="s">
        <v>1667</v>
      </c>
      <c r="E251" t="s">
        <v>105</v>
      </c>
      <c r="F251" s="9" t="s">
        <v>527</v>
      </c>
      <c r="G251" s="38" t="s">
        <v>793</v>
      </c>
      <c r="H251" s="7" t="s">
        <v>874</v>
      </c>
      <c r="I251" s="7" t="s">
        <v>2025</v>
      </c>
      <c r="J251" s="7" t="s">
        <v>1129</v>
      </c>
      <c r="K251" s="7" t="s">
        <v>2287</v>
      </c>
      <c r="L251" s="7" t="s">
        <v>1129</v>
      </c>
      <c r="M251" s="7" t="s">
        <v>2287</v>
      </c>
      <c r="N251" s="7" t="s">
        <v>1499</v>
      </c>
      <c r="O251" s="19" t="s">
        <v>2810</v>
      </c>
      <c r="P251" s="7" t="s">
        <v>3299</v>
      </c>
      <c r="Q251" s="7" t="s">
        <v>3902</v>
      </c>
      <c r="R251" s="7" t="s">
        <v>4768</v>
      </c>
      <c r="S251" s="7" t="s">
        <v>3412</v>
      </c>
      <c r="T251" s="7" t="s">
        <v>4205</v>
      </c>
      <c r="U251" s="7" t="s">
        <v>3660</v>
      </c>
    </row>
    <row r="252" spans="4:21" ht="68">
      <c r="D252" t="s">
        <v>1667</v>
      </c>
      <c r="E252" t="s">
        <v>105</v>
      </c>
      <c r="F252" s="9" t="s">
        <v>528</v>
      </c>
      <c r="G252" s="38" t="s">
        <v>794</v>
      </c>
      <c r="H252" s="7" t="s">
        <v>944</v>
      </c>
      <c r="I252" s="7" t="s">
        <v>2026</v>
      </c>
      <c r="J252" s="7" t="s">
        <v>1130</v>
      </c>
      <c r="K252" s="7" t="s">
        <v>2288</v>
      </c>
      <c r="L252" s="7" t="s">
        <v>1387</v>
      </c>
      <c r="M252" s="7" t="s">
        <v>2529</v>
      </c>
      <c r="N252" s="7" t="s">
        <v>1500</v>
      </c>
      <c r="O252" s="19" t="s">
        <v>2811</v>
      </c>
      <c r="P252" s="7" t="s">
        <v>3097</v>
      </c>
      <c r="Q252" s="7" t="s">
        <v>3903</v>
      </c>
      <c r="R252" s="7" t="s">
        <v>4769</v>
      </c>
      <c r="S252" s="7" t="s">
        <v>3413</v>
      </c>
      <c r="T252" s="7" t="s">
        <v>4206</v>
      </c>
      <c r="U252" s="7" t="s">
        <v>2809</v>
      </c>
    </row>
    <row r="253" spans="4:21" ht="68">
      <c r="D253" t="s">
        <v>1667</v>
      </c>
      <c r="E253" t="s">
        <v>105</v>
      </c>
      <c r="F253" s="9" t="s">
        <v>529</v>
      </c>
      <c r="G253" s="38" t="s">
        <v>795</v>
      </c>
      <c r="H253" s="7" t="s">
        <v>945</v>
      </c>
      <c r="I253" s="7" t="s">
        <v>2027</v>
      </c>
      <c r="J253" s="7" t="s">
        <v>945</v>
      </c>
      <c r="K253" s="7" t="s">
        <v>2027</v>
      </c>
      <c r="L253" s="7" t="s">
        <v>945</v>
      </c>
      <c r="M253" s="7" t="s">
        <v>2027</v>
      </c>
      <c r="N253" s="7" t="s">
        <v>1501</v>
      </c>
      <c r="O253" s="19" t="s">
        <v>2812</v>
      </c>
      <c r="P253" s="7" t="s">
        <v>3098</v>
      </c>
      <c r="Q253" s="7" t="s">
        <v>3904</v>
      </c>
      <c r="R253" s="7" t="s">
        <v>4770</v>
      </c>
      <c r="S253" s="7" t="s">
        <v>3414</v>
      </c>
      <c r="T253" s="7" t="s">
        <v>2809</v>
      </c>
      <c r="U253" s="7" t="s">
        <v>4471</v>
      </c>
    </row>
    <row r="254" spans="4:21" ht="68">
      <c r="D254" t="s">
        <v>1667</v>
      </c>
      <c r="E254" t="s">
        <v>105</v>
      </c>
      <c r="F254" s="9" t="s">
        <v>530</v>
      </c>
      <c r="G254" s="38" t="s">
        <v>796</v>
      </c>
      <c r="H254" s="7" t="s">
        <v>873</v>
      </c>
      <c r="I254" s="7" t="s">
        <v>2024</v>
      </c>
      <c r="J254" s="7" t="s">
        <v>1131</v>
      </c>
      <c r="K254" s="7" t="s">
        <v>2289</v>
      </c>
      <c r="L254" s="7" t="s">
        <v>874</v>
      </c>
      <c r="M254" s="7" t="s">
        <v>2025</v>
      </c>
      <c r="N254" s="7" t="s">
        <v>1502</v>
      </c>
      <c r="O254" s="7" t="s">
        <v>2813</v>
      </c>
      <c r="P254" s="7" t="s">
        <v>3099</v>
      </c>
      <c r="Q254" s="7" t="s">
        <v>3905</v>
      </c>
      <c r="R254" s="7" t="s">
        <v>3645</v>
      </c>
      <c r="S254" s="7" t="s">
        <v>3415</v>
      </c>
      <c r="T254" s="7" t="s">
        <v>4207</v>
      </c>
      <c r="U254" s="7" t="s">
        <v>4472</v>
      </c>
    </row>
    <row r="255" spans="4:21" ht="51">
      <c r="D255" t="s">
        <v>1667</v>
      </c>
      <c r="E255" t="s">
        <v>105</v>
      </c>
      <c r="F255" s="9" t="s">
        <v>122</v>
      </c>
      <c r="G255" s="38" t="s">
        <v>114</v>
      </c>
      <c r="H255" s="7" t="s">
        <v>168</v>
      </c>
      <c r="I255" s="7" t="s">
        <v>2028</v>
      </c>
      <c r="J255" s="7" t="s">
        <v>168</v>
      </c>
      <c r="K255" s="7" t="s">
        <v>2028</v>
      </c>
      <c r="L255" s="7" t="s">
        <v>168</v>
      </c>
      <c r="M255" s="7" t="s">
        <v>2028</v>
      </c>
      <c r="N255" s="7" t="s">
        <v>301</v>
      </c>
      <c r="O255" s="18" t="s">
        <v>2814</v>
      </c>
      <c r="P255" s="7" t="s">
        <v>3197</v>
      </c>
      <c r="Q255" s="7" t="s">
        <v>3906</v>
      </c>
      <c r="R255" s="7" t="s">
        <v>4771</v>
      </c>
      <c r="S255" s="7" t="s">
        <v>3416</v>
      </c>
      <c r="T255" s="7" t="s">
        <v>4208</v>
      </c>
      <c r="U255" s="7" t="s">
        <v>4472</v>
      </c>
    </row>
    <row r="256" spans="4:21" ht="51">
      <c r="D256" t="s">
        <v>1667</v>
      </c>
      <c r="E256" t="s">
        <v>105</v>
      </c>
      <c r="F256" s="9" t="s">
        <v>531</v>
      </c>
      <c r="G256" s="38" t="s">
        <v>797</v>
      </c>
      <c r="H256" s="7" t="s">
        <v>990</v>
      </c>
      <c r="I256" s="7" t="s">
        <v>2029</v>
      </c>
      <c r="J256" s="7" t="s">
        <v>168</v>
      </c>
      <c r="K256" s="7" t="s">
        <v>2028</v>
      </c>
      <c r="L256" s="7" t="s">
        <v>1388</v>
      </c>
      <c r="M256" s="19" t="s">
        <v>2530</v>
      </c>
      <c r="N256" s="7" t="s">
        <v>1584</v>
      </c>
      <c r="O256" s="18" t="s">
        <v>2815</v>
      </c>
      <c r="P256" s="7" t="s">
        <v>3198</v>
      </c>
      <c r="Q256" s="7" t="s">
        <v>3907</v>
      </c>
      <c r="R256" s="7" t="s">
        <v>4772</v>
      </c>
      <c r="S256" s="7" t="s">
        <v>3417</v>
      </c>
      <c r="T256" s="7" t="s">
        <v>4209</v>
      </c>
      <c r="U256" s="7" t="s">
        <v>4472</v>
      </c>
    </row>
    <row r="257" spans="4:21" ht="51">
      <c r="D257" t="s">
        <v>1667</v>
      </c>
      <c r="E257" t="s">
        <v>105</v>
      </c>
      <c r="F257" s="9" t="s">
        <v>532</v>
      </c>
      <c r="G257" s="38" t="s">
        <v>114</v>
      </c>
      <c r="H257" s="7" t="s">
        <v>991</v>
      </c>
      <c r="I257" s="7" t="s">
        <v>2030</v>
      </c>
      <c r="J257" s="7" t="s">
        <v>168</v>
      </c>
      <c r="K257" s="7" t="s">
        <v>2028</v>
      </c>
      <c r="L257" s="7" t="s">
        <v>1389</v>
      </c>
      <c r="M257" s="19" t="s">
        <v>2531</v>
      </c>
      <c r="N257" s="7" t="s">
        <v>1650</v>
      </c>
      <c r="O257" s="18" t="s">
        <v>2816</v>
      </c>
      <c r="P257" s="7" t="s">
        <v>3199</v>
      </c>
      <c r="Q257" s="7" t="s">
        <v>3908</v>
      </c>
      <c r="R257" s="7" t="s">
        <v>4773</v>
      </c>
      <c r="S257" s="7" t="s">
        <v>3416</v>
      </c>
      <c r="T257" s="7" t="s">
        <v>4208</v>
      </c>
      <c r="U257" s="7" t="s">
        <v>4473</v>
      </c>
    </row>
    <row r="258" spans="4:21" ht="51">
      <c r="D258" t="s">
        <v>1667</v>
      </c>
      <c r="E258" t="s">
        <v>105</v>
      </c>
      <c r="F258" s="9" t="s">
        <v>533</v>
      </c>
      <c r="G258" s="38" t="s">
        <v>798</v>
      </c>
      <c r="H258" s="7" t="s">
        <v>168</v>
      </c>
      <c r="I258" s="7" t="s">
        <v>2028</v>
      </c>
      <c r="J258" s="7" t="s">
        <v>168</v>
      </c>
      <c r="K258" s="7" t="s">
        <v>2028</v>
      </c>
      <c r="L258" s="7" t="s">
        <v>168</v>
      </c>
      <c r="M258" s="7" t="s">
        <v>2028</v>
      </c>
      <c r="N258" s="7" t="s">
        <v>1585</v>
      </c>
      <c r="O258" s="18" t="s">
        <v>2817</v>
      </c>
      <c r="P258" s="7" t="s">
        <v>3200</v>
      </c>
      <c r="Q258" s="7" t="s">
        <v>3909</v>
      </c>
      <c r="R258" s="7" t="s">
        <v>4771</v>
      </c>
      <c r="S258" s="7" t="s">
        <v>3416</v>
      </c>
      <c r="T258" s="7" t="s">
        <v>4208</v>
      </c>
      <c r="U258" s="7" t="s">
        <v>4472</v>
      </c>
    </row>
    <row r="259" spans="4:21" ht="68">
      <c r="D259" t="s">
        <v>1667</v>
      </c>
      <c r="E259" t="s">
        <v>105</v>
      </c>
      <c r="F259" s="9" t="s">
        <v>534</v>
      </c>
      <c r="G259" s="38" t="s">
        <v>797</v>
      </c>
      <c r="H259" s="7" t="s">
        <v>875</v>
      </c>
      <c r="I259" s="19" t="s">
        <v>2031</v>
      </c>
      <c r="J259" s="7" t="s">
        <v>1197</v>
      </c>
      <c r="K259" s="7" t="s">
        <v>2290</v>
      </c>
      <c r="L259" s="7" t="s">
        <v>1390</v>
      </c>
      <c r="M259" s="7" t="s">
        <v>2532</v>
      </c>
      <c r="N259" s="7" t="s">
        <v>1390</v>
      </c>
      <c r="O259" s="7" t="s">
        <v>2532</v>
      </c>
      <c r="P259" s="7" t="s">
        <v>3100</v>
      </c>
      <c r="Q259" s="7" t="s">
        <v>3910</v>
      </c>
      <c r="R259" s="7" t="s">
        <v>4772</v>
      </c>
      <c r="S259" s="7" t="s">
        <v>3512</v>
      </c>
      <c r="T259" s="7" t="s">
        <v>4210</v>
      </c>
      <c r="U259" s="7" t="s">
        <v>4474</v>
      </c>
    </row>
    <row r="260" spans="4:21" ht="51">
      <c r="D260" t="s">
        <v>1667</v>
      </c>
      <c r="E260" t="s">
        <v>105</v>
      </c>
      <c r="F260" s="9" t="s">
        <v>535</v>
      </c>
      <c r="G260" s="38" t="s">
        <v>799</v>
      </c>
      <c r="H260" s="7" t="s">
        <v>946</v>
      </c>
      <c r="I260" s="7" t="s">
        <v>2032</v>
      </c>
      <c r="J260" s="7" t="s">
        <v>1132</v>
      </c>
      <c r="K260" s="7" t="s">
        <v>2291</v>
      </c>
      <c r="L260" s="7" t="s">
        <v>1391</v>
      </c>
      <c r="M260" s="7" t="s">
        <v>2533</v>
      </c>
      <c r="N260" s="7" t="s">
        <v>1651</v>
      </c>
      <c r="O260" s="18" t="s">
        <v>2818</v>
      </c>
      <c r="P260" s="7" t="s">
        <v>3201</v>
      </c>
      <c r="Q260" s="7" t="s">
        <v>3911</v>
      </c>
      <c r="R260" s="7" t="s">
        <v>4774</v>
      </c>
      <c r="S260" s="7" t="s">
        <v>3418</v>
      </c>
      <c r="T260" s="7" t="s">
        <v>4211</v>
      </c>
      <c r="U260" s="7" t="s">
        <v>4475</v>
      </c>
    </row>
    <row r="261" spans="4:21" ht="68">
      <c r="D261" t="s">
        <v>1667</v>
      </c>
      <c r="E261" t="s">
        <v>106</v>
      </c>
      <c r="F261" s="9" t="s">
        <v>123</v>
      </c>
      <c r="G261" s="38" t="s">
        <v>113</v>
      </c>
      <c r="H261" s="7" t="s">
        <v>141</v>
      </c>
      <c r="I261" s="7" t="s">
        <v>185</v>
      </c>
      <c r="J261" s="7" t="s">
        <v>141</v>
      </c>
      <c r="K261" s="7" t="s">
        <v>185</v>
      </c>
      <c r="L261" s="7">
        <v>428</v>
      </c>
      <c r="M261" s="7" t="s">
        <v>2534</v>
      </c>
      <c r="N261" s="7" t="s">
        <v>141</v>
      </c>
      <c r="O261" s="7" t="s">
        <v>185</v>
      </c>
      <c r="P261" s="7" t="s">
        <v>3029</v>
      </c>
      <c r="Q261" s="7" t="s">
        <v>3912</v>
      </c>
      <c r="R261" s="7" t="s">
        <v>4775</v>
      </c>
      <c r="S261" s="7" t="s">
        <v>3334</v>
      </c>
      <c r="T261" s="7" t="s">
        <v>4212</v>
      </c>
      <c r="U261" s="7" t="s">
        <v>4476</v>
      </c>
    </row>
    <row r="262" spans="4:21" ht="51">
      <c r="D262" t="s">
        <v>1667</v>
      </c>
      <c r="E262" t="s">
        <v>106</v>
      </c>
      <c r="F262" s="9" t="s">
        <v>536</v>
      </c>
      <c r="G262" s="38" t="s">
        <v>800</v>
      </c>
      <c r="H262" s="7" t="s">
        <v>141</v>
      </c>
      <c r="I262" s="7" t="s">
        <v>185</v>
      </c>
      <c r="J262" s="7" t="s">
        <v>141</v>
      </c>
      <c r="K262" s="7" t="s">
        <v>185</v>
      </c>
      <c r="L262" s="7" t="s">
        <v>1273</v>
      </c>
      <c r="M262" s="7" t="s">
        <v>2535</v>
      </c>
      <c r="N262" s="7" t="s">
        <v>141</v>
      </c>
      <c r="O262" s="7" t="s">
        <v>185</v>
      </c>
      <c r="P262" s="7" t="s">
        <v>3030</v>
      </c>
      <c r="Q262" s="7" t="s">
        <v>3913</v>
      </c>
      <c r="R262" s="7" t="s">
        <v>4776</v>
      </c>
      <c r="S262" s="7" t="s">
        <v>3335</v>
      </c>
      <c r="T262" s="7" t="s">
        <v>4213</v>
      </c>
      <c r="U262" s="7" t="s">
        <v>3661</v>
      </c>
    </row>
    <row r="263" spans="4:21" ht="68">
      <c r="D263" t="s">
        <v>1667</v>
      </c>
      <c r="E263" t="s">
        <v>106</v>
      </c>
      <c r="F263" s="9" t="s">
        <v>537</v>
      </c>
      <c r="G263" s="38" t="s">
        <v>113</v>
      </c>
      <c r="H263" s="7" t="s">
        <v>876</v>
      </c>
      <c r="I263" s="7" t="s">
        <v>2033</v>
      </c>
      <c r="J263" s="7" t="s">
        <v>1079</v>
      </c>
      <c r="K263" s="7" t="s">
        <v>185</v>
      </c>
      <c r="L263" s="7">
        <v>428</v>
      </c>
      <c r="M263" s="7" t="s">
        <v>2534</v>
      </c>
      <c r="N263" s="7" t="s">
        <v>141</v>
      </c>
      <c r="O263" s="7" t="s">
        <v>185</v>
      </c>
      <c r="P263" s="7" t="s">
        <v>3031</v>
      </c>
      <c r="Q263" s="7" t="s">
        <v>3913</v>
      </c>
      <c r="R263" s="7" t="s">
        <v>4775</v>
      </c>
      <c r="S263" s="7" t="s">
        <v>3334</v>
      </c>
      <c r="T263" s="7" t="s">
        <v>4212</v>
      </c>
      <c r="U263" s="7" t="s">
        <v>4477</v>
      </c>
    </row>
    <row r="264" spans="4:21" ht="68">
      <c r="D264" t="s">
        <v>1667</v>
      </c>
      <c r="E264" t="s">
        <v>106</v>
      </c>
      <c r="F264" s="9" t="s">
        <v>538</v>
      </c>
      <c r="G264" s="38" t="s">
        <v>800</v>
      </c>
      <c r="H264" s="7" t="s">
        <v>877</v>
      </c>
      <c r="I264" s="19" t="s">
        <v>2034</v>
      </c>
      <c r="J264" s="7" t="s">
        <v>141</v>
      </c>
      <c r="K264" s="7" t="s">
        <v>185</v>
      </c>
      <c r="L264" s="7">
        <v>428</v>
      </c>
      <c r="M264" s="7" t="s">
        <v>2534</v>
      </c>
      <c r="N264" s="7" t="s">
        <v>141</v>
      </c>
      <c r="O264" s="7" t="s">
        <v>185</v>
      </c>
      <c r="P264" s="7" t="s">
        <v>3030</v>
      </c>
      <c r="Q264" s="7" t="s">
        <v>3913</v>
      </c>
      <c r="R264" s="7" t="s">
        <v>4777</v>
      </c>
      <c r="S264" s="7" t="s">
        <v>3336</v>
      </c>
      <c r="T264" s="7" t="s">
        <v>4214</v>
      </c>
      <c r="U264" s="7" t="s">
        <v>4478</v>
      </c>
    </row>
    <row r="265" spans="4:21" ht="68">
      <c r="D265" t="s">
        <v>1667</v>
      </c>
      <c r="E265" t="s">
        <v>106</v>
      </c>
      <c r="F265" s="9" t="s">
        <v>539</v>
      </c>
      <c r="G265" s="38" t="s">
        <v>801</v>
      </c>
      <c r="H265" s="7" t="s">
        <v>141</v>
      </c>
      <c r="I265" s="7" t="s">
        <v>185</v>
      </c>
      <c r="J265" s="7" t="s">
        <v>141</v>
      </c>
      <c r="K265" s="7" t="s">
        <v>185</v>
      </c>
      <c r="L265" s="7">
        <v>428</v>
      </c>
      <c r="M265" s="7" t="s">
        <v>2534</v>
      </c>
      <c r="N265" s="7" t="s">
        <v>141</v>
      </c>
      <c r="O265" s="7" t="s">
        <v>185</v>
      </c>
      <c r="P265" s="7" t="s">
        <v>3032</v>
      </c>
      <c r="Q265" s="7" t="s">
        <v>1661</v>
      </c>
      <c r="R265" s="7" t="s">
        <v>4778</v>
      </c>
      <c r="S265" s="7" t="s">
        <v>3337</v>
      </c>
      <c r="T265" s="7" t="s">
        <v>4215</v>
      </c>
      <c r="U265" s="7" t="s">
        <v>4479</v>
      </c>
    </row>
    <row r="266" spans="4:21" ht="68">
      <c r="D266" t="s">
        <v>1667</v>
      </c>
      <c r="E266" t="s">
        <v>106</v>
      </c>
      <c r="F266" s="9" t="s">
        <v>540</v>
      </c>
      <c r="G266" s="38" t="s">
        <v>802</v>
      </c>
      <c r="H266" s="7" t="s">
        <v>141</v>
      </c>
      <c r="I266" s="7" t="s">
        <v>185</v>
      </c>
      <c r="J266" s="7" t="s">
        <v>141</v>
      </c>
      <c r="K266" s="7" t="s">
        <v>185</v>
      </c>
      <c r="L266" s="7">
        <v>428</v>
      </c>
      <c r="M266" s="7" t="s">
        <v>2534</v>
      </c>
      <c r="N266" s="7" t="s">
        <v>141</v>
      </c>
      <c r="O266" s="7" t="s">
        <v>185</v>
      </c>
      <c r="P266" s="7" t="s">
        <v>3033</v>
      </c>
      <c r="Q266" s="7" t="s">
        <v>3914</v>
      </c>
      <c r="R266" s="7" t="s">
        <v>4779</v>
      </c>
      <c r="S266" s="7" t="s">
        <v>3338</v>
      </c>
      <c r="T266" s="7" t="s">
        <v>4216</v>
      </c>
      <c r="U266" s="7" t="s">
        <v>4480</v>
      </c>
    </row>
    <row r="267" spans="4:21" ht="85">
      <c r="D267" t="s">
        <v>1667</v>
      </c>
      <c r="E267" t="s">
        <v>106</v>
      </c>
      <c r="F267" s="9" t="s">
        <v>124</v>
      </c>
      <c r="G267" s="38" t="s">
        <v>803</v>
      </c>
      <c r="H267" s="7" t="s">
        <v>317</v>
      </c>
      <c r="I267" s="19" t="s">
        <v>2035</v>
      </c>
      <c r="J267" s="7" t="s">
        <v>174</v>
      </c>
      <c r="K267" s="7" t="s">
        <v>2292</v>
      </c>
      <c r="L267" s="7" t="s">
        <v>253</v>
      </c>
      <c r="M267" s="7" t="s">
        <v>2536</v>
      </c>
      <c r="N267" s="7" t="s">
        <v>1024</v>
      </c>
      <c r="O267" s="7" t="s">
        <v>2819</v>
      </c>
      <c r="P267" s="7" t="s">
        <v>3300</v>
      </c>
      <c r="Q267" s="7" t="s">
        <v>3915</v>
      </c>
      <c r="R267" s="7" t="s">
        <v>4780</v>
      </c>
      <c r="S267" s="7" t="s">
        <v>3513</v>
      </c>
      <c r="T267" s="7" t="s">
        <v>4217</v>
      </c>
      <c r="U267" s="7" t="s">
        <v>4481</v>
      </c>
    </row>
    <row r="268" spans="4:21" ht="85">
      <c r="D268" t="s">
        <v>1667</v>
      </c>
      <c r="E268" t="s">
        <v>106</v>
      </c>
      <c r="F268" s="9" t="s">
        <v>541</v>
      </c>
      <c r="G268" s="38" t="s">
        <v>804</v>
      </c>
      <c r="H268" s="7" t="s">
        <v>1018</v>
      </c>
      <c r="I268" s="7" t="s">
        <v>2036</v>
      </c>
      <c r="J268" s="7" t="s">
        <v>1221</v>
      </c>
      <c r="K268" s="7" t="s">
        <v>2293</v>
      </c>
      <c r="L268" s="7" t="s">
        <v>1221</v>
      </c>
      <c r="M268" s="7" t="s">
        <v>2293</v>
      </c>
      <c r="N268" s="7" t="s">
        <v>1652</v>
      </c>
      <c r="O268" s="7" t="s">
        <v>2820</v>
      </c>
      <c r="P268" s="7" t="s">
        <v>3301</v>
      </c>
      <c r="Q268" s="7" t="s">
        <v>3916</v>
      </c>
      <c r="R268" s="7" t="s">
        <v>4781</v>
      </c>
      <c r="S268" s="7" t="s">
        <v>3596</v>
      </c>
      <c r="T268" s="7" t="s">
        <v>4218</v>
      </c>
      <c r="U268" s="7" t="s">
        <v>4482</v>
      </c>
    </row>
    <row r="269" spans="4:21" ht="85">
      <c r="D269" t="s">
        <v>1667</v>
      </c>
      <c r="E269" t="s">
        <v>106</v>
      </c>
      <c r="F269" s="9" t="s">
        <v>542</v>
      </c>
      <c r="G269" s="38" t="s">
        <v>805</v>
      </c>
      <c r="H269" s="7" t="s">
        <v>947</v>
      </c>
      <c r="I269" s="7" t="s">
        <v>2037</v>
      </c>
      <c r="J269" s="7" t="s">
        <v>1133</v>
      </c>
      <c r="K269" s="7" t="s">
        <v>2294</v>
      </c>
      <c r="L269" s="7" t="s">
        <v>1133</v>
      </c>
      <c r="M269" s="7" t="s">
        <v>2294</v>
      </c>
      <c r="N269" s="7" t="s">
        <v>1586</v>
      </c>
      <c r="O269" s="7" t="s">
        <v>2821</v>
      </c>
      <c r="P269" s="7" t="s">
        <v>3101</v>
      </c>
      <c r="Q269" s="7" t="s">
        <v>3917</v>
      </c>
      <c r="R269" s="7" t="s">
        <v>4782</v>
      </c>
      <c r="S269" s="7" t="s">
        <v>3514</v>
      </c>
      <c r="T269" s="7" t="s">
        <v>4219</v>
      </c>
      <c r="U269" s="7" t="s">
        <v>4483</v>
      </c>
    </row>
    <row r="270" spans="4:21" ht="85">
      <c r="D270" t="s">
        <v>1667</v>
      </c>
      <c r="E270" t="s">
        <v>106</v>
      </c>
      <c r="F270" s="9" t="s">
        <v>543</v>
      </c>
      <c r="G270" s="38" t="s">
        <v>806</v>
      </c>
      <c r="H270" s="7" t="s">
        <v>1019</v>
      </c>
      <c r="I270" s="7" t="s">
        <v>2038</v>
      </c>
      <c r="J270" s="7" t="s">
        <v>1019</v>
      </c>
      <c r="K270" s="7" t="s">
        <v>2038</v>
      </c>
      <c r="L270" s="7" t="s">
        <v>1410</v>
      </c>
      <c r="M270" s="7" t="s">
        <v>2537</v>
      </c>
      <c r="N270" s="7" t="s">
        <v>1653</v>
      </c>
      <c r="O270" s="7" t="s">
        <v>2822</v>
      </c>
      <c r="P270" s="7" t="s">
        <v>3302</v>
      </c>
      <c r="Q270" s="7" t="s">
        <v>3918</v>
      </c>
      <c r="R270" s="7" t="s">
        <v>4783</v>
      </c>
      <c r="S270" s="7" t="s">
        <v>3597</v>
      </c>
      <c r="T270" s="7" t="s">
        <v>4220</v>
      </c>
      <c r="U270" s="7" t="s">
        <v>4484</v>
      </c>
    </row>
    <row r="271" spans="4:21" ht="102">
      <c r="D271" t="s">
        <v>1667</v>
      </c>
      <c r="E271" t="s">
        <v>106</v>
      </c>
      <c r="F271" s="9" t="s">
        <v>544</v>
      </c>
      <c r="G271" s="38" t="s">
        <v>807</v>
      </c>
      <c r="H271" s="7" t="s">
        <v>948</v>
      </c>
      <c r="I271" s="7" t="s">
        <v>2039</v>
      </c>
      <c r="J271" s="7" t="s">
        <v>1134</v>
      </c>
      <c r="K271" s="7" t="s">
        <v>2295</v>
      </c>
      <c r="L271" s="7" t="s">
        <v>1392</v>
      </c>
      <c r="M271" s="7" t="s">
        <v>2538</v>
      </c>
      <c r="N271" s="7" t="s">
        <v>1503</v>
      </c>
      <c r="O271" s="7" t="s">
        <v>2823</v>
      </c>
      <c r="P271" s="7" t="s">
        <v>3303</v>
      </c>
      <c r="Q271" s="7" t="s">
        <v>3919</v>
      </c>
      <c r="R271" s="7" t="s">
        <v>4784</v>
      </c>
      <c r="S271" s="7" t="s">
        <v>3598</v>
      </c>
      <c r="T271" s="7" t="s">
        <v>4221</v>
      </c>
      <c r="U271" s="7" t="s">
        <v>4481</v>
      </c>
    </row>
    <row r="272" spans="4:21" ht="85">
      <c r="D272" t="s">
        <v>1667</v>
      </c>
      <c r="E272" t="s">
        <v>106</v>
      </c>
      <c r="F272" s="9" t="s">
        <v>545</v>
      </c>
      <c r="G272" s="38" t="s">
        <v>808</v>
      </c>
      <c r="H272" s="7" t="s">
        <v>1020</v>
      </c>
      <c r="I272" s="7" t="s">
        <v>2040</v>
      </c>
      <c r="J272" s="7" t="s">
        <v>1222</v>
      </c>
      <c r="K272" s="7" t="s">
        <v>2296</v>
      </c>
      <c r="L272" s="7" t="s">
        <v>1411</v>
      </c>
      <c r="M272" s="19" t="s">
        <v>2539</v>
      </c>
      <c r="N272" s="7" t="s">
        <v>1654</v>
      </c>
      <c r="O272" s="7" t="s">
        <v>2824</v>
      </c>
      <c r="P272" s="7" t="s">
        <v>3304</v>
      </c>
      <c r="Q272" s="7" t="s">
        <v>3920</v>
      </c>
      <c r="R272" s="7" t="s">
        <v>4785</v>
      </c>
      <c r="S272" s="7" t="s">
        <v>3599</v>
      </c>
      <c r="T272" s="7" t="s">
        <v>4222</v>
      </c>
      <c r="U272" s="7" t="s">
        <v>4485</v>
      </c>
    </row>
    <row r="273" spans="4:21" ht="51">
      <c r="D273" t="s">
        <v>1669</v>
      </c>
      <c r="E273" t="s">
        <v>106</v>
      </c>
      <c r="F273" s="9" t="s">
        <v>125</v>
      </c>
      <c r="G273" s="38" t="s">
        <v>116</v>
      </c>
      <c r="H273" s="7" t="s">
        <v>200</v>
      </c>
      <c r="I273" s="19" t="s">
        <v>2041</v>
      </c>
      <c r="J273" s="7" t="s">
        <v>142</v>
      </c>
      <c r="K273" s="7" t="s">
        <v>186</v>
      </c>
      <c r="L273" s="7" t="s">
        <v>226</v>
      </c>
      <c r="M273" s="19" t="s">
        <v>2540</v>
      </c>
      <c r="N273" s="7" t="s">
        <v>207</v>
      </c>
      <c r="O273" s="19" t="s">
        <v>2825</v>
      </c>
      <c r="P273" s="7" t="s">
        <v>3202</v>
      </c>
      <c r="Q273" s="7" t="s">
        <v>3921</v>
      </c>
      <c r="R273" s="7" t="s">
        <v>3646</v>
      </c>
      <c r="S273" s="7" t="s">
        <v>3515</v>
      </c>
      <c r="T273" s="7" t="s">
        <v>4223</v>
      </c>
      <c r="U273" s="7" t="s">
        <v>4486</v>
      </c>
    </row>
    <row r="274" spans="4:21" ht="68">
      <c r="D274" t="s">
        <v>1669</v>
      </c>
      <c r="E274" t="s">
        <v>106</v>
      </c>
      <c r="F274" s="9" t="s">
        <v>546</v>
      </c>
      <c r="G274" s="38" t="s">
        <v>809</v>
      </c>
      <c r="H274" s="7" t="s">
        <v>200</v>
      </c>
      <c r="I274" s="19" t="s">
        <v>2041</v>
      </c>
      <c r="J274" s="7" t="s">
        <v>142</v>
      </c>
      <c r="K274" s="7" t="s">
        <v>186</v>
      </c>
      <c r="L274" s="7" t="s">
        <v>1274</v>
      </c>
      <c r="M274" s="19" t="s">
        <v>2541</v>
      </c>
      <c r="N274" s="7" t="s">
        <v>1587</v>
      </c>
      <c r="O274" s="19" t="s">
        <v>2826</v>
      </c>
      <c r="P274" s="7" t="s">
        <v>3102</v>
      </c>
      <c r="Q274" s="7" t="s">
        <v>3922</v>
      </c>
      <c r="R274" s="7" t="s">
        <v>4786</v>
      </c>
      <c r="S274" s="7" t="s">
        <v>3516</v>
      </c>
      <c r="T274" s="7" t="s">
        <v>4223</v>
      </c>
      <c r="U274" s="7" t="s">
        <v>4487</v>
      </c>
    </row>
    <row r="275" spans="4:21" ht="68">
      <c r="D275" t="s">
        <v>1669</v>
      </c>
      <c r="E275" t="s">
        <v>106</v>
      </c>
      <c r="F275" s="9" t="s">
        <v>547</v>
      </c>
      <c r="G275" s="38" t="s">
        <v>810</v>
      </c>
      <c r="H275" s="7" t="s">
        <v>878</v>
      </c>
      <c r="I275" s="19" t="s">
        <v>2042</v>
      </c>
      <c r="J275" s="7" t="s">
        <v>1080</v>
      </c>
      <c r="K275" s="7" t="s">
        <v>2297</v>
      </c>
      <c r="L275" s="7" t="s">
        <v>1275</v>
      </c>
      <c r="M275" s="7" t="s">
        <v>2542</v>
      </c>
      <c r="N275" s="7" t="s">
        <v>1454</v>
      </c>
      <c r="O275" s="19" t="s">
        <v>2827</v>
      </c>
      <c r="P275" s="7" t="s">
        <v>3203</v>
      </c>
      <c r="Q275" s="7" t="s">
        <v>3923</v>
      </c>
      <c r="R275" s="7" t="s">
        <v>4787</v>
      </c>
      <c r="S275" s="7" t="s">
        <v>3517</v>
      </c>
      <c r="T275" s="7" t="s">
        <v>4224</v>
      </c>
      <c r="U275" s="7" t="s">
        <v>4485</v>
      </c>
    </row>
    <row r="276" spans="4:21" ht="68">
      <c r="D276" t="s">
        <v>1669</v>
      </c>
      <c r="E276" t="s">
        <v>106</v>
      </c>
      <c r="F276" s="9" t="s">
        <v>548</v>
      </c>
      <c r="G276" s="38" t="s">
        <v>116</v>
      </c>
      <c r="H276" s="7" t="s">
        <v>879</v>
      </c>
      <c r="I276" s="19" t="s">
        <v>2041</v>
      </c>
      <c r="J276" s="7" t="s">
        <v>1081</v>
      </c>
      <c r="K276" s="7" t="s">
        <v>186</v>
      </c>
      <c r="L276" s="7" t="s">
        <v>1276</v>
      </c>
      <c r="M276" s="19" t="s">
        <v>2540</v>
      </c>
      <c r="N276" s="7" t="s">
        <v>1455</v>
      </c>
      <c r="O276" s="19" t="s">
        <v>2828</v>
      </c>
      <c r="P276" s="7" t="s">
        <v>3204</v>
      </c>
      <c r="Q276" s="7" t="s">
        <v>3924</v>
      </c>
      <c r="R276" s="7" t="s">
        <v>3646</v>
      </c>
      <c r="S276" s="7" t="s">
        <v>3518</v>
      </c>
      <c r="T276" s="7" t="s">
        <v>4225</v>
      </c>
      <c r="U276" s="7" t="s">
        <v>4488</v>
      </c>
    </row>
    <row r="277" spans="4:21" ht="68">
      <c r="D277" t="s">
        <v>1669</v>
      </c>
      <c r="E277" t="s">
        <v>106</v>
      </c>
      <c r="F277" s="9" t="s">
        <v>549</v>
      </c>
      <c r="G277" s="38" t="s">
        <v>809</v>
      </c>
      <c r="H277" s="7" t="s">
        <v>880</v>
      </c>
      <c r="I277" s="19" t="s">
        <v>2043</v>
      </c>
      <c r="J277" s="7" t="s">
        <v>1082</v>
      </c>
      <c r="K277" s="19" t="s">
        <v>2298</v>
      </c>
      <c r="L277" s="7" t="s">
        <v>226</v>
      </c>
      <c r="M277" s="19" t="s">
        <v>2540</v>
      </c>
      <c r="N277" s="7" t="s">
        <v>1588</v>
      </c>
      <c r="O277" s="19" t="s">
        <v>2829</v>
      </c>
      <c r="P277" s="7" t="s">
        <v>3205</v>
      </c>
      <c r="Q277" s="7" t="s">
        <v>3925</v>
      </c>
      <c r="R277" s="7" t="s">
        <v>4786</v>
      </c>
      <c r="S277" s="7" t="s">
        <v>3515</v>
      </c>
      <c r="T277" s="7" t="s">
        <v>4223</v>
      </c>
      <c r="U277" s="7" t="s">
        <v>4489</v>
      </c>
    </row>
    <row r="278" spans="4:21" ht="51">
      <c r="D278" t="s">
        <v>1669</v>
      </c>
      <c r="E278" t="s">
        <v>106</v>
      </c>
      <c r="F278" s="9" t="s">
        <v>550</v>
      </c>
      <c r="G278" s="38" t="s">
        <v>811</v>
      </c>
      <c r="H278" s="7" t="s">
        <v>881</v>
      </c>
      <c r="I278" s="7" t="s">
        <v>2044</v>
      </c>
      <c r="J278" s="7" t="s">
        <v>1083</v>
      </c>
      <c r="K278" s="19" t="s">
        <v>2299</v>
      </c>
      <c r="L278" s="7" t="s">
        <v>1277</v>
      </c>
      <c r="M278" s="19" t="s">
        <v>2543</v>
      </c>
      <c r="N278" s="7" t="s">
        <v>1456</v>
      </c>
      <c r="O278" s="7" t="s">
        <v>2830</v>
      </c>
      <c r="P278" s="7" t="s">
        <v>3206</v>
      </c>
      <c r="Q278" s="7" t="s">
        <v>3926</v>
      </c>
      <c r="R278" s="7" t="s">
        <v>4788</v>
      </c>
      <c r="S278" s="7" t="s">
        <v>3519</v>
      </c>
      <c r="T278" s="7" t="s">
        <v>4226</v>
      </c>
      <c r="U278" s="7" t="s">
        <v>4490</v>
      </c>
    </row>
    <row r="279" spans="4:21" ht="68">
      <c r="D279" t="s">
        <v>1667</v>
      </c>
      <c r="E279" t="s">
        <v>1663</v>
      </c>
      <c r="F279" s="9" t="s">
        <v>126</v>
      </c>
      <c r="G279" s="38" t="s">
        <v>812</v>
      </c>
      <c r="H279" s="7" t="s">
        <v>201</v>
      </c>
      <c r="I279" s="19" t="s">
        <v>2045</v>
      </c>
      <c r="J279" s="7" t="s">
        <v>143</v>
      </c>
      <c r="K279" s="19" t="s">
        <v>2300</v>
      </c>
      <c r="L279" s="19" t="s">
        <v>227</v>
      </c>
      <c r="M279" s="19" t="s">
        <v>2544</v>
      </c>
      <c r="N279" s="19" t="s">
        <v>208</v>
      </c>
      <c r="O279" s="19" t="s">
        <v>2831</v>
      </c>
      <c r="P279" s="7" t="s">
        <v>3207</v>
      </c>
      <c r="Q279" s="7" t="s">
        <v>3927</v>
      </c>
      <c r="R279" s="7" t="s">
        <v>4789</v>
      </c>
      <c r="S279" s="7" t="s">
        <v>3520</v>
      </c>
      <c r="T279" s="7" t="s">
        <v>4227</v>
      </c>
      <c r="U279" s="7" t="s">
        <v>4491</v>
      </c>
    </row>
    <row r="280" spans="4:21" ht="51">
      <c r="D280" t="s">
        <v>1667</v>
      </c>
      <c r="E280" t="s">
        <v>1663</v>
      </c>
      <c r="F280" s="9" t="s">
        <v>551</v>
      </c>
      <c r="G280" s="38" t="s">
        <v>813</v>
      </c>
      <c r="H280" s="7" t="s">
        <v>882</v>
      </c>
      <c r="I280" s="19" t="s">
        <v>2046</v>
      </c>
      <c r="J280" s="7" t="s">
        <v>1198</v>
      </c>
      <c r="K280" s="7" t="s">
        <v>2301</v>
      </c>
      <c r="L280" s="7" t="s">
        <v>1278</v>
      </c>
      <c r="M280" s="19" t="s">
        <v>2545</v>
      </c>
      <c r="N280" s="7" t="s">
        <v>1457</v>
      </c>
      <c r="O280" s="7" t="s">
        <v>2832</v>
      </c>
      <c r="P280" s="7" t="s">
        <v>3208</v>
      </c>
      <c r="Q280" s="7" t="s">
        <v>3928</v>
      </c>
      <c r="R280" s="7" t="s">
        <v>4790</v>
      </c>
      <c r="S280" s="7" t="s">
        <v>3521</v>
      </c>
      <c r="T280" s="7" t="s">
        <v>4228</v>
      </c>
      <c r="U280" s="7" t="s">
        <v>4492</v>
      </c>
    </row>
    <row r="281" spans="4:21" ht="51">
      <c r="D281" t="s">
        <v>1667</v>
      </c>
      <c r="E281" t="s">
        <v>1663</v>
      </c>
      <c r="F281" s="9" t="s">
        <v>552</v>
      </c>
      <c r="G281" s="38" t="s">
        <v>814</v>
      </c>
      <c r="H281" s="7">
        <v>1.0000000000000001E+63</v>
      </c>
      <c r="I281" s="19" t="s">
        <v>2047</v>
      </c>
      <c r="J281" s="7" t="s">
        <v>1083</v>
      </c>
      <c r="K281" s="19" t="s">
        <v>2299</v>
      </c>
      <c r="L281" s="7">
        <v>1.0000000000000001E+63</v>
      </c>
      <c r="M281" s="19" t="s">
        <v>2047</v>
      </c>
      <c r="N281" s="7" t="s">
        <v>1504</v>
      </c>
      <c r="O281" s="19" t="s">
        <v>2833</v>
      </c>
      <c r="P281" s="7" t="s">
        <v>3208</v>
      </c>
      <c r="Q281" s="7" t="s">
        <v>3928</v>
      </c>
      <c r="R281" s="7" t="s">
        <v>4791</v>
      </c>
      <c r="S281" s="7" t="s">
        <v>3522</v>
      </c>
      <c r="T281" s="7" t="s">
        <v>4229</v>
      </c>
      <c r="U281" s="7" t="s">
        <v>4493</v>
      </c>
    </row>
    <row r="282" spans="4:21" ht="85">
      <c r="D282" t="s">
        <v>1667</v>
      </c>
      <c r="E282" t="s">
        <v>1663</v>
      </c>
      <c r="F282" s="9" t="s">
        <v>553</v>
      </c>
      <c r="G282" s="38" t="s">
        <v>815</v>
      </c>
      <c r="H282" s="7" t="s">
        <v>883</v>
      </c>
      <c r="I282" s="19" t="s">
        <v>2048</v>
      </c>
      <c r="J282" s="7" t="s">
        <v>1199</v>
      </c>
      <c r="K282" s="19" t="s">
        <v>2302</v>
      </c>
      <c r="L282" s="7" t="s">
        <v>1279</v>
      </c>
      <c r="M282" s="19" t="s">
        <v>2546</v>
      </c>
      <c r="N282" s="7" t="s">
        <v>1589</v>
      </c>
      <c r="O282" s="19" t="s">
        <v>2834</v>
      </c>
      <c r="P282" s="7" t="s">
        <v>3209</v>
      </c>
      <c r="Q282" s="7" t="s">
        <v>3929</v>
      </c>
      <c r="R282" s="7" t="s">
        <v>4792</v>
      </c>
      <c r="S282" s="7" t="s">
        <v>3523</v>
      </c>
      <c r="T282" s="7" t="s">
        <v>4230</v>
      </c>
      <c r="U282" s="7" t="s">
        <v>4494</v>
      </c>
    </row>
    <row r="283" spans="4:21" ht="51">
      <c r="D283" t="s">
        <v>1667</v>
      </c>
      <c r="E283" t="s">
        <v>1663</v>
      </c>
      <c r="F283" s="9" t="s">
        <v>554</v>
      </c>
      <c r="G283" s="38" t="s">
        <v>816</v>
      </c>
      <c r="H283" s="7" t="s">
        <v>884</v>
      </c>
      <c r="I283" s="19" t="s">
        <v>2049</v>
      </c>
      <c r="J283" s="7" t="s">
        <v>1135</v>
      </c>
      <c r="K283" s="7" t="s">
        <v>2303</v>
      </c>
      <c r="L283" s="7" t="s">
        <v>227</v>
      </c>
      <c r="M283" s="19" t="s">
        <v>2544</v>
      </c>
      <c r="N283" s="7" t="s">
        <v>1458</v>
      </c>
      <c r="O283" s="7" t="s">
        <v>2835</v>
      </c>
      <c r="P283" s="7" t="s">
        <v>3208</v>
      </c>
      <c r="Q283" s="7" t="s">
        <v>3928</v>
      </c>
      <c r="R283" s="7" t="s">
        <v>4793</v>
      </c>
      <c r="S283" s="7" t="s">
        <v>3524</v>
      </c>
      <c r="T283" s="7" t="s">
        <v>4231</v>
      </c>
      <c r="U283" s="7" t="s">
        <v>4495</v>
      </c>
    </row>
    <row r="284" spans="4:21" ht="51">
      <c r="D284" t="s">
        <v>1667</v>
      </c>
      <c r="E284" t="s">
        <v>1663</v>
      </c>
      <c r="F284" s="9" t="s">
        <v>555</v>
      </c>
      <c r="G284" s="38" t="s">
        <v>817</v>
      </c>
      <c r="H284" s="7" t="s">
        <v>885</v>
      </c>
      <c r="I284" s="19" t="s">
        <v>2050</v>
      </c>
      <c r="J284" s="7" t="s">
        <v>1200</v>
      </c>
      <c r="K284" s="7" t="s">
        <v>2304</v>
      </c>
      <c r="L284" s="7" t="s">
        <v>1280</v>
      </c>
      <c r="M284" s="19" t="s">
        <v>2547</v>
      </c>
      <c r="N284" s="7" t="s">
        <v>1459</v>
      </c>
      <c r="O284" s="19" t="s">
        <v>2836</v>
      </c>
      <c r="P284" s="7" t="s">
        <v>3210</v>
      </c>
      <c r="Q284" s="7" t="s">
        <v>3930</v>
      </c>
      <c r="R284" s="7" t="s">
        <v>4794</v>
      </c>
      <c r="S284" s="7" t="s">
        <v>3525</v>
      </c>
      <c r="T284" s="7" t="s">
        <v>4232</v>
      </c>
      <c r="U284" s="7" t="s">
        <v>4491</v>
      </c>
    </row>
    <row r="285" spans="4:21" ht="68">
      <c r="D285" t="s">
        <v>1669</v>
      </c>
      <c r="E285" t="s">
        <v>1663</v>
      </c>
      <c r="F285" s="9" t="s">
        <v>127</v>
      </c>
      <c r="G285" s="38" t="s">
        <v>818</v>
      </c>
      <c r="H285" s="7" t="s">
        <v>202</v>
      </c>
      <c r="I285" s="19" t="s">
        <v>2051</v>
      </c>
      <c r="J285" s="7" t="s">
        <v>144</v>
      </c>
      <c r="K285" s="19" t="s">
        <v>187</v>
      </c>
      <c r="L285" s="19" t="s">
        <v>228</v>
      </c>
      <c r="M285" s="19" t="s">
        <v>2548</v>
      </c>
      <c r="N285" s="19" t="s">
        <v>209</v>
      </c>
      <c r="O285" s="19" t="s">
        <v>2837</v>
      </c>
      <c r="P285" s="7" t="s">
        <v>3211</v>
      </c>
      <c r="Q285" s="7" t="s">
        <v>3931</v>
      </c>
      <c r="R285" s="7" t="s">
        <v>4795</v>
      </c>
      <c r="S285" s="7" t="s">
        <v>3526</v>
      </c>
      <c r="T285" s="7" t="s">
        <v>4233</v>
      </c>
      <c r="U285" s="7" t="s">
        <v>4496</v>
      </c>
    </row>
    <row r="286" spans="4:21" ht="68">
      <c r="D286" t="s">
        <v>1669</v>
      </c>
      <c r="E286" t="s">
        <v>1663</v>
      </c>
      <c r="F286" s="9" t="s">
        <v>556</v>
      </c>
      <c r="G286" s="38" t="s">
        <v>819</v>
      </c>
      <c r="H286" s="7" t="s">
        <v>202</v>
      </c>
      <c r="I286" s="19" t="s">
        <v>2051</v>
      </c>
      <c r="J286" s="7" t="s">
        <v>1084</v>
      </c>
      <c r="K286" s="18" t="s">
        <v>2305</v>
      </c>
      <c r="L286" s="7" t="s">
        <v>1281</v>
      </c>
      <c r="M286" s="19" t="s">
        <v>2549</v>
      </c>
      <c r="N286" s="7" t="s">
        <v>1460</v>
      </c>
      <c r="O286" s="19" t="s">
        <v>2838</v>
      </c>
      <c r="P286" s="7" t="s">
        <v>3212</v>
      </c>
      <c r="Q286" s="7" t="s">
        <v>3932</v>
      </c>
      <c r="R286" s="7" t="s">
        <v>4796</v>
      </c>
      <c r="S286" s="7" t="s">
        <v>3339</v>
      </c>
      <c r="T286" s="7" t="s">
        <v>4234</v>
      </c>
      <c r="U286" s="7" t="s">
        <v>4497</v>
      </c>
    </row>
    <row r="287" spans="4:21" ht="68">
      <c r="D287" t="s">
        <v>1669</v>
      </c>
      <c r="E287" t="s">
        <v>1663</v>
      </c>
      <c r="F287" s="9" t="s">
        <v>557</v>
      </c>
      <c r="G287" s="38" t="s">
        <v>820</v>
      </c>
      <c r="H287" s="7" t="s">
        <v>886</v>
      </c>
      <c r="I287" s="19" t="s">
        <v>2052</v>
      </c>
      <c r="J287" s="7" t="s">
        <v>1085</v>
      </c>
      <c r="K287" s="7" t="s">
        <v>2306</v>
      </c>
      <c r="L287" s="7" t="s">
        <v>1282</v>
      </c>
      <c r="M287" s="19" t="s">
        <v>2550</v>
      </c>
      <c r="N287" s="7" t="s">
        <v>1590</v>
      </c>
      <c r="O287" s="18" t="s">
        <v>2839</v>
      </c>
      <c r="P287" s="7" t="s">
        <v>3213</v>
      </c>
      <c r="Q287" s="7" t="s">
        <v>3933</v>
      </c>
      <c r="R287" s="7" t="s">
        <v>4797</v>
      </c>
      <c r="S287" s="7" t="s">
        <v>3527</v>
      </c>
      <c r="T287" s="7" t="s">
        <v>4235</v>
      </c>
      <c r="U287" s="7" t="s">
        <v>4498</v>
      </c>
    </row>
    <row r="288" spans="4:21" ht="85">
      <c r="D288" t="s">
        <v>1669</v>
      </c>
      <c r="E288" t="s">
        <v>1663</v>
      </c>
      <c r="F288" s="9" t="s">
        <v>558</v>
      </c>
      <c r="G288" s="38" t="s">
        <v>821</v>
      </c>
      <c r="H288" s="7" t="s">
        <v>202</v>
      </c>
      <c r="I288" s="19" t="s">
        <v>2051</v>
      </c>
      <c r="J288" s="7" t="s">
        <v>1201</v>
      </c>
      <c r="K288" s="19" t="s">
        <v>2307</v>
      </c>
      <c r="L288" s="7" t="s">
        <v>1283</v>
      </c>
      <c r="M288" s="19" t="s">
        <v>2551</v>
      </c>
      <c r="N288" s="7" t="s">
        <v>1591</v>
      </c>
      <c r="O288" s="19" t="s">
        <v>2840</v>
      </c>
      <c r="P288" s="7" t="s">
        <v>3208</v>
      </c>
      <c r="Q288" s="7" t="s">
        <v>3928</v>
      </c>
      <c r="R288" s="7" t="s">
        <v>4798</v>
      </c>
      <c r="S288" s="7" t="s">
        <v>3340</v>
      </c>
      <c r="T288" s="7" t="s">
        <v>4236</v>
      </c>
      <c r="U288" s="7" t="s">
        <v>4426</v>
      </c>
    </row>
    <row r="289" spans="4:21" ht="51">
      <c r="D289" t="s">
        <v>1669</v>
      </c>
      <c r="E289" t="s">
        <v>1663</v>
      </c>
      <c r="F289" s="9" t="s">
        <v>559</v>
      </c>
      <c r="G289" s="38" t="s">
        <v>822</v>
      </c>
      <c r="H289" s="7" t="s">
        <v>202</v>
      </c>
      <c r="I289" s="19" t="s">
        <v>2051</v>
      </c>
      <c r="J289" s="7" t="s">
        <v>1086</v>
      </c>
      <c r="K289" s="19" t="s">
        <v>2308</v>
      </c>
      <c r="L289" s="7" t="s">
        <v>1284</v>
      </c>
      <c r="M289" s="19" t="s">
        <v>2552</v>
      </c>
      <c r="N289" s="7" t="s">
        <v>1461</v>
      </c>
      <c r="O289" s="18" t="s">
        <v>2841</v>
      </c>
      <c r="P289" s="7" t="s">
        <v>3214</v>
      </c>
      <c r="Q289" s="7" t="s">
        <v>3934</v>
      </c>
      <c r="R289" s="7" t="s">
        <v>4799</v>
      </c>
      <c r="S289" s="7" t="s">
        <v>3527</v>
      </c>
      <c r="T289" s="7" t="s">
        <v>4235</v>
      </c>
      <c r="U289" s="7" t="s">
        <v>4426</v>
      </c>
    </row>
    <row r="290" spans="4:21" ht="68">
      <c r="D290" t="s">
        <v>1669</v>
      </c>
      <c r="E290" t="s">
        <v>1663</v>
      </c>
      <c r="F290" s="9" t="s">
        <v>560</v>
      </c>
      <c r="G290" s="38" t="s">
        <v>823</v>
      </c>
      <c r="H290" s="7" t="s">
        <v>202</v>
      </c>
      <c r="I290" s="19" t="s">
        <v>2051</v>
      </c>
      <c r="J290" s="7" t="s">
        <v>1087</v>
      </c>
      <c r="K290" s="7" t="s">
        <v>2309</v>
      </c>
      <c r="L290" s="7" t="s">
        <v>1285</v>
      </c>
      <c r="M290" s="19" t="s">
        <v>2553</v>
      </c>
      <c r="N290" s="7" t="s">
        <v>1592</v>
      </c>
      <c r="O290" s="18" t="s">
        <v>2842</v>
      </c>
      <c r="P290" s="7" t="s">
        <v>3215</v>
      </c>
      <c r="Q290" s="7" t="s">
        <v>3935</v>
      </c>
      <c r="R290" s="7" t="s">
        <v>4800</v>
      </c>
      <c r="S290" s="7" t="s">
        <v>3521</v>
      </c>
      <c r="T290" s="7" t="s">
        <v>4228</v>
      </c>
      <c r="U290" s="7" t="s">
        <v>4499</v>
      </c>
    </row>
    <row r="291" spans="4:21" ht="85">
      <c r="D291" t="s">
        <v>1667</v>
      </c>
      <c r="E291" t="s">
        <v>1663</v>
      </c>
      <c r="F291" s="9" t="s">
        <v>128</v>
      </c>
      <c r="G291" s="38" t="s">
        <v>824</v>
      </c>
      <c r="H291" s="7" t="s">
        <v>203</v>
      </c>
      <c r="I291" s="7" t="s">
        <v>2053</v>
      </c>
      <c r="J291" s="7" t="s">
        <v>145</v>
      </c>
      <c r="K291" s="7" t="s">
        <v>188</v>
      </c>
      <c r="L291" s="7" t="s">
        <v>229</v>
      </c>
      <c r="M291" s="7" t="s">
        <v>2554</v>
      </c>
      <c r="N291" s="7" t="s">
        <v>302</v>
      </c>
      <c r="O291" s="18" t="s">
        <v>2843</v>
      </c>
      <c r="P291" s="7" t="s">
        <v>3216</v>
      </c>
      <c r="Q291" s="7" t="s">
        <v>3936</v>
      </c>
      <c r="R291" s="7" t="s">
        <v>4801</v>
      </c>
      <c r="S291" s="7" t="s">
        <v>3528</v>
      </c>
      <c r="T291" s="7" t="s">
        <v>4237</v>
      </c>
      <c r="U291" s="7" t="s">
        <v>4500</v>
      </c>
    </row>
    <row r="292" spans="4:21" ht="85">
      <c r="D292" t="s">
        <v>1667</v>
      </c>
      <c r="E292" t="s">
        <v>1663</v>
      </c>
      <c r="F292" s="9" t="s">
        <v>561</v>
      </c>
      <c r="G292" s="38" t="s">
        <v>825</v>
      </c>
      <c r="H292" s="7" t="s">
        <v>887</v>
      </c>
      <c r="I292" s="7" t="s">
        <v>2054</v>
      </c>
      <c r="J292" s="7" t="s">
        <v>1088</v>
      </c>
      <c r="K292" s="7" t="s">
        <v>2310</v>
      </c>
      <c r="L292" s="7" t="s">
        <v>1393</v>
      </c>
      <c r="M292" s="7" t="s">
        <v>2555</v>
      </c>
      <c r="N292" s="7" t="s">
        <v>1593</v>
      </c>
      <c r="O292" s="7" t="s">
        <v>2844</v>
      </c>
      <c r="P292" s="7" t="s">
        <v>3216</v>
      </c>
      <c r="Q292" s="7" t="s">
        <v>3936</v>
      </c>
      <c r="R292" s="7" t="s">
        <v>4802</v>
      </c>
      <c r="S292" s="7" t="s">
        <v>3419</v>
      </c>
      <c r="T292" s="7" t="s">
        <v>4238</v>
      </c>
      <c r="U292" s="7" t="s">
        <v>4501</v>
      </c>
    </row>
    <row r="293" spans="4:21" ht="102">
      <c r="D293" t="s">
        <v>1667</v>
      </c>
      <c r="E293" t="s">
        <v>1663</v>
      </c>
      <c r="F293" s="9" t="s">
        <v>562</v>
      </c>
      <c r="G293" s="38" t="s">
        <v>826</v>
      </c>
      <c r="H293" s="7" t="s">
        <v>888</v>
      </c>
      <c r="I293" s="7" t="s">
        <v>2055</v>
      </c>
      <c r="J293" s="7" t="s">
        <v>1136</v>
      </c>
      <c r="K293" s="7" t="s">
        <v>2311</v>
      </c>
      <c r="L293" s="7" t="s">
        <v>1335</v>
      </c>
      <c r="M293" s="7" t="s">
        <v>2556</v>
      </c>
      <c r="N293" s="7" t="s">
        <v>1505</v>
      </c>
      <c r="O293" s="7" t="s">
        <v>2845</v>
      </c>
      <c r="P293" s="7" t="s">
        <v>3216</v>
      </c>
      <c r="Q293" s="7" t="s">
        <v>3936</v>
      </c>
      <c r="R293" s="7" t="s">
        <v>4803</v>
      </c>
      <c r="S293" s="7" t="s">
        <v>3529</v>
      </c>
      <c r="T293" s="7" t="s">
        <v>4239</v>
      </c>
      <c r="U293" s="7" t="s">
        <v>4502</v>
      </c>
    </row>
    <row r="294" spans="4:21" ht="68">
      <c r="D294" t="s">
        <v>1667</v>
      </c>
      <c r="E294" t="s">
        <v>1663</v>
      </c>
      <c r="F294" s="9" t="s">
        <v>563</v>
      </c>
      <c r="G294" s="38" t="s">
        <v>827</v>
      </c>
      <c r="H294" s="7" t="s">
        <v>992</v>
      </c>
      <c r="I294" s="7" t="s">
        <v>2056</v>
      </c>
      <c r="J294" s="7" t="s">
        <v>1089</v>
      </c>
      <c r="K294" s="7" t="s">
        <v>2312</v>
      </c>
      <c r="L294" s="7" t="s">
        <v>1286</v>
      </c>
      <c r="M294" s="7" t="s">
        <v>2557</v>
      </c>
      <c r="N294" s="7" t="s">
        <v>1594</v>
      </c>
      <c r="O294" s="7" t="s">
        <v>2846</v>
      </c>
      <c r="P294" s="7" t="s">
        <v>3216</v>
      </c>
      <c r="Q294" s="7" t="s">
        <v>3936</v>
      </c>
      <c r="R294" s="7" t="s">
        <v>4804</v>
      </c>
      <c r="S294" s="7" t="s">
        <v>3530</v>
      </c>
      <c r="T294" s="7" t="s">
        <v>4240</v>
      </c>
      <c r="U294" s="7" t="s">
        <v>4503</v>
      </c>
    </row>
    <row r="295" spans="4:21" ht="102">
      <c r="D295" t="s">
        <v>1667</v>
      </c>
      <c r="E295" t="s">
        <v>1663</v>
      </c>
      <c r="F295" s="9" t="s">
        <v>564</v>
      </c>
      <c r="G295" s="38" t="s">
        <v>828</v>
      </c>
      <c r="H295" s="7" t="s">
        <v>949</v>
      </c>
      <c r="I295" s="7" t="s">
        <v>2057</v>
      </c>
      <c r="J295" s="7" t="s">
        <v>1088</v>
      </c>
      <c r="K295" s="7" t="s">
        <v>2310</v>
      </c>
      <c r="L295" s="7" t="s">
        <v>1287</v>
      </c>
      <c r="M295" s="7" t="s">
        <v>2554</v>
      </c>
      <c r="N295" s="7" t="s">
        <v>1595</v>
      </c>
      <c r="O295" s="18" t="s">
        <v>2847</v>
      </c>
      <c r="P295" s="7" t="s">
        <v>3216</v>
      </c>
      <c r="Q295" s="7" t="s">
        <v>3936</v>
      </c>
      <c r="R295" s="7" t="s">
        <v>4805</v>
      </c>
      <c r="S295" s="7" t="s">
        <v>3531</v>
      </c>
      <c r="T295" s="7" t="s">
        <v>4241</v>
      </c>
      <c r="U295" s="7" t="s">
        <v>4504</v>
      </c>
    </row>
    <row r="296" spans="4:21" ht="85">
      <c r="D296" t="s">
        <v>1667</v>
      </c>
      <c r="E296" t="s">
        <v>1663</v>
      </c>
      <c r="F296" s="9" t="s">
        <v>565</v>
      </c>
      <c r="G296" s="38" t="s">
        <v>829</v>
      </c>
      <c r="H296" s="7" t="s">
        <v>993</v>
      </c>
      <c r="I296" s="7" t="s">
        <v>2058</v>
      </c>
      <c r="J296" s="7" t="s">
        <v>1090</v>
      </c>
      <c r="K296" s="7" t="s">
        <v>2313</v>
      </c>
      <c r="L296" s="7" t="s">
        <v>1394</v>
      </c>
      <c r="M296" s="7" t="s">
        <v>2558</v>
      </c>
      <c r="N296" s="7" t="s">
        <v>1596</v>
      </c>
      <c r="O296" s="18" t="s">
        <v>2848</v>
      </c>
      <c r="P296" s="7" t="s">
        <v>3216</v>
      </c>
      <c r="Q296" s="7" t="s">
        <v>3936</v>
      </c>
      <c r="R296" s="7" t="s">
        <v>4801</v>
      </c>
      <c r="S296" s="7" t="s">
        <v>3420</v>
      </c>
      <c r="T296" s="7" t="s">
        <v>4242</v>
      </c>
      <c r="U296" s="7" t="s">
        <v>4505</v>
      </c>
    </row>
    <row r="297" spans="4:21" ht="102">
      <c r="D297" t="s">
        <v>1666</v>
      </c>
      <c r="E297" t="s">
        <v>105</v>
      </c>
      <c r="F297" t="s">
        <v>1414</v>
      </c>
      <c r="G297" s="7" t="s">
        <v>1419</v>
      </c>
      <c r="H297" s="7" t="s">
        <v>1718</v>
      </c>
      <c r="I297" s="19" t="s">
        <v>2059</v>
      </c>
      <c r="J297" s="19" t="s">
        <v>1758</v>
      </c>
      <c r="K297" s="19" t="s">
        <v>2314</v>
      </c>
      <c r="L297" s="19" t="s">
        <v>1759</v>
      </c>
      <c r="M297" s="19" t="s">
        <v>2559</v>
      </c>
      <c r="N297" s="19" t="s">
        <v>1760</v>
      </c>
      <c r="O297" s="19" t="s">
        <v>2849</v>
      </c>
      <c r="P297" s="7" t="s">
        <v>3217</v>
      </c>
      <c r="Q297" s="7" t="s">
        <v>3937</v>
      </c>
      <c r="R297" s="7" t="s">
        <v>4806</v>
      </c>
      <c r="S297" s="7" t="s">
        <v>3532</v>
      </c>
      <c r="T297" s="7" t="s">
        <v>4243</v>
      </c>
      <c r="U297" s="7" t="s">
        <v>4506</v>
      </c>
    </row>
    <row r="298" spans="4:21" ht="85">
      <c r="D298" t="s">
        <v>1666</v>
      </c>
      <c r="E298" t="s">
        <v>105</v>
      </c>
      <c r="F298" t="s">
        <v>1415</v>
      </c>
      <c r="G298" s="7" t="s">
        <v>1420</v>
      </c>
      <c r="H298" s="7" t="s">
        <v>1710</v>
      </c>
      <c r="I298" s="19" t="s">
        <v>2060</v>
      </c>
      <c r="J298" s="19" t="s">
        <v>1761</v>
      </c>
      <c r="K298" s="19" t="s">
        <v>2315</v>
      </c>
      <c r="L298" s="19" t="s">
        <v>1762</v>
      </c>
      <c r="M298" s="19" t="s">
        <v>2560</v>
      </c>
      <c r="N298" s="19" t="s">
        <v>1763</v>
      </c>
      <c r="O298" s="19" t="s">
        <v>2850</v>
      </c>
      <c r="P298" s="7" t="s">
        <v>3218</v>
      </c>
      <c r="Q298" s="7" t="s">
        <v>3938</v>
      </c>
      <c r="R298" s="7" t="s">
        <v>4807</v>
      </c>
      <c r="S298" s="7" t="s">
        <v>3533</v>
      </c>
      <c r="T298" s="7" t="s">
        <v>4244</v>
      </c>
      <c r="U298" s="7" t="s">
        <v>4507</v>
      </c>
    </row>
    <row r="299" spans="4:21" ht="85">
      <c r="D299" t="s">
        <v>1666</v>
      </c>
      <c r="E299" t="s">
        <v>105</v>
      </c>
      <c r="F299" t="s">
        <v>1416</v>
      </c>
      <c r="G299" s="7" t="s">
        <v>1421</v>
      </c>
      <c r="H299" s="7" t="s">
        <v>1719</v>
      </c>
      <c r="I299" s="19" t="s">
        <v>2061</v>
      </c>
      <c r="J299" s="19" t="s">
        <v>1761</v>
      </c>
      <c r="K299" s="19" t="s">
        <v>2315</v>
      </c>
      <c r="L299" s="19" t="s">
        <v>1764</v>
      </c>
      <c r="M299" s="19" t="s">
        <v>2561</v>
      </c>
      <c r="N299" s="19" t="s">
        <v>1765</v>
      </c>
      <c r="O299" s="19" t="s">
        <v>2851</v>
      </c>
      <c r="P299" s="7" t="s">
        <v>3219</v>
      </c>
      <c r="Q299" s="7" t="s">
        <v>3939</v>
      </c>
      <c r="R299" s="7" t="s">
        <v>4808</v>
      </c>
      <c r="S299" s="7" t="s">
        <v>3534</v>
      </c>
      <c r="T299" s="7" t="s">
        <v>4245</v>
      </c>
      <c r="U299" s="7" t="s">
        <v>4508</v>
      </c>
    </row>
    <row r="300" spans="4:21" ht="68">
      <c r="D300" t="s">
        <v>1666</v>
      </c>
      <c r="E300" t="s">
        <v>105</v>
      </c>
      <c r="F300" t="s">
        <v>1417</v>
      </c>
      <c r="G300" s="7" t="s">
        <v>1422</v>
      </c>
      <c r="H300" s="7" t="s">
        <v>1720</v>
      </c>
      <c r="I300" s="19" t="s">
        <v>2062</v>
      </c>
      <c r="J300" s="19" t="s">
        <v>1766</v>
      </c>
      <c r="K300" s="19" t="s">
        <v>2316</v>
      </c>
      <c r="L300" s="19" t="s">
        <v>1767</v>
      </c>
      <c r="M300" s="19" t="s">
        <v>2562</v>
      </c>
      <c r="N300" s="19" t="s">
        <v>1768</v>
      </c>
      <c r="O300" s="19" t="s">
        <v>2852</v>
      </c>
      <c r="P300" s="7" t="s">
        <v>3305</v>
      </c>
      <c r="Q300" s="7" t="s">
        <v>3940</v>
      </c>
      <c r="R300" s="7" t="s">
        <v>4809</v>
      </c>
      <c r="S300" s="7" t="s">
        <v>3535</v>
      </c>
      <c r="T300" s="7" t="s">
        <v>4246</v>
      </c>
      <c r="U300" s="7" t="s">
        <v>4509</v>
      </c>
    </row>
    <row r="301" spans="4:21" ht="85">
      <c r="D301" t="s">
        <v>1666</v>
      </c>
      <c r="E301" t="s">
        <v>105</v>
      </c>
      <c r="F301" t="s">
        <v>1418</v>
      </c>
      <c r="G301" s="7" t="s">
        <v>1423</v>
      </c>
      <c r="H301" s="7" t="s">
        <v>1721</v>
      </c>
      <c r="I301" s="19" t="s">
        <v>2063</v>
      </c>
      <c r="J301" s="19" t="s">
        <v>1769</v>
      </c>
      <c r="K301" s="19" t="s">
        <v>2315</v>
      </c>
      <c r="L301" s="19" t="s">
        <v>1742</v>
      </c>
      <c r="M301" s="19" t="s">
        <v>2563</v>
      </c>
      <c r="N301" s="19" t="s">
        <v>1770</v>
      </c>
      <c r="O301" s="19" t="s">
        <v>2853</v>
      </c>
      <c r="P301" s="7" t="s">
        <v>3306</v>
      </c>
      <c r="Q301" s="7" t="s">
        <v>3941</v>
      </c>
      <c r="R301" s="7" t="s">
        <v>4810</v>
      </c>
      <c r="S301" s="7" t="s">
        <v>3600</v>
      </c>
      <c r="T301" s="7" t="s">
        <v>4247</v>
      </c>
      <c r="U301" s="7" t="s">
        <v>4510</v>
      </c>
    </row>
    <row r="302" spans="4:21" ht="51">
      <c r="D302" t="s">
        <v>1667</v>
      </c>
      <c r="E302" t="s">
        <v>105</v>
      </c>
      <c r="F302" s="9" t="s">
        <v>1435</v>
      </c>
      <c r="G302" s="7" t="s">
        <v>1434</v>
      </c>
      <c r="H302" s="7" t="s">
        <v>35</v>
      </c>
      <c r="I302" s="7" t="s">
        <v>2064</v>
      </c>
      <c r="J302" s="7" t="s">
        <v>1737</v>
      </c>
      <c r="K302" s="7" t="s">
        <v>2317</v>
      </c>
      <c r="L302" s="7" t="s">
        <v>1743</v>
      </c>
      <c r="M302" s="7" t="s">
        <v>2564</v>
      </c>
      <c r="N302" s="7" t="s">
        <v>1745</v>
      </c>
      <c r="O302" s="19" t="s">
        <v>2854</v>
      </c>
      <c r="P302" s="7" t="s">
        <v>3034</v>
      </c>
      <c r="Q302" s="7" t="s">
        <v>3942</v>
      </c>
      <c r="R302" s="7" t="s">
        <v>4510</v>
      </c>
      <c r="S302" s="7" t="s">
        <v>3341</v>
      </c>
      <c r="T302" s="7" t="s">
        <v>3942</v>
      </c>
      <c r="U302" s="7" t="s">
        <v>4511</v>
      </c>
    </row>
    <row r="303" spans="4:21" ht="51">
      <c r="D303" t="s">
        <v>1667</v>
      </c>
      <c r="E303" t="s">
        <v>105</v>
      </c>
      <c r="F303" t="s">
        <v>1424</v>
      </c>
      <c r="G303" s="7" t="s">
        <v>1429</v>
      </c>
      <c r="H303" s="7" t="s">
        <v>35</v>
      </c>
      <c r="I303" s="7" t="s">
        <v>2064</v>
      </c>
      <c r="J303" s="7" t="s">
        <v>1738</v>
      </c>
      <c r="K303" s="7" t="s">
        <v>2318</v>
      </c>
      <c r="L303" s="7" t="s">
        <v>35</v>
      </c>
      <c r="M303" s="7" t="s">
        <v>2064</v>
      </c>
      <c r="N303" s="7" t="s">
        <v>1746</v>
      </c>
      <c r="O303" s="18" t="s">
        <v>2855</v>
      </c>
      <c r="P303" s="7" t="s">
        <v>3035</v>
      </c>
      <c r="Q303" s="7" t="s">
        <v>3943</v>
      </c>
      <c r="R303" s="7" t="s">
        <v>4811</v>
      </c>
      <c r="S303" s="7" t="s">
        <v>3342</v>
      </c>
      <c r="T303" s="7" t="s">
        <v>4248</v>
      </c>
      <c r="U303" s="7" t="s">
        <v>4512</v>
      </c>
    </row>
    <row r="304" spans="4:21" ht="51">
      <c r="D304" t="s">
        <v>1667</v>
      </c>
      <c r="E304" t="s">
        <v>105</v>
      </c>
      <c r="F304" t="s">
        <v>1425</v>
      </c>
      <c r="G304" s="7" t="s">
        <v>1430</v>
      </c>
      <c r="H304" s="7" t="s">
        <v>68</v>
      </c>
      <c r="I304" s="7" t="s">
        <v>1826</v>
      </c>
      <c r="J304" s="7" t="s">
        <v>1229</v>
      </c>
      <c r="K304" s="7" t="s">
        <v>2319</v>
      </c>
      <c r="L304" s="7" t="s">
        <v>35</v>
      </c>
      <c r="M304" s="7" t="s">
        <v>2064</v>
      </c>
      <c r="N304" s="7" t="s">
        <v>35</v>
      </c>
      <c r="O304" s="7" t="s">
        <v>2064</v>
      </c>
      <c r="P304" s="7" t="s">
        <v>3036</v>
      </c>
      <c r="Q304" s="7" t="s">
        <v>3944</v>
      </c>
      <c r="R304" s="7" t="s">
        <v>4811</v>
      </c>
      <c r="S304" s="7" t="s">
        <v>3036</v>
      </c>
      <c r="T304" s="7" t="s">
        <v>3944</v>
      </c>
      <c r="U304" s="7" t="s">
        <v>4513</v>
      </c>
    </row>
    <row r="305" spans="4:21" ht="51">
      <c r="D305" t="s">
        <v>1667</v>
      </c>
      <c r="E305" t="s">
        <v>105</v>
      </c>
      <c r="F305" t="s">
        <v>1426</v>
      </c>
      <c r="G305" s="7" t="s">
        <v>1431</v>
      </c>
      <c r="H305" s="7" t="s">
        <v>73</v>
      </c>
      <c r="I305" s="7" t="s">
        <v>2065</v>
      </c>
      <c r="J305" s="7" t="s">
        <v>1747</v>
      </c>
      <c r="K305" s="7" t="s">
        <v>2320</v>
      </c>
      <c r="L305" s="7" t="s">
        <v>1744</v>
      </c>
      <c r="M305" s="7" t="s">
        <v>2565</v>
      </c>
      <c r="N305" s="7" t="s">
        <v>1748</v>
      </c>
      <c r="O305" s="18" t="s">
        <v>2856</v>
      </c>
      <c r="P305" s="7" t="s">
        <v>3103</v>
      </c>
      <c r="Q305" s="7" t="s">
        <v>3945</v>
      </c>
      <c r="R305" s="7" t="s">
        <v>4812</v>
      </c>
      <c r="S305" s="7" t="s">
        <v>3421</v>
      </c>
      <c r="T305" s="7" t="s">
        <v>4249</v>
      </c>
      <c r="U305" s="7" t="s">
        <v>4510</v>
      </c>
    </row>
    <row r="306" spans="4:21" ht="68">
      <c r="D306" t="s">
        <v>1667</v>
      </c>
      <c r="E306" t="s">
        <v>105</v>
      </c>
      <c r="F306" t="s">
        <v>1427</v>
      </c>
      <c r="G306" s="7" t="s">
        <v>1432</v>
      </c>
      <c r="H306" s="7" t="s">
        <v>1713</v>
      </c>
      <c r="I306" s="7" t="s">
        <v>2066</v>
      </c>
      <c r="J306" s="7" t="s">
        <v>1739</v>
      </c>
      <c r="K306" s="7" t="s">
        <v>2321</v>
      </c>
      <c r="L306" s="7" t="s">
        <v>68</v>
      </c>
      <c r="M306" s="7" t="s">
        <v>1826</v>
      </c>
      <c r="N306" s="7" t="s">
        <v>1749</v>
      </c>
      <c r="O306" s="18" t="s">
        <v>2857</v>
      </c>
      <c r="P306" s="7" t="s">
        <v>3034</v>
      </c>
      <c r="Q306" s="7" t="s">
        <v>3942</v>
      </c>
      <c r="R306" s="7" t="s">
        <v>4813</v>
      </c>
      <c r="S306" s="7" t="s">
        <v>3034</v>
      </c>
      <c r="T306" s="7" t="s">
        <v>3942</v>
      </c>
      <c r="U306" s="7" t="s">
        <v>4514</v>
      </c>
    </row>
    <row r="307" spans="4:21" ht="85">
      <c r="D307" t="s">
        <v>1667</v>
      </c>
      <c r="E307" t="s">
        <v>105</v>
      </c>
      <c r="F307" t="s">
        <v>1428</v>
      </c>
      <c r="G307" s="7" t="s">
        <v>1433</v>
      </c>
      <c r="H307" s="7" t="s">
        <v>1714</v>
      </c>
      <c r="I307" s="7" t="s">
        <v>2067</v>
      </c>
      <c r="J307" s="7" t="s">
        <v>1229</v>
      </c>
      <c r="K307" s="7" t="s">
        <v>2319</v>
      </c>
      <c r="L307" s="7" t="s">
        <v>68</v>
      </c>
      <c r="M307" s="7" t="s">
        <v>1826</v>
      </c>
      <c r="N307" s="7" t="s">
        <v>1750</v>
      </c>
      <c r="O307" s="7" t="s">
        <v>2858</v>
      </c>
      <c r="P307" s="7" t="s">
        <v>3104</v>
      </c>
      <c r="Q307" s="7" t="s">
        <v>3946</v>
      </c>
      <c r="R307" s="7" t="s">
        <v>4814</v>
      </c>
      <c r="S307" s="7" t="s">
        <v>3342</v>
      </c>
      <c r="T307" s="7" t="s">
        <v>4248</v>
      </c>
      <c r="U307" s="7" t="s">
        <v>4546</v>
      </c>
    </row>
    <row r="308" spans="4:21" ht="85">
      <c r="D308" t="s">
        <v>1667</v>
      </c>
      <c r="E308" t="s">
        <v>1662</v>
      </c>
      <c r="F308" t="s">
        <v>1671</v>
      </c>
      <c r="G308" s="7" t="s">
        <v>1676</v>
      </c>
      <c r="H308" s="7" t="s">
        <v>1722</v>
      </c>
      <c r="I308" s="18" t="s">
        <v>2068</v>
      </c>
      <c r="J308" s="7" t="s">
        <v>1771</v>
      </c>
      <c r="K308" s="7" t="s">
        <v>2322</v>
      </c>
      <c r="L308" s="7" t="s">
        <v>1772</v>
      </c>
      <c r="M308" s="18" t="s">
        <v>2566</v>
      </c>
      <c r="N308" s="7" t="s">
        <v>1773</v>
      </c>
      <c r="O308" s="7" t="s">
        <v>2859</v>
      </c>
      <c r="P308" s="7" t="s">
        <v>3220</v>
      </c>
      <c r="Q308" s="7" t="s">
        <v>3947</v>
      </c>
      <c r="R308" s="7" t="s">
        <v>4815</v>
      </c>
      <c r="S308" s="7" t="s">
        <v>3601</v>
      </c>
      <c r="T308" s="7" t="s">
        <v>4250</v>
      </c>
      <c r="U308" s="7" t="s">
        <v>4547</v>
      </c>
    </row>
    <row r="309" spans="4:21" ht="68">
      <c r="D309" t="s">
        <v>1667</v>
      </c>
      <c r="E309" t="s">
        <v>1662</v>
      </c>
      <c r="F309" t="s">
        <v>1672</v>
      </c>
      <c r="G309" s="7" t="s">
        <v>1677</v>
      </c>
      <c r="H309" s="7" t="s">
        <v>1723</v>
      </c>
      <c r="I309" s="7" t="s">
        <v>2069</v>
      </c>
      <c r="J309" s="7" t="s">
        <v>1774</v>
      </c>
      <c r="K309" s="7" t="s">
        <v>2323</v>
      </c>
      <c r="L309" s="7" t="s">
        <v>1775</v>
      </c>
      <c r="M309" s="7" t="s">
        <v>2567</v>
      </c>
      <c r="N309" s="7" t="s">
        <v>1809</v>
      </c>
      <c r="O309" s="7" t="s">
        <v>2860</v>
      </c>
      <c r="P309" s="7" t="s">
        <v>3307</v>
      </c>
      <c r="Q309" s="7" t="s">
        <v>3948</v>
      </c>
      <c r="R309" s="7" t="s">
        <v>4816</v>
      </c>
      <c r="S309" s="7" t="s">
        <v>3626</v>
      </c>
      <c r="T309" s="7" t="s">
        <v>4251</v>
      </c>
      <c r="U309" s="7" t="s">
        <v>4548</v>
      </c>
    </row>
    <row r="310" spans="4:21" ht="68">
      <c r="D310" t="s">
        <v>1667</v>
      </c>
      <c r="E310" t="s">
        <v>1662</v>
      </c>
      <c r="F310" t="s">
        <v>1673</v>
      </c>
      <c r="G310" s="7" t="s">
        <v>1678</v>
      </c>
      <c r="H310" s="7" t="s">
        <v>1724</v>
      </c>
      <c r="I310" s="7" t="s">
        <v>2070</v>
      </c>
      <c r="J310" s="7" t="s">
        <v>1776</v>
      </c>
      <c r="K310" s="7" t="s">
        <v>2324</v>
      </c>
      <c r="L310" s="7" t="s">
        <v>1777</v>
      </c>
      <c r="M310" s="7" t="s">
        <v>2568</v>
      </c>
      <c r="N310" s="7" t="s">
        <v>1778</v>
      </c>
      <c r="O310" s="7" t="s">
        <v>2861</v>
      </c>
      <c r="P310" s="7" t="s">
        <v>3321</v>
      </c>
      <c r="Q310" s="7" t="s">
        <v>3949</v>
      </c>
      <c r="R310" s="7" t="s">
        <v>4817</v>
      </c>
      <c r="S310" s="7" t="s">
        <v>3627</v>
      </c>
      <c r="T310" s="7" t="s">
        <v>4252</v>
      </c>
      <c r="U310" s="7" t="s">
        <v>4549</v>
      </c>
    </row>
    <row r="311" spans="4:21" ht="68">
      <c r="D311" t="s">
        <v>1667</v>
      </c>
      <c r="E311" t="s">
        <v>1662</v>
      </c>
      <c r="F311" t="s">
        <v>1674</v>
      </c>
      <c r="G311" s="7" t="s">
        <v>1679</v>
      </c>
      <c r="H311" s="7" t="s">
        <v>1736</v>
      </c>
      <c r="I311" s="7" t="s">
        <v>2071</v>
      </c>
      <c r="J311" s="7" t="s">
        <v>1779</v>
      </c>
      <c r="K311" s="7" t="s">
        <v>2325</v>
      </c>
      <c r="L311" s="7" t="s">
        <v>1780</v>
      </c>
      <c r="M311" s="7" t="s">
        <v>2569</v>
      </c>
      <c r="N311" s="7" t="s">
        <v>1810</v>
      </c>
      <c r="O311" s="7" t="s">
        <v>2862</v>
      </c>
      <c r="P311" s="7" t="s">
        <v>3320</v>
      </c>
      <c r="Q311" s="7" t="s">
        <v>3950</v>
      </c>
      <c r="R311" s="7" t="s">
        <v>4818</v>
      </c>
      <c r="S311" s="7" t="s">
        <v>3628</v>
      </c>
      <c r="T311" s="7" t="s">
        <v>4253</v>
      </c>
      <c r="U311" s="7" t="s">
        <v>4550</v>
      </c>
    </row>
    <row r="312" spans="4:21" ht="85">
      <c r="D312" t="s">
        <v>1667</v>
      </c>
      <c r="E312" t="s">
        <v>1662</v>
      </c>
      <c r="F312" t="s">
        <v>1675</v>
      </c>
      <c r="G312" s="7" t="s">
        <v>1680</v>
      </c>
      <c r="H312" s="7" t="s">
        <v>1725</v>
      </c>
      <c r="I312" s="18" t="s">
        <v>2072</v>
      </c>
      <c r="J312" s="7" t="s">
        <v>1781</v>
      </c>
      <c r="K312" s="7" t="s">
        <v>2326</v>
      </c>
      <c r="L312" s="7" t="s">
        <v>1782</v>
      </c>
      <c r="M312" s="18" t="s">
        <v>2570</v>
      </c>
      <c r="N312" s="7" t="s">
        <v>1811</v>
      </c>
      <c r="O312" s="18" t="s">
        <v>2863</v>
      </c>
      <c r="P312" s="7" t="s">
        <v>3308</v>
      </c>
      <c r="Q312" s="7" t="s">
        <v>3951</v>
      </c>
      <c r="R312" s="7" t="s">
        <v>4819</v>
      </c>
      <c r="S312" s="7" t="s">
        <v>3629</v>
      </c>
      <c r="T312" s="7" t="s">
        <v>4254</v>
      </c>
      <c r="U312" s="7" t="s">
        <v>4515</v>
      </c>
    </row>
    <row r="313" spans="4:21" ht="102">
      <c r="D313" t="s">
        <v>1667</v>
      </c>
      <c r="E313" t="s">
        <v>106</v>
      </c>
      <c r="F313" t="s">
        <v>1681</v>
      </c>
      <c r="G313" s="7" t="s">
        <v>1696</v>
      </c>
      <c r="H313" s="7" t="s">
        <v>1715</v>
      </c>
      <c r="I313" s="7" t="s">
        <v>2073</v>
      </c>
      <c r="J313" s="7" t="s">
        <v>1740</v>
      </c>
      <c r="K313" s="7" t="s">
        <v>2327</v>
      </c>
      <c r="L313" s="7" t="s">
        <v>1751</v>
      </c>
      <c r="M313" s="7" t="s">
        <v>2571</v>
      </c>
      <c r="N313" s="7" t="s">
        <v>1783</v>
      </c>
      <c r="O313" s="18" t="s">
        <v>2864</v>
      </c>
      <c r="P313" s="7" t="s">
        <v>3037</v>
      </c>
      <c r="Q313" s="7" t="s">
        <v>3952</v>
      </c>
      <c r="R313" s="7" t="s">
        <v>4820</v>
      </c>
      <c r="S313" s="7" t="s">
        <v>3536</v>
      </c>
      <c r="T313" s="7" t="s">
        <v>4255</v>
      </c>
      <c r="U313" s="7" t="s">
        <v>4516</v>
      </c>
    </row>
    <row r="314" spans="4:21" ht="85">
      <c r="D314" t="s">
        <v>1667</v>
      </c>
      <c r="E314" t="s">
        <v>106</v>
      </c>
      <c r="F314" t="s">
        <v>1682</v>
      </c>
      <c r="G314" s="7" t="s">
        <v>1697</v>
      </c>
      <c r="H314" s="7" t="s">
        <v>1711</v>
      </c>
      <c r="I314" s="7" t="s">
        <v>2074</v>
      </c>
      <c r="J314" s="7" t="s">
        <v>1784</v>
      </c>
      <c r="K314" s="7" t="s">
        <v>2328</v>
      </c>
      <c r="L314" s="7" t="s">
        <v>1785</v>
      </c>
      <c r="M314" s="7" t="s">
        <v>2572</v>
      </c>
      <c r="N314" s="7" t="s">
        <v>1786</v>
      </c>
      <c r="O314" s="7" t="s">
        <v>2865</v>
      </c>
      <c r="P314" s="7" t="s">
        <v>3309</v>
      </c>
      <c r="Q314" s="7" t="s">
        <v>3953</v>
      </c>
      <c r="R314" s="7" t="s">
        <v>4821</v>
      </c>
      <c r="S314" s="7" t="s">
        <v>3537</v>
      </c>
      <c r="T314" s="7" t="s">
        <v>4256</v>
      </c>
      <c r="U314" s="7" t="s">
        <v>4517</v>
      </c>
    </row>
    <row r="315" spans="4:21" ht="85">
      <c r="D315" t="s">
        <v>1667</v>
      </c>
      <c r="E315" t="s">
        <v>106</v>
      </c>
      <c r="F315" t="s">
        <v>1683</v>
      </c>
      <c r="G315" s="7" t="s">
        <v>1698</v>
      </c>
      <c r="H315" s="7" t="s">
        <v>1726</v>
      </c>
      <c r="I315" s="7" t="s">
        <v>2075</v>
      </c>
      <c r="J315" s="7" t="s">
        <v>1812</v>
      </c>
      <c r="K315" s="7" t="s">
        <v>2329</v>
      </c>
      <c r="L315" s="7" t="s">
        <v>1812</v>
      </c>
      <c r="M315" s="7" t="s">
        <v>2329</v>
      </c>
      <c r="N315" s="7" t="s">
        <v>1787</v>
      </c>
      <c r="O315" s="7" t="s">
        <v>2866</v>
      </c>
      <c r="P315" s="7" t="s">
        <v>3310</v>
      </c>
      <c r="Q315" s="7" t="s">
        <v>3954</v>
      </c>
      <c r="R315" s="7" t="s">
        <v>4822</v>
      </c>
      <c r="S315" s="7" t="s">
        <v>3602</v>
      </c>
      <c r="T315" s="7" t="s">
        <v>4257</v>
      </c>
      <c r="U315" s="7" t="s">
        <v>4518</v>
      </c>
    </row>
    <row r="316" spans="4:21" ht="85">
      <c r="D316" t="s">
        <v>1667</v>
      </c>
      <c r="E316" t="s">
        <v>106</v>
      </c>
      <c r="F316" t="s">
        <v>1684</v>
      </c>
      <c r="G316" s="7" t="s">
        <v>1699</v>
      </c>
      <c r="H316" s="7" t="s">
        <v>1716</v>
      </c>
      <c r="I316" s="7" t="s">
        <v>2076</v>
      </c>
      <c r="J316" s="7" t="s">
        <v>1788</v>
      </c>
      <c r="K316" s="7" t="s">
        <v>2330</v>
      </c>
      <c r="L316" s="7" t="s">
        <v>1813</v>
      </c>
      <c r="M316" s="7" t="s">
        <v>2573</v>
      </c>
      <c r="N316" s="7" t="s">
        <v>1789</v>
      </c>
      <c r="O316" s="7" t="s">
        <v>2867</v>
      </c>
      <c r="P316" s="7" t="s">
        <v>3311</v>
      </c>
      <c r="Q316" s="7" t="s">
        <v>3955</v>
      </c>
      <c r="R316" s="7" t="s">
        <v>4823</v>
      </c>
      <c r="S316" s="7" t="s">
        <v>3603</v>
      </c>
      <c r="T316" s="7" t="s">
        <v>4258</v>
      </c>
      <c r="U316" s="7" t="s">
        <v>4519</v>
      </c>
    </row>
    <row r="317" spans="4:21" ht="85">
      <c r="D317" t="s">
        <v>1667</v>
      </c>
      <c r="E317" t="s">
        <v>106</v>
      </c>
      <c r="F317" t="s">
        <v>1685</v>
      </c>
      <c r="G317" s="7" t="s">
        <v>1700</v>
      </c>
      <c r="H317" s="15" t="s">
        <v>1727</v>
      </c>
      <c r="I317" s="7" t="s">
        <v>2077</v>
      </c>
      <c r="J317" s="7" t="s">
        <v>1752</v>
      </c>
      <c r="K317" s="7" t="s">
        <v>2331</v>
      </c>
      <c r="L317" s="7" t="s">
        <v>1753</v>
      </c>
      <c r="M317" s="7" t="s">
        <v>2574</v>
      </c>
      <c r="N317" s="7" t="s">
        <v>1814</v>
      </c>
      <c r="O317" s="7" t="s">
        <v>2868</v>
      </c>
      <c r="P317" s="7" t="s">
        <v>3221</v>
      </c>
      <c r="Q317" s="7" t="s">
        <v>3956</v>
      </c>
      <c r="R317" s="7" t="s">
        <v>4824</v>
      </c>
      <c r="S317" s="7" t="s">
        <v>3538</v>
      </c>
      <c r="T317" s="7" t="s">
        <v>4259</v>
      </c>
      <c r="U317" s="7" t="s">
        <v>4520</v>
      </c>
    </row>
    <row r="318" spans="4:21" ht="102">
      <c r="D318" t="s">
        <v>1667</v>
      </c>
      <c r="E318" t="s">
        <v>1662</v>
      </c>
      <c r="F318" t="s">
        <v>1686</v>
      </c>
      <c r="G318" s="7" t="s">
        <v>1701</v>
      </c>
      <c r="H318" s="7" t="s">
        <v>1728</v>
      </c>
      <c r="I318" s="7" t="s">
        <v>2078</v>
      </c>
      <c r="J318" s="7" t="s">
        <v>1741</v>
      </c>
      <c r="K318" s="7" t="s">
        <v>2332</v>
      </c>
      <c r="L318" s="7" t="s">
        <v>1790</v>
      </c>
      <c r="M318" s="7" t="s">
        <v>2575</v>
      </c>
      <c r="N318" s="7" t="s">
        <v>1791</v>
      </c>
      <c r="O318" s="7" t="s">
        <v>2869</v>
      </c>
      <c r="P318" s="7" t="s">
        <v>3222</v>
      </c>
      <c r="Q318" s="7" t="s">
        <v>3957</v>
      </c>
      <c r="R318" s="7" t="s">
        <v>3647</v>
      </c>
      <c r="S318" s="7" t="s">
        <v>3539</v>
      </c>
      <c r="T318" s="7" t="s">
        <v>4260</v>
      </c>
      <c r="U318" s="7" t="s">
        <v>4551</v>
      </c>
    </row>
    <row r="319" spans="4:21" ht="85">
      <c r="D319" t="s">
        <v>1667</v>
      </c>
      <c r="E319" t="s">
        <v>1662</v>
      </c>
      <c r="F319" t="s">
        <v>1687</v>
      </c>
      <c r="G319" s="7" t="s">
        <v>1702</v>
      </c>
      <c r="H319" s="7" t="s">
        <v>1729</v>
      </c>
      <c r="I319" s="7" t="s">
        <v>2079</v>
      </c>
      <c r="J319" s="7" t="s">
        <v>1792</v>
      </c>
      <c r="K319" s="7" t="s">
        <v>2333</v>
      </c>
      <c r="L319" s="7" t="s">
        <v>1793</v>
      </c>
      <c r="M319" s="7" t="s">
        <v>2576</v>
      </c>
      <c r="N319" s="7" t="s">
        <v>1815</v>
      </c>
      <c r="O319" s="7" t="s">
        <v>2870</v>
      </c>
      <c r="P319" s="7" t="s">
        <v>3312</v>
      </c>
      <c r="Q319" s="7" t="s">
        <v>3958</v>
      </c>
      <c r="R319" s="7" t="s">
        <v>4825</v>
      </c>
      <c r="S319" s="7" t="s">
        <v>3630</v>
      </c>
      <c r="T319" s="7" t="s">
        <v>4261</v>
      </c>
      <c r="U319" s="7" t="s">
        <v>3662</v>
      </c>
    </row>
    <row r="320" spans="4:21" ht="102">
      <c r="D320" t="s">
        <v>1667</v>
      </c>
      <c r="E320" t="s">
        <v>1662</v>
      </c>
      <c r="F320" t="s">
        <v>1688</v>
      </c>
      <c r="G320" s="7" t="s">
        <v>1703</v>
      </c>
      <c r="H320" s="7" t="s">
        <v>1717</v>
      </c>
      <c r="I320" s="7" t="s">
        <v>2080</v>
      </c>
      <c r="J320" s="7" t="s">
        <v>1794</v>
      </c>
      <c r="K320" s="7" t="s">
        <v>2334</v>
      </c>
      <c r="L320" s="7" t="s">
        <v>1795</v>
      </c>
      <c r="M320" s="7" t="s">
        <v>2577</v>
      </c>
      <c r="N320" s="7" t="s">
        <v>1796</v>
      </c>
      <c r="O320" s="7" t="s">
        <v>2871</v>
      </c>
      <c r="P320" s="7" t="s">
        <v>3313</v>
      </c>
      <c r="Q320" s="7" t="s">
        <v>3959</v>
      </c>
      <c r="R320" s="7" t="s">
        <v>4826</v>
      </c>
      <c r="S320" s="7" t="s">
        <v>3540</v>
      </c>
      <c r="T320" s="7" t="s">
        <v>4262</v>
      </c>
      <c r="U320" s="7" t="s">
        <v>4521</v>
      </c>
    </row>
    <row r="321" spans="4:21" ht="85">
      <c r="D321" t="s">
        <v>1667</v>
      </c>
      <c r="E321" t="s">
        <v>1662</v>
      </c>
      <c r="F321" t="s">
        <v>1689</v>
      </c>
      <c r="G321" s="7" t="s">
        <v>1704</v>
      </c>
      <c r="H321" s="7" t="s">
        <v>1730</v>
      </c>
      <c r="I321" s="19" t="s">
        <v>2081</v>
      </c>
      <c r="J321" s="7" t="s">
        <v>1754</v>
      </c>
      <c r="K321" s="7" t="s">
        <v>2335</v>
      </c>
      <c r="L321" s="7" t="s">
        <v>1755</v>
      </c>
      <c r="M321" s="7" t="s">
        <v>2578</v>
      </c>
      <c r="N321" s="7" t="s">
        <v>1816</v>
      </c>
      <c r="O321" s="7" t="s">
        <v>2872</v>
      </c>
      <c r="P321" s="7" t="s">
        <v>3314</v>
      </c>
      <c r="Q321" s="7" t="s">
        <v>3960</v>
      </c>
      <c r="R321" s="7" t="s">
        <v>4827</v>
      </c>
      <c r="S321" s="7" t="s">
        <v>3541</v>
      </c>
      <c r="T321" s="7" t="s">
        <v>4263</v>
      </c>
      <c r="U321" s="7" t="s">
        <v>4522</v>
      </c>
    </row>
    <row r="322" spans="4:21" ht="102">
      <c r="D322" t="s">
        <v>1667</v>
      </c>
      <c r="E322" t="s">
        <v>1662</v>
      </c>
      <c r="F322" t="s">
        <v>1690</v>
      </c>
      <c r="G322" s="7" t="s">
        <v>1705</v>
      </c>
      <c r="H322" s="7" t="s">
        <v>1712</v>
      </c>
      <c r="I322" s="7" t="s">
        <v>2082</v>
      </c>
      <c r="J322" s="7" t="s">
        <v>1756</v>
      </c>
      <c r="K322" s="7" t="s">
        <v>2336</v>
      </c>
      <c r="L322" s="7" t="s">
        <v>1797</v>
      </c>
      <c r="M322" s="7" t="s">
        <v>2579</v>
      </c>
      <c r="N322" s="7" t="s">
        <v>1817</v>
      </c>
      <c r="O322" s="7" t="s">
        <v>2873</v>
      </c>
      <c r="P322" s="7" t="s">
        <v>3315</v>
      </c>
      <c r="Q322" s="7" t="s">
        <v>3961</v>
      </c>
      <c r="R322" s="7" t="s">
        <v>4828</v>
      </c>
      <c r="S322" s="7" t="s">
        <v>3542</v>
      </c>
      <c r="T322" s="7" t="s">
        <v>4264</v>
      </c>
      <c r="U322" s="7" t="s">
        <v>4523</v>
      </c>
    </row>
    <row r="323" spans="4:21" ht="85">
      <c r="D323" t="s">
        <v>1667</v>
      </c>
      <c r="E323" t="s">
        <v>1662</v>
      </c>
      <c r="F323" t="s">
        <v>1691</v>
      </c>
      <c r="G323" s="7" t="s">
        <v>1706</v>
      </c>
      <c r="H323" s="7" t="s">
        <v>1731</v>
      </c>
      <c r="I323" s="19" t="s">
        <v>2083</v>
      </c>
      <c r="J323" s="7" t="s">
        <v>1798</v>
      </c>
      <c r="K323" s="19" t="s">
        <v>2337</v>
      </c>
      <c r="L323" s="7" t="s">
        <v>1732</v>
      </c>
      <c r="M323" s="19" t="s">
        <v>2084</v>
      </c>
      <c r="N323" s="7" t="s">
        <v>1799</v>
      </c>
      <c r="O323" s="7" t="s">
        <v>2874</v>
      </c>
      <c r="P323" s="7" t="s">
        <v>3223</v>
      </c>
      <c r="Q323" s="7" t="s">
        <v>3962</v>
      </c>
      <c r="R323" s="7" t="s">
        <v>4829</v>
      </c>
      <c r="S323" s="7" t="s">
        <v>3543</v>
      </c>
      <c r="T323" s="7" t="s">
        <v>4265</v>
      </c>
      <c r="U323" s="7" t="s">
        <v>4524</v>
      </c>
    </row>
    <row r="324" spans="4:21" ht="85">
      <c r="D324" t="s">
        <v>1667</v>
      </c>
      <c r="E324" t="s">
        <v>1662</v>
      </c>
      <c r="F324" t="s">
        <v>1692</v>
      </c>
      <c r="G324" s="7" t="s">
        <v>1707</v>
      </c>
      <c r="H324" s="7" t="s">
        <v>1732</v>
      </c>
      <c r="I324" s="19" t="s">
        <v>2084</v>
      </c>
      <c r="J324" s="7" t="s">
        <v>1800</v>
      </c>
      <c r="K324" s="7" t="s">
        <v>2338</v>
      </c>
      <c r="L324" s="7" t="s">
        <v>1801</v>
      </c>
      <c r="M324" s="7" t="s">
        <v>2580</v>
      </c>
      <c r="N324" s="7" t="s">
        <v>1802</v>
      </c>
      <c r="O324" s="19" t="s">
        <v>2875</v>
      </c>
      <c r="P324" s="7" t="s">
        <v>3224</v>
      </c>
      <c r="Q324" s="7" t="s">
        <v>3963</v>
      </c>
      <c r="R324" s="7" t="s">
        <v>4830</v>
      </c>
      <c r="S324" s="7" t="s">
        <v>3544</v>
      </c>
      <c r="T324" s="7" t="s">
        <v>4266</v>
      </c>
      <c r="U324" s="7" t="s">
        <v>4525</v>
      </c>
    </row>
    <row r="325" spans="4:21" ht="85">
      <c r="D325" t="s">
        <v>1667</v>
      </c>
      <c r="E325" t="s">
        <v>1662</v>
      </c>
      <c r="F325" t="s">
        <v>1693</v>
      </c>
      <c r="G325" s="7" t="s">
        <v>1708</v>
      </c>
      <c r="H325" s="7" t="s">
        <v>1733</v>
      </c>
      <c r="I325" s="7" t="s">
        <v>2085</v>
      </c>
      <c r="J325" s="7" t="s">
        <v>1757</v>
      </c>
      <c r="K325" s="19" t="s">
        <v>2339</v>
      </c>
      <c r="L325" s="7" t="s">
        <v>1803</v>
      </c>
      <c r="M325" s="7" t="s">
        <v>2581</v>
      </c>
      <c r="N325" s="7" t="s">
        <v>1804</v>
      </c>
      <c r="O325" s="7" t="s">
        <v>2876</v>
      </c>
      <c r="P325" s="7" t="s">
        <v>3225</v>
      </c>
      <c r="Q325" s="7" t="s">
        <v>3964</v>
      </c>
      <c r="R325" s="7" t="s">
        <v>4831</v>
      </c>
      <c r="S325" s="7" t="s">
        <v>3545</v>
      </c>
      <c r="T325" s="7" t="s">
        <v>4267</v>
      </c>
      <c r="U325" s="7" t="s">
        <v>4526</v>
      </c>
    </row>
    <row r="326" spans="4:21" ht="85">
      <c r="D326" t="s">
        <v>1667</v>
      </c>
      <c r="E326" t="s">
        <v>1662</v>
      </c>
      <c r="F326" t="s">
        <v>1694</v>
      </c>
      <c r="G326" s="7" t="s">
        <v>1709</v>
      </c>
      <c r="H326" s="7" t="s">
        <v>1734</v>
      </c>
      <c r="I326" s="7" t="s">
        <v>2086</v>
      </c>
      <c r="J326" s="7" t="s">
        <v>1805</v>
      </c>
      <c r="K326" s="19" t="s">
        <v>2340</v>
      </c>
      <c r="L326" s="7" t="s">
        <v>1805</v>
      </c>
      <c r="M326" s="19" t="s">
        <v>2340</v>
      </c>
      <c r="N326" s="7" t="s">
        <v>1806</v>
      </c>
      <c r="O326" s="19" t="s">
        <v>2877</v>
      </c>
      <c r="P326" s="7" t="s">
        <v>3226</v>
      </c>
      <c r="Q326" s="7" t="s">
        <v>3965</v>
      </c>
      <c r="R326" s="7" t="s">
        <v>4832</v>
      </c>
      <c r="S326" s="7" t="s">
        <v>3546</v>
      </c>
      <c r="T326" s="7" t="s">
        <v>4268</v>
      </c>
      <c r="U326" s="7" t="s">
        <v>4523</v>
      </c>
    </row>
    <row r="327" spans="4:21" ht="85">
      <c r="D327" t="s">
        <v>1667</v>
      </c>
      <c r="E327" t="s">
        <v>1662</v>
      </c>
      <c r="F327" t="s">
        <v>1695</v>
      </c>
      <c r="G327" s="7" t="s">
        <v>1706</v>
      </c>
      <c r="H327" s="7" t="s">
        <v>1735</v>
      </c>
      <c r="I327" s="7" t="s">
        <v>2087</v>
      </c>
      <c r="J327" s="7" t="s">
        <v>1807</v>
      </c>
      <c r="K327" s="7" t="s">
        <v>2341</v>
      </c>
      <c r="L327" s="7" t="s">
        <v>1805</v>
      </c>
      <c r="M327" s="19" t="s">
        <v>2340</v>
      </c>
      <c r="N327" s="7" t="s">
        <v>1808</v>
      </c>
      <c r="O327" s="7" t="s">
        <v>2878</v>
      </c>
      <c r="P327" s="7" t="s">
        <v>3227</v>
      </c>
      <c r="Q327" s="7" t="s">
        <v>3966</v>
      </c>
      <c r="R327" s="7" t="s">
        <v>4833</v>
      </c>
      <c r="S327" s="7" t="s">
        <v>3543</v>
      </c>
      <c r="T327" s="7" t="s">
        <v>4265</v>
      </c>
      <c r="U327" s="7" t="s">
        <v>3663</v>
      </c>
    </row>
  </sheetData>
  <mergeCells count="8">
    <mergeCell ref="P1:R1"/>
    <mergeCell ref="S1:U1"/>
    <mergeCell ref="A2:B2"/>
    <mergeCell ref="A14:B14"/>
    <mergeCell ref="N1:O1"/>
    <mergeCell ref="L1:M1"/>
    <mergeCell ref="J1:K1"/>
    <mergeCell ref="H1:I1"/>
  </mergeCells>
  <conditionalFormatting sqref="Q1:U1048576">
    <cfRule type="endsWith" dxfId="4" priority="1" stopIfTrue="1" operator="endsWith" text="?">
      <formula>RIGHT(Q1,LEN("?"))="?"</formula>
    </cfRule>
    <cfRule type="containsText" dxfId="3" priority="4" stopIfTrue="1" operator="containsText" text="Norwegian">
      <formula>NOT(ISERROR(SEARCH("Norwegian",Q1)))</formula>
    </cfRule>
    <cfRule type="containsText" dxfId="2" priority="5" stopIfTrue="1" operator="containsText" text="Norway">
      <formula>NOT(ISERROR(SEARCH("Norway",Q1)))</formula>
    </cfRule>
    <cfRule type="containsText" dxfId="1" priority="6" stopIfTrue="1" operator="containsText" text="U.S.">
      <formula>NOT(ISERROR(SEARCH("U.S.",Q1)))</formula>
    </cfRule>
    <cfRule type="containsText" dxfId="0" priority="7" stopIfTrue="1" operator="containsText" text="United States">
      <formula>NOT(ISERROR(SEARCH("United States",Q1)))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D97C3-1B65-E54B-888B-811437B8E1B9}">
  <sheetPr codeName="Sheet3"/>
  <dimension ref="A1:CG327"/>
  <sheetViews>
    <sheetView topLeftCell="AC1" zoomScale="110" zoomScaleNormal="140" workbookViewId="0">
      <selection activeCell="BR31" sqref="BR31"/>
    </sheetView>
  </sheetViews>
  <sheetFormatPr baseColWidth="10" defaultRowHeight="16"/>
  <cols>
    <col min="1" max="1" width="13" bestFit="1" customWidth="1"/>
    <col min="2" max="2" width="12.5" bestFit="1" customWidth="1"/>
    <col min="3" max="3" width="18.5" bestFit="1" customWidth="1"/>
    <col min="7" max="7" width="10.83203125" hidden="1" customWidth="1"/>
    <col min="8" max="8" width="12.33203125" hidden="1" customWidth="1"/>
    <col min="9" max="10" width="10.83203125" hidden="1" customWidth="1"/>
    <col min="11" max="11" width="13" bestFit="1" customWidth="1"/>
    <col min="12" max="12" width="9.5" bestFit="1" customWidth="1"/>
    <col min="13" max="13" width="12.5" bestFit="1" customWidth="1"/>
    <col min="14" max="14" width="7.83203125" bestFit="1" customWidth="1"/>
    <col min="15" max="15" width="7.5" bestFit="1" customWidth="1"/>
    <col min="16" max="19" width="10.83203125" hidden="1" customWidth="1"/>
    <col min="20" max="20" width="13" bestFit="1" customWidth="1"/>
    <col min="21" max="21" width="7.33203125" customWidth="1"/>
    <col min="22" max="22" width="12.33203125" bestFit="1" customWidth="1"/>
    <col min="23" max="23" width="7.6640625" bestFit="1" customWidth="1"/>
    <col min="24" max="24" width="7.5" bestFit="1" customWidth="1"/>
    <col min="25" max="28" width="10.83203125" hidden="1" customWidth="1"/>
    <col min="29" max="29" width="13" bestFit="1" customWidth="1"/>
    <col min="30" max="30" width="7.5" customWidth="1"/>
    <col min="31" max="31" width="12.33203125" bestFit="1" customWidth="1"/>
    <col min="32" max="32" width="7.6640625" bestFit="1" customWidth="1"/>
    <col min="33" max="33" width="7.5" bestFit="1" customWidth="1"/>
    <col min="34" max="37" width="10.83203125" hidden="1" customWidth="1"/>
    <col min="38" max="38" width="13" bestFit="1" customWidth="1"/>
    <col min="39" max="39" width="7.6640625" customWidth="1"/>
    <col min="40" max="40" width="12.33203125" bestFit="1" customWidth="1"/>
    <col min="41" max="41" width="7.6640625" bestFit="1" customWidth="1"/>
    <col min="44" max="47" width="0" hidden="1" customWidth="1"/>
    <col min="48" max="48" width="13" bestFit="1" customWidth="1"/>
    <col min="49" max="49" width="7.6640625" customWidth="1"/>
    <col min="50" max="50" width="12.33203125" bestFit="1" customWidth="1"/>
    <col min="51" max="51" width="7.6640625" bestFit="1" customWidth="1"/>
    <col min="53" max="56" width="0" hidden="1" customWidth="1"/>
    <col min="57" max="57" width="13" bestFit="1" customWidth="1"/>
    <col min="58" max="58" width="7.6640625" customWidth="1"/>
    <col min="59" max="59" width="12.33203125" bestFit="1" customWidth="1"/>
    <col min="60" max="60" width="7.6640625" bestFit="1" customWidth="1"/>
    <col min="62" max="65" width="0" hidden="1" customWidth="1"/>
    <col min="66" max="66" width="13" bestFit="1" customWidth="1"/>
    <col min="67" max="67" width="7.6640625" customWidth="1"/>
    <col min="68" max="68" width="12.33203125" bestFit="1" customWidth="1"/>
    <col min="69" max="69" width="7.6640625" bestFit="1" customWidth="1"/>
    <col min="71" max="74" width="0" hidden="1" customWidth="1"/>
    <col min="75" max="75" width="13" bestFit="1" customWidth="1"/>
    <col min="76" max="76" width="7.6640625" customWidth="1"/>
    <col min="77" max="77" width="12.33203125" bestFit="1" customWidth="1"/>
    <col min="78" max="78" width="7.6640625" bestFit="1" customWidth="1"/>
    <col min="80" max="80" width="10.83203125" style="103"/>
    <col min="81" max="81" width="14.6640625" bestFit="1" customWidth="1"/>
    <col min="82" max="82" width="7.1640625" bestFit="1" customWidth="1"/>
    <col min="83" max="83" width="12.33203125" bestFit="1" customWidth="1"/>
    <col min="84" max="84" width="7.6640625" bestFit="1" customWidth="1"/>
  </cols>
  <sheetData>
    <row r="1" spans="1:85">
      <c r="G1" s="76" t="s">
        <v>3001</v>
      </c>
      <c r="H1" s="76"/>
      <c r="I1" s="76"/>
      <c r="J1" s="76"/>
      <c r="K1" s="44"/>
      <c r="L1" s="44"/>
      <c r="M1" s="44"/>
      <c r="N1" s="44"/>
      <c r="O1" s="44"/>
      <c r="P1" s="76" t="s">
        <v>3001</v>
      </c>
      <c r="Q1" s="76"/>
      <c r="R1" s="76"/>
      <c r="S1" s="76"/>
      <c r="X1" s="44"/>
      <c r="Y1" s="76" t="s">
        <v>3001</v>
      </c>
      <c r="Z1" s="76"/>
      <c r="AA1" s="76"/>
      <c r="AB1" s="76"/>
      <c r="AH1" s="76" t="s">
        <v>3001</v>
      </c>
      <c r="AI1" s="76"/>
      <c r="AJ1" s="76"/>
      <c r="AK1" s="76"/>
      <c r="AR1" s="76" t="s">
        <v>3001</v>
      </c>
      <c r="AS1" s="76"/>
      <c r="AT1" s="76"/>
      <c r="AU1" s="76"/>
      <c r="BA1" s="76" t="s">
        <v>3001</v>
      </c>
      <c r="BB1" s="76"/>
      <c r="BC1" s="76"/>
      <c r="BD1" s="76"/>
      <c r="BJ1" s="76" t="s">
        <v>3001</v>
      </c>
      <c r="BK1" s="76"/>
      <c r="BL1" s="76"/>
      <c r="BM1" s="76"/>
      <c r="BS1" s="76" t="s">
        <v>3001</v>
      </c>
      <c r="BT1" s="76"/>
      <c r="BU1" s="76"/>
      <c r="BV1" s="76"/>
    </row>
    <row r="2" spans="1:85">
      <c r="A2" s="77" t="s">
        <v>1670</v>
      </c>
      <c r="B2" s="77"/>
      <c r="D2" s="77" t="s">
        <v>103</v>
      </c>
      <c r="E2" s="77"/>
      <c r="G2" t="s">
        <v>2998</v>
      </c>
      <c r="H2" t="s">
        <v>3002</v>
      </c>
      <c r="I2" t="s">
        <v>3000</v>
      </c>
      <c r="J2" t="s">
        <v>3003</v>
      </c>
      <c r="K2" s="69" t="s">
        <v>2994</v>
      </c>
      <c r="L2" s="94"/>
      <c r="M2" s="94"/>
      <c r="N2" s="94"/>
      <c r="O2" s="94"/>
      <c r="P2" t="s">
        <v>2998</v>
      </c>
      <c r="Q2" t="s">
        <v>3002</v>
      </c>
      <c r="R2" t="s">
        <v>3000</v>
      </c>
      <c r="S2" t="s">
        <v>3003</v>
      </c>
      <c r="T2" s="78" t="s">
        <v>2995</v>
      </c>
      <c r="U2" s="79"/>
      <c r="V2" s="79"/>
      <c r="W2" s="79"/>
      <c r="X2" s="80"/>
      <c r="Y2" t="s">
        <v>2998</v>
      </c>
      <c r="Z2" t="s">
        <v>3002</v>
      </c>
      <c r="AA2" t="s">
        <v>3000</v>
      </c>
      <c r="AB2" t="s">
        <v>3003</v>
      </c>
      <c r="AC2" s="78" t="s">
        <v>2996</v>
      </c>
      <c r="AD2" s="79"/>
      <c r="AE2" s="79"/>
      <c r="AF2" s="79"/>
      <c r="AG2" s="81"/>
      <c r="AH2" t="s">
        <v>2998</v>
      </c>
      <c r="AI2" t="s">
        <v>3002</v>
      </c>
      <c r="AJ2" t="s">
        <v>3000</v>
      </c>
      <c r="AK2" t="s">
        <v>3003</v>
      </c>
      <c r="AL2" s="78" t="s">
        <v>2997</v>
      </c>
      <c r="AM2" s="79"/>
      <c r="AN2" s="79"/>
      <c r="AO2" s="79"/>
      <c r="AP2" s="80"/>
      <c r="AR2" t="s">
        <v>2998</v>
      </c>
      <c r="AS2" t="s">
        <v>3002</v>
      </c>
      <c r="AT2" t="s">
        <v>3000</v>
      </c>
      <c r="AU2" t="s">
        <v>3003</v>
      </c>
      <c r="AV2" s="78" t="s">
        <v>4834</v>
      </c>
      <c r="AW2" s="79"/>
      <c r="AX2" s="79"/>
      <c r="AY2" s="79"/>
      <c r="AZ2" s="80"/>
      <c r="BA2" t="s">
        <v>2998</v>
      </c>
      <c r="BB2" t="s">
        <v>3002</v>
      </c>
      <c r="BC2" t="s">
        <v>3000</v>
      </c>
      <c r="BD2" t="s">
        <v>3003</v>
      </c>
      <c r="BE2" s="78" t="s">
        <v>4835</v>
      </c>
      <c r="BF2" s="79"/>
      <c r="BG2" s="79"/>
      <c r="BH2" s="79"/>
      <c r="BI2" s="80"/>
      <c r="BJ2" t="s">
        <v>2998</v>
      </c>
      <c r="BK2" t="s">
        <v>3002</v>
      </c>
      <c r="BL2" t="s">
        <v>3000</v>
      </c>
      <c r="BM2" t="s">
        <v>3003</v>
      </c>
      <c r="BN2" s="78" t="s">
        <v>4836</v>
      </c>
      <c r="BO2" s="79"/>
      <c r="BP2" s="79"/>
      <c r="BQ2" s="79"/>
      <c r="BR2" s="80"/>
      <c r="BS2" t="s">
        <v>2998</v>
      </c>
      <c r="BT2" t="s">
        <v>3002</v>
      </c>
      <c r="BU2" t="s">
        <v>3000</v>
      </c>
      <c r="BV2" t="s">
        <v>3003</v>
      </c>
      <c r="BW2" s="78" t="s">
        <v>4837</v>
      </c>
      <c r="BX2" s="79"/>
      <c r="BY2" s="79"/>
      <c r="BZ2" s="79"/>
      <c r="CA2" s="80"/>
      <c r="CB2" s="104"/>
      <c r="CC2" s="78" t="s">
        <v>3006</v>
      </c>
      <c r="CD2" s="79"/>
      <c r="CE2" s="79"/>
      <c r="CF2" s="79"/>
      <c r="CG2" s="80"/>
    </row>
    <row r="3" spans="1:85">
      <c r="A3" s="54" t="s">
        <v>105</v>
      </c>
      <c r="B3" s="54">
        <f>COUNTIF('Large Dataset'!E:E, "History")</f>
        <v>47</v>
      </c>
      <c r="D3" s="54" t="s">
        <v>1667</v>
      </c>
      <c r="E3" s="54">
        <f>COUNTIF('Large Dataset'!D:D,"High")</f>
        <v>278</v>
      </c>
      <c r="G3" t="b" cm="1">
        <f t="array" ref="G3">IsRed('Large Dataset'!I3)</f>
        <v>0</v>
      </c>
      <c r="H3" t="b" cm="1">
        <f t="array" ref="H3">IsBlue('Large Dataset'!I3)</f>
        <v>0</v>
      </c>
      <c r="I3" t="b" cm="1">
        <f t="array" ref="I3">IsPurple('Large Dataset'!I3)</f>
        <v>0</v>
      </c>
      <c r="J3" t="b" cm="1">
        <f t="array" ref="J3">IsGreen('Large Dataset'!G3)</f>
        <v>0</v>
      </c>
      <c r="K3" s="14" t="s">
        <v>104</v>
      </c>
      <c r="L3" t="s">
        <v>2998</v>
      </c>
      <c r="M3" t="s">
        <v>2999</v>
      </c>
      <c r="N3" t="s">
        <v>3000</v>
      </c>
      <c r="O3" t="s">
        <v>3011</v>
      </c>
      <c r="P3" t="b" cm="1">
        <f t="array" ref="P3">IsRed('Large Dataset'!K3)</f>
        <v>0</v>
      </c>
      <c r="Q3" t="b" cm="1">
        <f t="array" ref="Q3">IsBlue('Large Dataset'!K3)</f>
        <v>0</v>
      </c>
      <c r="R3" t="b" cm="1">
        <f t="array" ref="R3">IsPurple('Large Dataset'!K3)</f>
        <v>0</v>
      </c>
      <c r="S3" t="b" cm="1">
        <f t="array" ref="S3">IsGreen('Large Dataset'!K3)</f>
        <v>0</v>
      </c>
      <c r="T3" s="14" t="s">
        <v>104</v>
      </c>
      <c r="U3" t="s">
        <v>2998</v>
      </c>
      <c r="V3" t="s">
        <v>2999</v>
      </c>
      <c r="W3" t="s">
        <v>3000</v>
      </c>
      <c r="X3" t="s">
        <v>3011</v>
      </c>
      <c r="Y3" t="b" cm="1">
        <f t="array" ref="Y3">IsRed('Large Dataset'!M3)</f>
        <v>0</v>
      </c>
      <c r="Z3" t="b" cm="1">
        <f t="array" ref="Z3">IsBlue('Large Dataset'!M3)</f>
        <v>0</v>
      </c>
      <c r="AA3" t="b" cm="1">
        <f t="array" ref="AA3">IsPurple('Large Dataset'!M3)</f>
        <v>0</v>
      </c>
      <c r="AB3" t="b" cm="1">
        <f t="array" ref="AB3">IsGreen('Large Dataset'!M3)</f>
        <v>0</v>
      </c>
      <c r="AC3" s="42" t="s">
        <v>104</v>
      </c>
      <c r="AD3" t="s">
        <v>2998</v>
      </c>
      <c r="AE3" t="s">
        <v>2999</v>
      </c>
      <c r="AF3" s="44" t="s">
        <v>3000</v>
      </c>
      <c r="AG3" s="47" t="s">
        <v>3011</v>
      </c>
      <c r="AH3" t="b" cm="1">
        <f t="array" ref="AH3">IsRed('Large Dataset'!O3)</f>
        <v>0</v>
      </c>
      <c r="AI3" t="b" cm="1">
        <f t="array" ref="AI3">IsBlue('Large Dataset'!O3)</f>
        <v>0</v>
      </c>
      <c r="AJ3" t="b" cm="1">
        <f t="array" ref="AJ3">IsPurple('Large Dataset'!O3)</f>
        <v>0</v>
      </c>
      <c r="AK3" t="b" cm="1">
        <f t="array" ref="AK3">IsGreen('Large Dataset'!O3)</f>
        <v>0</v>
      </c>
      <c r="AL3" s="14" t="s">
        <v>104</v>
      </c>
      <c r="AM3" t="s">
        <v>2998</v>
      </c>
      <c r="AN3" t="s">
        <v>2999</v>
      </c>
      <c r="AO3" t="s">
        <v>3000</v>
      </c>
      <c r="AP3" s="11" t="s">
        <v>3011</v>
      </c>
      <c r="AQ3" s="42"/>
      <c r="AR3" t="b" cm="1">
        <f t="array" ref="AR3">IsRed('Large Dataset'!Q3)</f>
        <v>0</v>
      </c>
      <c r="AS3" t="b" cm="1">
        <f t="array" ref="AS3">IsBlue('Large Dataset'!Q3)</f>
        <v>0</v>
      </c>
      <c r="AT3" t="b" cm="1">
        <f t="array" ref="AT3">IsPurple('Large Dataset'!Q3)</f>
        <v>0</v>
      </c>
      <c r="AU3" t="b" cm="1">
        <f t="array" ref="AU3">IsGreen('Large Dataset'!Q3)</f>
        <v>0</v>
      </c>
      <c r="AV3" s="14" t="s">
        <v>104</v>
      </c>
      <c r="AW3" t="s">
        <v>2998</v>
      </c>
      <c r="AX3" t="s">
        <v>2999</v>
      </c>
      <c r="AY3" t="s">
        <v>3000</v>
      </c>
      <c r="AZ3" s="11" t="s">
        <v>3011</v>
      </c>
      <c r="BA3" t="b" cm="1">
        <f t="array" ref="BA3">IsRed('Large Dataset'!R3)</f>
        <v>0</v>
      </c>
      <c r="BB3" t="b" cm="1">
        <f t="array" ref="BB3">IsBlue('Large Dataset'!R3)</f>
        <v>0</v>
      </c>
      <c r="BC3" t="b" cm="1">
        <f t="array" ref="BC3">IsPurple('Large Dataset'!R3)</f>
        <v>0</v>
      </c>
      <c r="BD3" t="b" cm="1">
        <f t="array" ref="BD3">IsGreen('Large Dataset'!R3)</f>
        <v>0</v>
      </c>
      <c r="BE3" s="14" t="s">
        <v>104</v>
      </c>
      <c r="BF3" t="s">
        <v>2998</v>
      </c>
      <c r="BG3" t="s">
        <v>2999</v>
      </c>
      <c r="BH3" t="s">
        <v>3000</v>
      </c>
      <c r="BI3" s="11" t="s">
        <v>3011</v>
      </c>
      <c r="BJ3" t="b" cm="1">
        <f t="array" ref="BJ3">IsRed('Large Dataset'!T3)</f>
        <v>0</v>
      </c>
      <c r="BK3" t="b" cm="1">
        <f t="array" ref="BK3">IsBlue('Large Dataset'!T3)</f>
        <v>0</v>
      </c>
      <c r="BL3" t="b" cm="1">
        <f t="array" ref="BL3">IsPurple('Large Dataset'!T3)</f>
        <v>0</v>
      </c>
      <c r="BM3" t="b" cm="1">
        <f t="array" ref="BM3">IsGreen('Large Dataset'!T3)</f>
        <v>0</v>
      </c>
      <c r="BN3" s="14" t="s">
        <v>104</v>
      </c>
      <c r="BO3" t="s">
        <v>2998</v>
      </c>
      <c r="BP3" t="s">
        <v>2999</v>
      </c>
      <c r="BQ3" t="s">
        <v>3000</v>
      </c>
      <c r="BR3" s="11" t="s">
        <v>3011</v>
      </c>
      <c r="BS3" t="b" cm="1">
        <f t="array" ref="BS3">IsRed('Large Dataset'!U3)</f>
        <v>0</v>
      </c>
      <c r="BT3" t="b" cm="1">
        <f t="array" ref="BT3">IsBlue('Large Dataset'!U3)</f>
        <v>0</v>
      </c>
      <c r="BU3" t="b" cm="1">
        <f t="array" ref="BU3">IsPurple('Large Dataset'!U3)</f>
        <v>0</v>
      </c>
      <c r="BV3" t="b" cm="1">
        <f t="array" ref="BV3">IsGreen('Large Dataset'!U3)</f>
        <v>0</v>
      </c>
      <c r="BW3" s="14" t="s">
        <v>104</v>
      </c>
      <c r="BX3" t="s">
        <v>2998</v>
      </c>
      <c r="BY3" t="s">
        <v>2999</v>
      </c>
      <c r="BZ3" t="s">
        <v>3000</v>
      </c>
      <c r="CA3" s="11" t="s">
        <v>3011</v>
      </c>
      <c r="CB3" s="109"/>
      <c r="CC3" s="100" t="s">
        <v>104</v>
      </c>
      <c r="CD3" t="s">
        <v>3007</v>
      </c>
      <c r="CE3" t="s">
        <v>2999</v>
      </c>
      <c r="CF3" t="s">
        <v>3000</v>
      </c>
      <c r="CG3" s="11" t="s">
        <v>3011</v>
      </c>
    </row>
    <row r="4" spans="1:85">
      <c r="A4" s="54" t="s">
        <v>109</v>
      </c>
      <c r="B4" s="54">
        <f>COUNTIF('Large Dataset'!E:E, "Education")</f>
        <v>18</v>
      </c>
      <c r="D4" s="54" t="s">
        <v>1669</v>
      </c>
      <c r="E4" s="54">
        <f>COUNTIF('Large Dataset'!D:D,"Medium")</f>
        <v>18</v>
      </c>
      <c r="G4" t="b" cm="1">
        <f t="array" ref="G4">IsRed('Large Dataset'!I4)</f>
        <v>0</v>
      </c>
      <c r="H4" t="b" cm="1">
        <f t="array" ref="H4">IsBlue('Large Dataset'!I4)</f>
        <v>0</v>
      </c>
      <c r="I4" t="b" cm="1">
        <f t="array" ref="I4">IsPurple('Large Dataset'!I4)</f>
        <v>0</v>
      </c>
      <c r="J4" t="b" cm="1">
        <f t="array" ref="J4">IsGreen('Large Dataset'!G4)</f>
        <v>0</v>
      </c>
      <c r="K4" s="42" t="s">
        <v>105</v>
      </c>
      <c r="L4" s="14">
        <f>COUNTIFS(G3:G327,"TRUE",'Large Dataset'!E3:E327,"History")</f>
        <v>11</v>
      </c>
      <c r="M4" s="45">
        <f>COUNTIFS(H3:H327,"TRUE",'Large Dataset'!E3:E327,"History")</f>
        <v>0</v>
      </c>
      <c r="N4" s="41">
        <f>COUNTIFS(I3:I327,"TRUE",'Large Dataset'!E3:E327,"History")</f>
        <v>6</v>
      </c>
      <c r="O4" s="45">
        <f t="shared" ref="O4:O12" si="0">$D$11-(L4+M4+N4)</f>
        <v>307</v>
      </c>
      <c r="P4" t="b" cm="1">
        <f t="array" ref="P4">IsRed('Large Dataset'!K4)</f>
        <v>0</v>
      </c>
      <c r="Q4" t="b" cm="1">
        <f t="array" ref="Q4">IsBlue('Large Dataset'!K4)</f>
        <v>0</v>
      </c>
      <c r="R4" t="b" cm="1">
        <f t="array" ref="R4">IsPurple('Large Dataset'!K4)</f>
        <v>0</v>
      </c>
      <c r="S4" t="b" cm="1">
        <f t="array" ref="S4">IsGreen('Large Dataset'!K4)</f>
        <v>0</v>
      </c>
      <c r="T4" t="s">
        <v>105</v>
      </c>
      <c r="U4" s="14">
        <f>COUNTIFS(P3:P327,"TRUE",'Large Dataset'!$E$3:$E$327,"History")</f>
        <v>9</v>
      </c>
      <c r="V4" s="45">
        <f>COUNTIFS(Q3:Q327,"TRUE",'Large Dataset'!$E$3:$E$327,"History")</f>
        <v>2</v>
      </c>
      <c r="W4" s="13">
        <f>COUNTIFS(R3:R327,"TRUE",'Large Dataset'!$E$3:$E$327,"History")</f>
        <v>6</v>
      </c>
      <c r="X4" s="45">
        <f t="shared" ref="X4:X12" si="1">$D$11-(U4+V4+W4)</f>
        <v>307</v>
      </c>
      <c r="Y4" t="b" cm="1">
        <f t="array" ref="Y4">IsRed('Large Dataset'!M4)</f>
        <v>0</v>
      </c>
      <c r="Z4" t="b" cm="1">
        <f t="array" ref="Z4">IsBlue('Large Dataset'!M4)</f>
        <v>0</v>
      </c>
      <c r="AA4" t="b" cm="1">
        <f t="array" ref="AA4">IsPurple('Large Dataset'!M4)</f>
        <v>0</v>
      </c>
      <c r="AB4" t="b" cm="1">
        <f t="array" ref="AB4">IsGreen('Large Dataset'!M4)</f>
        <v>0</v>
      </c>
      <c r="AC4" t="s">
        <v>105</v>
      </c>
      <c r="AD4" s="14">
        <f>COUNTIFS(Y3:Y327,"TRUE",'Large Dataset'!$E$3:$E$327,"History")</f>
        <v>10</v>
      </c>
      <c r="AE4" s="45">
        <f>COUNTIFS(Z3:Z327,"TRUE",'Large Dataset'!$E$3:$E$327,"History")</f>
        <v>2</v>
      </c>
      <c r="AF4" s="45">
        <f>COUNTIFS(AA3:AA327,"TRUE",'Large Dataset'!$E$3:$E$327,"History")</f>
        <v>6</v>
      </c>
      <c r="AG4" s="45">
        <f t="shared" ref="AG4:AG12" si="2">$D$11-(AD4+AE4+AF4)</f>
        <v>306</v>
      </c>
      <c r="AH4" t="b" cm="1">
        <f t="array" ref="AH4">IsRed('Large Dataset'!O4)</f>
        <v>0</v>
      </c>
      <c r="AI4" t="b" cm="1">
        <f t="array" ref="AI4">IsBlue('Large Dataset'!O4)</f>
        <v>0</v>
      </c>
      <c r="AJ4" t="b" cm="1">
        <f t="array" ref="AJ4">IsPurple('Large Dataset'!O4)</f>
        <v>0</v>
      </c>
      <c r="AK4" t="b" cm="1">
        <f t="array" ref="AK4">IsGreen('Large Dataset'!O4)</f>
        <v>0</v>
      </c>
      <c r="AL4" t="s">
        <v>105</v>
      </c>
      <c r="AM4" s="14">
        <f>COUNTIFS(AH3:AH327,"TRUE",'Large Dataset'!$E$3:$E$327,"History")</f>
        <v>10</v>
      </c>
      <c r="AN4" s="45">
        <f>COUNTIFS(AI3:AI327,"TRUE",'Large Dataset'!$E$3:$E$327,"History")</f>
        <v>19</v>
      </c>
      <c r="AO4" s="13">
        <f>COUNTIFS(AJ3:AJ327,"TRUE",'Large Dataset'!$E$3:$E$327,"History")</f>
        <v>6</v>
      </c>
      <c r="AP4" s="45">
        <f t="shared" ref="AP4:AP12" si="3">$D$11-(AM4+AN4+AO4)</f>
        <v>289</v>
      </c>
      <c r="AR4" t="b" cm="1">
        <f t="array" ref="AR4">IsRed('Large Dataset'!Q4)</f>
        <v>0</v>
      </c>
      <c r="AS4" t="b" cm="1">
        <f t="array" ref="AS4">IsBlue('Large Dataset'!Q4)</f>
        <v>0</v>
      </c>
      <c r="AT4" t="b" cm="1">
        <f t="array" ref="AT4">IsPurple('Large Dataset'!Q4)</f>
        <v>0</v>
      </c>
      <c r="AU4" t="b" cm="1">
        <f t="array" ref="AU4">IsGreen('Large Dataset'!Q4)</f>
        <v>0</v>
      </c>
      <c r="AV4" t="s">
        <v>105</v>
      </c>
      <c r="AW4" s="14">
        <f>COUNTIFS(AR3:AR327,"TRUE",'Large Dataset'!$E$3:$E$327,"History")</f>
        <v>0</v>
      </c>
      <c r="AX4" s="45">
        <f>COUNTIFS(AS3:AS327,"TRUE",'Large Dataset'!$E$3:$E$327,"History")</f>
        <v>4</v>
      </c>
      <c r="AY4" s="13">
        <f>COUNTIFS(AT3:AT327,"TRUE",'Large Dataset'!$E$3:$E$327,"History")</f>
        <v>8</v>
      </c>
      <c r="AZ4" s="45">
        <f t="shared" ref="AZ4:AZ12" si="4">$D$11-(AW4+AX4+AY4)</f>
        <v>312</v>
      </c>
      <c r="BA4" t="b" cm="1">
        <f t="array" ref="BA4">IsRed('Large Dataset'!R4)</f>
        <v>0</v>
      </c>
      <c r="BB4" t="b" cm="1">
        <f t="array" ref="BB4">IsBlue('Large Dataset'!R4)</f>
        <v>0</v>
      </c>
      <c r="BC4" t="b" cm="1">
        <f t="array" ref="BC4">IsPurple('Large Dataset'!R4)</f>
        <v>0</v>
      </c>
      <c r="BD4" t="b" cm="1">
        <f t="array" ref="BD4">IsGreen('Large Dataset'!R4)</f>
        <v>0</v>
      </c>
      <c r="BE4" t="s">
        <v>105</v>
      </c>
      <c r="BF4" s="14">
        <f>COUNTIFS(BA3:BA327,"TRUE",'Large Dataset'!$E$3:$E$327,"History")</f>
        <v>2</v>
      </c>
      <c r="BG4" s="45">
        <f>COUNTIFS(BB3:BB327,"TRUE",'Large Dataset'!$E$3:$E$327,"History")</f>
        <v>12</v>
      </c>
      <c r="BH4" s="13">
        <f>COUNTIFS(BC3:BC327,"TRUE",'Large Dataset'!$E$3:$E$327,"History")</f>
        <v>6</v>
      </c>
      <c r="BI4" s="45">
        <f t="shared" ref="BI4:BI12" si="5">$D$11-(BF4+BG4+BH4)</f>
        <v>304</v>
      </c>
      <c r="BJ4" t="b" cm="1">
        <f t="array" ref="BJ4">IsRed('Large Dataset'!T4)</f>
        <v>0</v>
      </c>
      <c r="BK4" t="b" cm="1">
        <f t="array" ref="BK4">IsBlue('Large Dataset'!T4)</f>
        <v>0</v>
      </c>
      <c r="BL4" t="b" cm="1">
        <f t="array" ref="BL4">IsPurple('Large Dataset'!T4)</f>
        <v>0</v>
      </c>
      <c r="BM4" t="b" cm="1">
        <f t="array" ref="BM4">IsGreen('Large Dataset'!T4)</f>
        <v>0</v>
      </c>
      <c r="BN4" t="s">
        <v>105</v>
      </c>
      <c r="BO4" s="14">
        <f>COUNTIFS(BJ3:BJ327,"TRUE",'Large Dataset'!$E$3:$E$327,"History")</f>
        <v>0</v>
      </c>
      <c r="BP4" s="45">
        <f>COUNTIFS(BK3:BK327,"TRUE",'Large Dataset'!$E$3:$E$327,"History")</f>
        <v>6</v>
      </c>
      <c r="BQ4" s="13">
        <f>COUNTIFS(BL3:BL327,"TRUE",'Large Dataset'!$E$3:$E$327,"History")</f>
        <v>6</v>
      </c>
      <c r="BR4" s="45">
        <f t="shared" ref="BR4:BR12" si="6">$D$11-(BO4+BP4+BQ4)</f>
        <v>312</v>
      </c>
      <c r="BS4" t="b" cm="1">
        <f t="array" ref="BS4">IsRed('Large Dataset'!U4)</f>
        <v>0</v>
      </c>
      <c r="BT4" t="b" cm="1">
        <f t="array" ref="BT4">IsBlue('Large Dataset'!U4)</f>
        <v>0</v>
      </c>
      <c r="BU4" t="b" cm="1">
        <f t="array" ref="BU4">IsPurple('Large Dataset'!U4)</f>
        <v>0</v>
      </c>
      <c r="BV4" t="b" cm="1">
        <f t="array" ref="BV4">IsGreen('Large Dataset'!U4)</f>
        <v>0</v>
      </c>
      <c r="BW4" t="s">
        <v>105</v>
      </c>
      <c r="BX4" s="14">
        <f>COUNTIFS(BS3:BS327,"TRUE",'Large Dataset'!$E$3:$E$327,"History")</f>
        <v>0</v>
      </c>
      <c r="BY4" s="45">
        <f>COUNTIFS(BT3:BT327,"TRUE",'Large Dataset'!$E$3:$E$327,"History")</f>
        <v>11</v>
      </c>
      <c r="BZ4" s="13">
        <f>COUNTIFS(BU3:BU327,"TRUE",'Large Dataset'!$E$3:$E$327,"History")</f>
        <v>8</v>
      </c>
      <c r="CA4" s="45">
        <f t="shared" ref="CA4:CA12" si="7">$D$11-(BX4+BY4+BZ4)</f>
        <v>305</v>
      </c>
      <c r="CB4" s="109"/>
      <c r="CC4" s="100" t="s">
        <v>105</v>
      </c>
      <c r="CD4" s="14">
        <f>SUM(L4,U4,AD4,AM4)</f>
        <v>40</v>
      </c>
      <c r="CE4" s="45">
        <f>SUM(M4,V4,AE4,AN4)</f>
        <v>23</v>
      </c>
      <c r="CF4" s="41">
        <f>SUM(N4,W4,AF4,AO4)</f>
        <v>24</v>
      </c>
      <c r="CG4" s="36">
        <f>$D$9-(CD4+CE4+CF4)</f>
        <v>1209</v>
      </c>
    </row>
    <row r="5" spans="1:85">
      <c r="A5" s="54" t="s">
        <v>106</v>
      </c>
      <c r="B5" s="54">
        <f>COUNTIF('Large Dataset'!E:E, "Legal")</f>
        <v>131</v>
      </c>
      <c r="D5" s="54" t="s">
        <v>1666</v>
      </c>
      <c r="E5" s="54">
        <f>COUNTIF('Large Dataset'!D:D,"Low")</f>
        <v>29</v>
      </c>
      <c r="G5" t="b" cm="1">
        <f t="array" ref="G5">IsRed('Large Dataset'!I5)</f>
        <v>0</v>
      </c>
      <c r="H5" t="b" cm="1">
        <f t="array" ref="H5">IsBlue('Large Dataset'!I5)</f>
        <v>0</v>
      </c>
      <c r="I5" t="b" cm="1">
        <f t="array" ref="I5">IsPurple('Large Dataset'!I5)</f>
        <v>0</v>
      </c>
      <c r="J5" t="b" cm="1">
        <f t="array" ref="J5">IsGreen('Large Dataset'!G5)</f>
        <v>0</v>
      </c>
      <c r="K5" s="42" t="s">
        <v>109</v>
      </c>
      <c r="L5" s="42">
        <f>COUNTIFS(G3:G327,"TRUE",'Large Dataset'!E3:E327,"Education")</f>
        <v>0</v>
      </c>
      <c r="M5" s="36">
        <f>COUNTIFS(H3:H327,"TRUE",'Large Dataset'!E3:E327,"Education")</f>
        <v>0</v>
      </c>
      <c r="N5">
        <f>COUNTIFS(I3:I327,"TRUE",'Large Dataset'!E3:E327,"Education")</f>
        <v>0</v>
      </c>
      <c r="O5" s="36">
        <f t="shared" si="0"/>
        <v>324</v>
      </c>
      <c r="P5" t="b" cm="1">
        <f t="array" ref="P5">IsRed('Large Dataset'!K5)</f>
        <v>0</v>
      </c>
      <c r="Q5" t="b" cm="1">
        <f t="array" ref="Q5">IsBlue('Large Dataset'!K5)</f>
        <v>0</v>
      </c>
      <c r="R5" t="b" cm="1">
        <f t="array" ref="R5">IsPurple('Large Dataset'!K5)</f>
        <v>0</v>
      </c>
      <c r="S5" t="b" cm="1">
        <f t="array" ref="S5">IsGreen('Large Dataset'!K5)</f>
        <v>0</v>
      </c>
      <c r="T5" t="s">
        <v>109</v>
      </c>
      <c r="U5" s="42">
        <f>COUNTIFS(P3:P327,"TRUE",'Large Dataset'!$E$3:$E$327,"Education")</f>
        <v>0</v>
      </c>
      <c r="V5" s="36">
        <f>COUNTIFS(Q3:Q327,"TRUE",'Large Dataset'!$E$3:$E$327,"Education")</f>
        <v>0</v>
      </c>
      <c r="W5" s="6">
        <f>COUNTIFS(R3:R327,"TRUE",'Large Dataset'!$E$3:$E$327,"Education")</f>
        <v>0</v>
      </c>
      <c r="X5" s="36">
        <f t="shared" si="1"/>
        <v>324</v>
      </c>
      <c r="Y5" t="b" cm="1">
        <f t="array" ref="Y5">IsRed('Large Dataset'!M5)</f>
        <v>0</v>
      </c>
      <c r="Z5" t="b" cm="1">
        <f t="array" ref="Z5">IsBlue('Large Dataset'!M5)</f>
        <v>0</v>
      </c>
      <c r="AA5" t="b" cm="1">
        <f t="array" ref="AA5">IsPurple('Large Dataset'!M5)</f>
        <v>0</v>
      </c>
      <c r="AB5" t="b" cm="1">
        <f t="array" ref="AB5">IsGreen('Large Dataset'!M5)</f>
        <v>0</v>
      </c>
      <c r="AC5" t="s">
        <v>109</v>
      </c>
      <c r="AD5" s="42">
        <f>COUNTIFS(Y3:Y327,"TRUE",'Large Dataset'!$E$3:$E$327,"Education")</f>
        <v>0</v>
      </c>
      <c r="AE5" s="36">
        <f>COUNTIFS(Z3:Z327,"TRUE",'Large Dataset'!$E$3:$E$327,"Education")</f>
        <v>0</v>
      </c>
      <c r="AF5" s="36">
        <f>COUNTIFS(AA3:AA327,"TRUE",'Large Dataset'!$E$3:$E$327,"Education")</f>
        <v>0</v>
      </c>
      <c r="AG5" s="36">
        <f t="shared" si="2"/>
        <v>324</v>
      </c>
      <c r="AH5" t="b" cm="1">
        <f t="array" ref="AH5">IsRed('Large Dataset'!O5)</f>
        <v>0</v>
      </c>
      <c r="AI5" t="b" cm="1">
        <f t="array" ref="AI5">IsBlue('Large Dataset'!O5)</f>
        <v>0</v>
      </c>
      <c r="AJ5" t="b" cm="1">
        <f t="array" ref="AJ5">IsPurple('Large Dataset'!O5)</f>
        <v>0</v>
      </c>
      <c r="AK5" t="b" cm="1">
        <f t="array" ref="AK5">IsGreen('Large Dataset'!O5)</f>
        <v>0</v>
      </c>
      <c r="AL5" t="s">
        <v>109</v>
      </c>
      <c r="AM5" s="42">
        <f>COUNTIFS(AH3:AH327,"TRUE",'Large Dataset'!$E$3:$E$327,"Education")</f>
        <v>0</v>
      </c>
      <c r="AN5" s="36">
        <f>COUNTIFS(AI3:AI327,"TRUE",'Large Dataset'!$E$3:$E$327,"Education")</f>
        <v>1</v>
      </c>
      <c r="AO5" s="6">
        <f>COUNTIFS(AJ3:AJ327,"TRUE",'Large Dataset'!$E$3:$E$327,"Education")</f>
        <v>0</v>
      </c>
      <c r="AP5" s="36">
        <f t="shared" si="3"/>
        <v>323</v>
      </c>
      <c r="AR5" t="b" cm="1">
        <f t="array" ref="AR5">IsRed('Large Dataset'!Q5)</f>
        <v>0</v>
      </c>
      <c r="AS5" t="b" cm="1">
        <f t="array" ref="AS5">IsBlue('Large Dataset'!Q5)</f>
        <v>0</v>
      </c>
      <c r="AT5" t="b" cm="1">
        <f t="array" ref="AT5">IsPurple('Large Dataset'!Q5)</f>
        <v>0</v>
      </c>
      <c r="AU5" t="b" cm="1">
        <f t="array" ref="AU5">IsGreen('Large Dataset'!Q5)</f>
        <v>0</v>
      </c>
      <c r="AV5" t="s">
        <v>109</v>
      </c>
      <c r="AW5" s="42">
        <f>COUNTIFS(AR3:AR327,"TRUE",'Large Dataset'!$E$3:$E$327,"Education")</f>
        <v>0</v>
      </c>
      <c r="AX5" s="36">
        <f>COUNTIFS(AS3:AS327,"TRUE",'Large Dataset'!$E$3:$E$327,"Education")</f>
        <v>0</v>
      </c>
      <c r="AY5" s="6">
        <f>COUNTIFS(AT3:AT327,"TRUE",'Large Dataset'!$E$3:$E$327,"Education")</f>
        <v>0</v>
      </c>
      <c r="AZ5" s="36">
        <f t="shared" si="4"/>
        <v>324</v>
      </c>
      <c r="BA5" t="b" cm="1">
        <f t="array" ref="BA5">IsRed('Large Dataset'!R5)</f>
        <v>0</v>
      </c>
      <c r="BB5" t="b" cm="1">
        <f t="array" ref="BB5">IsBlue('Large Dataset'!R5)</f>
        <v>0</v>
      </c>
      <c r="BC5" t="b" cm="1">
        <f t="array" ref="BC5">IsPurple('Large Dataset'!R5)</f>
        <v>0</v>
      </c>
      <c r="BD5" t="b" cm="1">
        <f t="array" ref="BD5">IsGreen('Large Dataset'!R5)</f>
        <v>0</v>
      </c>
      <c r="BE5" t="s">
        <v>109</v>
      </c>
      <c r="BF5" s="42">
        <f>COUNTIFS(BA3:BA327,"TRUE",'Large Dataset'!$E$3:$E$327,"Education")</f>
        <v>0</v>
      </c>
      <c r="BG5" s="36">
        <f>COUNTIFS(BB3:BB327,"TRUE",'Large Dataset'!$E$3:$E$327,"Education")</f>
        <v>0</v>
      </c>
      <c r="BH5" s="6">
        <f>COUNTIFS(BC3:BC327,"TRUE",'Large Dataset'!$E$3:$E$327,"Education")</f>
        <v>0</v>
      </c>
      <c r="BI5" s="36">
        <f t="shared" si="5"/>
        <v>324</v>
      </c>
      <c r="BJ5" t="b" cm="1">
        <f t="array" ref="BJ5">IsRed('Large Dataset'!T5)</f>
        <v>0</v>
      </c>
      <c r="BK5" t="b" cm="1">
        <f t="array" ref="BK5">IsBlue('Large Dataset'!T5)</f>
        <v>0</v>
      </c>
      <c r="BL5" t="b" cm="1">
        <f t="array" ref="BL5">IsPurple('Large Dataset'!T5)</f>
        <v>0</v>
      </c>
      <c r="BM5" t="b" cm="1">
        <f t="array" ref="BM5">IsGreen('Large Dataset'!T5)</f>
        <v>0</v>
      </c>
      <c r="BN5" t="s">
        <v>109</v>
      </c>
      <c r="BO5" s="42">
        <f>COUNTIFS(BJ3:BJ327,"TRUE",'Large Dataset'!$E$3:$E$327,"Education")</f>
        <v>0</v>
      </c>
      <c r="BP5" s="36">
        <f>COUNTIFS(BK3:BK327,"TRUE",'Large Dataset'!$E$3:$E$327,"Education")</f>
        <v>0</v>
      </c>
      <c r="BQ5" s="6">
        <f>COUNTIFS(BL3:BL327,"TRUE",'Large Dataset'!$E$3:$E$327,"Education")</f>
        <v>0</v>
      </c>
      <c r="BR5" s="36">
        <f t="shared" si="6"/>
        <v>324</v>
      </c>
      <c r="BS5" t="b" cm="1">
        <f t="array" ref="BS5">IsRed('Large Dataset'!U5)</f>
        <v>0</v>
      </c>
      <c r="BT5" t="b" cm="1">
        <f t="array" ref="BT5">IsBlue('Large Dataset'!U5)</f>
        <v>0</v>
      </c>
      <c r="BU5" t="b" cm="1">
        <f t="array" ref="BU5">IsPurple('Large Dataset'!U5)</f>
        <v>0</v>
      </c>
      <c r="BV5" t="b" cm="1">
        <f t="array" ref="BV5">IsGreen('Large Dataset'!U5)</f>
        <v>0</v>
      </c>
      <c r="BW5" t="s">
        <v>109</v>
      </c>
      <c r="BX5" s="42">
        <f>COUNTIFS(BS3:BS327,"TRUE",'Large Dataset'!$E$3:$E$327,"Education")</f>
        <v>0</v>
      </c>
      <c r="BY5" s="36">
        <f>COUNTIFS(BT3:BT327,"TRUE",'Large Dataset'!$E$3:$E$327,"Education")</f>
        <v>0</v>
      </c>
      <c r="BZ5" s="6">
        <f>COUNTIFS(BU3:BU327,"TRUE",'Large Dataset'!$E$3:$E$327,"Education")</f>
        <v>0</v>
      </c>
      <c r="CA5" s="36">
        <f t="shared" si="7"/>
        <v>324</v>
      </c>
      <c r="CB5" s="109"/>
      <c r="CC5" s="100" t="s">
        <v>109</v>
      </c>
      <c r="CD5" s="42">
        <f t="shared" ref="CD5:CD12" si="8">SUM(L5,U5,AD5,AM5)</f>
        <v>0</v>
      </c>
      <c r="CE5" s="36">
        <f t="shared" ref="CE5:CE12" si="9">SUM(M5,V5,AE5,AN5)</f>
        <v>1</v>
      </c>
      <c r="CF5">
        <f t="shared" ref="CF5:CF12" si="10">SUM(N5,W5,AF5,AO5)</f>
        <v>0</v>
      </c>
      <c r="CG5" s="36">
        <f t="shared" ref="CG5:CG12" si="11">$D$9-(CD5+CE5+CF5)</f>
        <v>1295</v>
      </c>
    </row>
    <row r="6" spans="1:85">
      <c r="A6" s="54" t="s">
        <v>1663</v>
      </c>
      <c r="B6" s="54">
        <f>COUNTIF('Large Dataset'!E:E, "Geographical")</f>
        <v>66</v>
      </c>
      <c r="D6" s="54" t="s">
        <v>1665</v>
      </c>
      <c r="E6" s="54">
        <f>SUM(E3:E5)</f>
        <v>325</v>
      </c>
      <c r="G6" t="b" cm="1">
        <f t="array" ref="G6">IsRed('Large Dataset'!I6)</f>
        <v>0</v>
      </c>
      <c r="H6" t="b" cm="1">
        <f t="array" ref="H6">IsBlue('Large Dataset'!I6)</f>
        <v>0</v>
      </c>
      <c r="I6" t="b" cm="1">
        <f t="array" ref="I6">IsPurple('Large Dataset'!I6)</f>
        <v>0</v>
      </c>
      <c r="J6" t="b" cm="1">
        <f t="array" ref="J6">IsGreen('Large Dataset'!G6)</f>
        <v>0</v>
      </c>
      <c r="K6" s="42" t="s">
        <v>106</v>
      </c>
      <c r="L6" s="42">
        <f>COUNTIFS(G3:G327,"TRUE",'Large Dataset'!E3:E327,"Legal")</f>
        <v>11</v>
      </c>
      <c r="M6" s="36">
        <f>COUNTIFS(H3:H327,"TRUE",'Large Dataset'!E3:E327,"Legal")</f>
        <v>4</v>
      </c>
      <c r="N6">
        <f>COUNTIFS(I3:I327,"TRUE",'Large Dataset'!E3:E327,"Legal")</f>
        <v>2</v>
      </c>
      <c r="O6" s="36">
        <f t="shared" si="0"/>
        <v>307</v>
      </c>
      <c r="P6" t="b" cm="1">
        <f t="array" ref="P6">IsRed('Large Dataset'!K6)</f>
        <v>0</v>
      </c>
      <c r="Q6" t="b" cm="1">
        <f t="array" ref="Q6">IsBlue('Large Dataset'!K6)</f>
        <v>0</v>
      </c>
      <c r="R6" t="b" cm="1">
        <f t="array" ref="R6">IsPurple('Large Dataset'!K6)</f>
        <v>0</v>
      </c>
      <c r="S6" t="b" cm="1">
        <f t="array" ref="S6">IsGreen('Large Dataset'!K6)</f>
        <v>0</v>
      </c>
      <c r="T6" t="s">
        <v>106</v>
      </c>
      <c r="U6" s="42">
        <f>COUNTIFS(P3:P327,"TRUE",'Large Dataset'!$E$3:$E$327,"Legal")</f>
        <v>9</v>
      </c>
      <c r="V6" s="36">
        <f>COUNTIFS(Q3:Q327,"TRUE",'Large Dataset'!$E$3:$E$327,"Legal")</f>
        <v>8</v>
      </c>
      <c r="W6" s="6">
        <f>COUNTIFS(R3:R327,"TRUE",'Large Dataset'!$E$3:$E$327,"Legal")</f>
        <v>1</v>
      </c>
      <c r="X6" s="36">
        <f t="shared" si="1"/>
        <v>306</v>
      </c>
      <c r="Y6" t="b" cm="1">
        <f t="array" ref="Y6">IsRed('Large Dataset'!M6)</f>
        <v>0</v>
      </c>
      <c r="Z6" t="b" cm="1">
        <f t="array" ref="Z6">IsBlue('Large Dataset'!M6)</f>
        <v>0</v>
      </c>
      <c r="AA6" t="b" cm="1">
        <f t="array" ref="AA6">IsPurple('Large Dataset'!M6)</f>
        <v>0</v>
      </c>
      <c r="AB6" t="b" cm="1">
        <f t="array" ref="AB6">IsGreen('Large Dataset'!M6)</f>
        <v>0</v>
      </c>
      <c r="AC6" t="s">
        <v>106</v>
      </c>
      <c r="AD6" s="42">
        <f>COUNTIFS(Y3:Y327,"TRUE",'Large Dataset'!$E$3:$E$327,"Legal")</f>
        <v>15</v>
      </c>
      <c r="AE6" s="36">
        <f>COUNTIFS(Z3:Z327,"TRUE",'Large Dataset'!$E$3:$E$327,"Legal")</f>
        <v>5</v>
      </c>
      <c r="AF6" s="36">
        <f>COUNTIFS(AA3:AA327,"TRUE",'Large Dataset'!$E$3:$E$327,"Legal")</f>
        <v>3</v>
      </c>
      <c r="AG6" s="36">
        <f t="shared" si="2"/>
        <v>301</v>
      </c>
      <c r="AH6" t="b" cm="1">
        <f t="array" ref="AH6">IsRed('Large Dataset'!O6)</f>
        <v>0</v>
      </c>
      <c r="AI6" t="b" cm="1">
        <f t="array" ref="AI6">IsBlue('Large Dataset'!O6)</f>
        <v>0</v>
      </c>
      <c r="AJ6" t="b" cm="1">
        <f t="array" ref="AJ6">IsPurple('Large Dataset'!O6)</f>
        <v>0</v>
      </c>
      <c r="AK6" t="b" cm="1">
        <f t="array" ref="AK6">IsGreen('Large Dataset'!O6)</f>
        <v>0</v>
      </c>
      <c r="AL6" t="s">
        <v>106</v>
      </c>
      <c r="AM6" s="42">
        <f>COUNTIFS(AH3:AH327,"TRUE",'Large Dataset'!$E$3:$E$327,"Legal")</f>
        <v>11</v>
      </c>
      <c r="AN6" s="36">
        <f>COUNTIFS(AI3:AI327,"TRUE",'Large Dataset'!$E$3:$E$327,"Legal")</f>
        <v>28</v>
      </c>
      <c r="AO6" s="6">
        <f>COUNTIFS(AJ3:AJ327,"TRUE",'Large Dataset'!$E$3:$E$327,"Legal")</f>
        <v>1</v>
      </c>
      <c r="AP6" s="36">
        <f t="shared" si="3"/>
        <v>284</v>
      </c>
      <c r="AR6" t="b" cm="1">
        <f t="array" ref="AR6">IsRed('Large Dataset'!Q6)</f>
        <v>0</v>
      </c>
      <c r="AS6" t="b" cm="1">
        <f t="array" ref="AS6">IsBlue('Large Dataset'!Q6)</f>
        <v>0</v>
      </c>
      <c r="AT6" t="b" cm="1">
        <f t="array" ref="AT6">IsPurple('Large Dataset'!Q6)</f>
        <v>0</v>
      </c>
      <c r="AU6" t="b" cm="1">
        <f t="array" ref="AU6">IsGreen('Large Dataset'!Q6)</f>
        <v>0</v>
      </c>
      <c r="AV6" t="s">
        <v>106</v>
      </c>
      <c r="AW6" s="42">
        <f>COUNTIFS(AR3:AR327,"TRUE",'Large Dataset'!$E$3:$E$327,"Legal")</f>
        <v>7</v>
      </c>
      <c r="AX6" s="36">
        <f>COUNTIFS(AS3:AS327,"TRUE",'Large Dataset'!$E$3:$E$327,"Legal")</f>
        <v>0</v>
      </c>
      <c r="AY6" s="6">
        <f>COUNTIFS(AT3:AT327,"TRUE",'Large Dataset'!$E$3:$E$327,"Legal")</f>
        <v>1</v>
      </c>
      <c r="AZ6" s="36">
        <f t="shared" si="4"/>
        <v>316</v>
      </c>
      <c r="BA6" t="b" cm="1">
        <f t="array" ref="BA6">IsRed('Large Dataset'!R6)</f>
        <v>1</v>
      </c>
      <c r="BB6" t="b" cm="1">
        <f t="array" ref="BB6">IsBlue('Large Dataset'!R6)</f>
        <v>0</v>
      </c>
      <c r="BC6" t="b" cm="1">
        <f t="array" ref="BC6">IsPurple('Large Dataset'!R6)</f>
        <v>0</v>
      </c>
      <c r="BD6" t="b" cm="1">
        <f t="array" ref="BD6">IsGreen('Large Dataset'!R6)</f>
        <v>0</v>
      </c>
      <c r="BE6" t="s">
        <v>106</v>
      </c>
      <c r="BF6" s="42">
        <f>COUNTIFS(BA3:BA327,"TRUE",'Large Dataset'!$E$3:$E$327,"Legal")</f>
        <v>21</v>
      </c>
      <c r="BG6" s="36">
        <f>COUNTIFS(BB3:BB327,"TRUE",'Large Dataset'!$E$3:$E$327,"Legal")</f>
        <v>3</v>
      </c>
      <c r="BH6" s="6">
        <f>COUNTIFS(BC3:BC327,"TRUE",'Large Dataset'!$E$3:$E$327,"Legal")</f>
        <v>7</v>
      </c>
      <c r="BI6" s="36">
        <f t="shared" si="5"/>
        <v>293</v>
      </c>
      <c r="BJ6" t="b" cm="1">
        <f t="array" ref="BJ6">IsRed('Large Dataset'!T6)</f>
        <v>0</v>
      </c>
      <c r="BK6" t="b" cm="1">
        <f t="array" ref="BK6">IsBlue('Large Dataset'!T6)</f>
        <v>0</v>
      </c>
      <c r="BL6" t="b" cm="1">
        <f t="array" ref="BL6">IsPurple('Large Dataset'!T6)</f>
        <v>0</v>
      </c>
      <c r="BM6" t="b" cm="1">
        <f t="array" ref="BM6">IsGreen('Large Dataset'!T6)</f>
        <v>0</v>
      </c>
      <c r="BN6" t="s">
        <v>106</v>
      </c>
      <c r="BO6" s="42">
        <f>COUNTIFS(BJ3:BJ327,"TRUE",'Large Dataset'!$E$3:$E$327,"Legal")</f>
        <v>4</v>
      </c>
      <c r="BP6" s="36">
        <f>COUNTIFS(BK3:BK327,"TRUE",'Large Dataset'!$E$3:$E$327,"Legal")</f>
        <v>0</v>
      </c>
      <c r="BQ6" s="6">
        <f>COUNTIFS(BL3:BL327,"TRUE",'Large Dataset'!$E$3:$E$327,"Legal")</f>
        <v>0</v>
      </c>
      <c r="BR6" s="36">
        <f t="shared" si="6"/>
        <v>320</v>
      </c>
      <c r="BS6" t="b" cm="1">
        <f t="array" ref="BS6">IsRed('Large Dataset'!U6)</f>
        <v>0</v>
      </c>
      <c r="BT6" t="b" cm="1">
        <f t="array" ref="BT6">IsBlue('Large Dataset'!U6)</f>
        <v>0</v>
      </c>
      <c r="BU6" t="b" cm="1">
        <f t="array" ref="BU6">IsPurple('Large Dataset'!U6)</f>
        <v>1</v>
      </c>
      <c r="BV6" t="b" cm="1">
        <f t="array" ref="BV6">IsGreen('Large Dataset'!U6)</f>
        <v>0</v>
      </c>
      <c r="BW6" t="s">
        <v>106</v>
      </c>
      <c r="BX6" s="42">
        <f>COUNTIFS(BS3:BS327,"TRUE",'Large Dataset'!$E$3:$E$327,"Legal")</f>
        <v>11</v>
      </c>
      <c r="BY6" s="36">
        <f>COUNTIFS(BT3:BT327,"TRUE",'Large Dataset'!$E$3:$E$327,"Legal")</f>
        <v>4</v>
      </c>
      <c r="BZ6" s="6">
        <f>COUNTIFS(BU3:BU327,"TRUE",'Large Dataset'!$E$3:$E$327,"Legal")</f>
        <v>6</v>
      </c>
      <c r="CA6" s="36">
        <f t="shared" si="7"/>
        <v>303</v>
      </c>
      <c r="CB6" s="109"/>
      <c r="CC6" s="100" t="s">
        <v>106</v>
      </c>
      <c r="CD6" s="42">
        <f t="shared" si="8"/>
        <v>46</v>
      </c>
      <c r="CE6" s="36">
        <f t="shared" si="9"/>
        <v>45</v>
      </c>
      <c r="CF6">
        <f t="shared" si="10"/>
        <v>7</v>
      </c>
      <c r="CG6" s="36">
        <f t="shared" si="11"/>
        <v>1198</v>
      </c>
    </row>
    <row r="7" spans="1:85">
      <c r="A7" s="54" t="s">
        <v>107</v>
      </c>
      <c r="B7" s="54">
        <f>COUNTIF('Large Dataset'!E:E, "Food")</f>
        <v>6</v>
      </c>
      <c r="G7" t="b" cm="1">
        <f t="array" ref="G7">IsRed('Large Dataset'!I7)</f>
        <v>0</v>
      </c>
      <c r="H7" t="b" cm="1">
        <f t="array" ref="H7">IsBlue('Large Dataset'!I7)</f>
        <v>0</v>
      </c>
      <c r="I7" t="b" cm="1">
        <f t="array" ref="I7">IsPurple('Large Dataset'!I7)</f>
        <v>0</v>
      </c>
      <c r="J7" t="b" cm="1">
        <f t="array" ref="J7">IsGreen('Large Dataset'!G7)</f>
        <v>0</v>
      </c>
      <c r="K7" s="42" t="s">
        <v>1663</v>
      </c>
      <c r="L7" s="42">
        <f>COUNTIFS(G3:G327,"TRUE",'Large Dataset'!E3:E327,"Geographical")</f>
        <v>22</v>
      </c>
      <c r="M7" s="36">
        <f>COUNTIFS(H3:H327,"TRUE",'Large Dataset'!E3:E327,"Geographical")</f>
        <v>1</v>
      </c>
      <c r="N7">
        <f>COUNTIFS(I3:I327,"TRUE",'Large Dataset'!E3:E327,"Geographical")</f>
        <v>0</v>
      </c>
      <c r="O7" s="36">
        <f t="shared" si="0"/>
        <v>301</v>
      </c>
      <c r="P7" t="b" cm="1">
        <f t="array" ref="P7">IsRed('Large Dataset'!K7)</f>
        <v>0</v>
      </c>
      <c r="Q7" t="b" cm="1">
        <f t="array" ref="Q7">IsBlue('Large Dataset'!K7)</f>
        <v>0</v>
      </c>
      <c r="R7" t="b" cm="1">
        <f t="array" ref="R7">IsPurple('Large Dataset'!K7)</f>
        <v>0</v>
      </c>
      <c r="S7" t="b" cm="1">
        <f t="array" ref="S7">IsGreen('Large Dataset'!K7)</f>
        <v>0</v>
      </c>
      <c r="T7" t="s">
        <v>1663</v>
      </c>
      <c r="U7" s="42">
        <f>COUNTIFS(P3:P327,"TRUE",'Large Dataset'!$E$3:$E$327,"Geographical")</f>
        <v>11</v>
      </c>
      <c r="V7" s="36">
        <f>COUNTIFS(Q3:Q327,"TRUE",'Large Dataset'!$E$3:$E$327,"Geographical")</f>
        <v>3</v>
      </c>
      <c r="W7" s="6">
        <f>COUNTIFS(R3:R327,"TRUE",'Large Dataset'!$E$3:$E$327,"Geographical")</f>
        <v>2</v>
      </c>
      <c r="X7" s="36">
        <f t="shared" si="1"/>
        <v>308</v>
      </c>
      <c r="Y7" t="b" cm="1">
        <f t="array" ref="Y7">IsRed('Large Dataset'!M7)</f>
        <v>0</v>
      </c>
      <c r="Z7" t="b" cm="1">
        <f t="array" ref="Z7">IsBlue('Large Dataset'!M7)</f>
        <v>0</v>
      </c>
      <c r="AA7" t="b" cm="1">
        <f t="array" ref="AA7">IsPurple('Large Dataset'!M7)</f>
        <v>0</v>
      </c>
      <c r="AB7" t="b" cm="1">
        <f t="array" ref="AB7">IsGreen('Large Dataset'!M7)</f>
        <v>0</v>
      </c>
      <c r="AC7" t="s">
        <v>1663</v>
      </c>
      <c r="AD7" s="42">
        <f>COUNTIFS(Y3:Y327,"TRUE",'Large Dataset'!$E$3:$E$327,"Geographical")</f>
        <v>22</v>
      </c>
      <c r="AE7" s="36">
        <f>COUNTIFS(Z3:Z327,"TRUE",'Large Dataset'!$E$3:$E$327,"Geographical")</f>
        <v>1</v>
      </c>
      <c r="AF7" s="36">
        <f>COUNTIFS(AA3:AA327,"TRUE",'Large Dataset'!$E$3:$E$327,"Geographical")</f>
        <v>0</v>
      </c>
      <c r="AG7" s="36">
        <f t="shared" si="2"/>
        <v>301</v>
      </c>
      <c r="AH7" t="b" cm="1">
        <f t="array" ref="AH7">IsRed('Large Dataset'!O7)</f>
        <v>0</v>
      </c>
      <c r="AI7" t="b" cm="1">
        <f t="array" ref="AI7">IsBlue('Large Dataset'!O7)</f>
        <v>0</v>
      </c>
      <c r="AJ7" t="b" cm="1">
        <f t="array" ref="AJ7">IsPurple('Large Dataset'!O7)</f>
        <v>0</v>
      </c>
      <c r="AK7" t="b" cm="1">
        <f t="array" ref="AK7">IsGreen('Large Dataset'!O7)</f>
        <v>0</v>
      </c>
      <c r="AL7" t="s">
        <v>1663</v>
      </c>
      <c r="AM7" s="42">
        <f>COUNTIFS(AH3:AH327,"TRUE",'Large Dataset'!$E$3:$E$327,"Geographical")</f>
        <v>16</v>
      </c>
      <c r="AN7" s="36">
        <f>COUNTIFS(AI3:AI327,"TRUE",'Large Dataset'!$E$3:$E$327,"Geographical")</f>
        <v>13</v>
      </c>
      <c r="AO7" s="6">
        <f>COUNTIFS(AJ3:AJ327,"TRUE",'Large Dataset'!$E$3:$E$327,"Geographical")</f>
        <v>1</v>
      </c>
      <c r="AP7" s="36">
        <f t="shared" si="3"/>
        <v>294</v>
      </c>
      <c r="AR7" t="b" cm="1">
        <f t="array" ref="AR7">IsRed('Large Dataset'!Q7)</f>
        <v>0</v>
      </c>
      <c r="AS7" t="b" cm="1">
        <f t="array" ref="AS7">IsBlue('Large Dataset'!Q7)</f>
        <v>0</v>
      </c>
      <c r="AT7" t="b" cm="1">
        <f t="array" ref="AT7">IsPurple('Large Dataset'!Q7)</f>
        <v>0</v>
      </c>
      <c r="AU7" t="b" cm="1">
        <f t="array" ref="AU7">IsGreen('Large Dataset'!Q7)</f>
        <v>0</v>
      </c>
      <c r="AV7" t="s">
        <v>1663</v>
      </c>
      <c r="AW7" s="42">
        <f>COUNTIFS(AR3:AR327,"TRUE",'Large Dataset'!$E$3:$E$327,"Geographical")</f>
        <v>6</v>
      </c>
      <c r="AX7" s="36">
        <f>COUNTIFS(AS3:AS327,"TRUE",'Large Dataset'!$E$3:$E$327,"Geographical")</f>
        <v>0</v>
      </c>
      <c r="AY7" s="6">
        <f>COUNTIFS(AT3:AT327,"TRUE",'Large Dataset'!$E$3:$E$327,"Geographical")</f>
        <v>3</v>
      </c>
      <c r="AZ7" s="36">
        <f t="shared" si="4"/>
        <v>315</v>
      </c>
      <c r="BA7" t="b" cm="1">
        <f t="array" ref="BA7">IsRed('Large Dataset'!R7)</f>
        <v>1</v>
      </c>
      <c r="BB7" t="b" cm="1">
        <f t="array" ref="BB7">IsBlue('Large Dataset'!R7)</f>
        <v>0</v>
      </c>
      <c r="BC7" t="b" cm="1">
        <f t="array" ref="BC7">IsPurple('Large Dataset'!R7)</f>
        <v>0</v>
      </c>
      <c r="BD7" t="b" cm="1">
        <f t="array" ref="BD7">IsGreen('Large Dataset'!R7)</f>
        <v>0</v>
      </c>
      <c r="BE7" t="s">
        <v>1663</v>
      </c>
      <c r="BF7" s="42">
        <f>COUNTIFS(BA3:BA327,"TRUE",'Large Dataset'!$E$3:$E$327,"Geographical")</f>
        <v>6</v>
      </c>
      <c r="BG7" s="36">
        <f>COUNTIFS(BB3:BB327,"TRUE",'Large Dataset'!$E$3:$E$327,"Geographical")</f>
        <v>0</v>
      </c>
      <c r="BH7" s="6">
        <f>COUNTIFS(BC3:BC327,"TRUE",'Large Dataset'!$E$3:$E$327,"Geographical")</f>
        <v>1</v>
      </c>
      <c r="BI7" s="36">
        <f t="shared" si="5"/>
        <v>317</v>
      </c>
      <c r="BJ7" t="b" cm="1">
        <f t="array" ref="BJ7">IsRed('Large Dataset'!T7)</f>
        <v>0</v>
      </c>
      <c r="BK7" t="b" cm="1">
        <f t="array" ref="BK7">IsBlue('Large Dataset'!T7)</f>
        <v>0</v>
      </c>
      <c r="BL7" t="b" cm="1">
        <f t="array" ref="BL7">IsPurple('Large Dataset'!T7)</f>
        <v>0</v>
      </c>
      <c r="BM7" t="b" cm="1">
        <f t="array" ref="BM7">IsGreen('Large Dataset'!T7)</f>
        <v>0</v>
      </c>
      <c r="BN7" t="s">
        <v>1663</v>
      </c>
      <c r="BO7" s="42">
        <f>COUNTIFS(BJ3:BJ327,"TRUE",'Large Dataset'!$E$3:$E$327,"Geographical")</f>
        <v>5</v>
      </c>
      <c r="BP7" s="36">
        <f>COUNTIFS(BK3:BK327,"TRUE",'Large Dataset'!$E$3:$E$327,"Geographical")</f>
        <v>0</v>
      </c>
      <c r="BQ7" s="6">
        <f>COUNTIFS(BL3:BL327,"TRUE",'Large Dataset'!$E$3:$E$327,"Geographical")</f>
        <v>5</v>
      </c>
      <c r="BR7" s="36">
        <f t="shared" si="6"/>
        <v>314</v>
      </c>
      <c r="BS7" t="b" cm="1">
        <f t="array" ref="BS7">IsRed('Large Dataset'!U7)</f>
        <v>0</v>
      </c>
      <c r="BT7" t="b" cm="1">
        <f t="array" ref="BT7">IsBlue('Large Dataset'!U7)</f>
        <v>0</v>
      </c>
      <c r="BU7" t="b" cm="1">
        <f t="array" ref="BU7">IsPurple('Large Dataset'!U7)</f>
        <v>1</v>
      </c>
      <c r="BV7" t="b" cm="1">
        <f t="array" ref="BV7">IsGreen('Large Dataset'!U7)</f>
        <v>0</v>
      </c>
      <c r="BW7" t="s">
        <v>1663</v>
      </c>
      <c r="BX7" s="42">
        <f>COUNTIFS(BS3:BS327,"TRUE",'Large Dataset'!$E$3:$E$327,"Geographical")</f>
        <v>5</v>
      </c>
      <c r="BY7" s="36">
        <f>COUNTIFS(BT3:BT327,"TRUE",'Large Dataset'!$E$3:$E$327,"Geographical")</f>
        <v>5</v>
      </c>
      <c r="BZ7" s="6">
        <f>COUNTIFS(BU3:BU327,"TRUE",'Large Dataset'!$E$3:$E$327,"Geographical")</f>
        <v>3</v>
      </c>
      <c r="CA7" s="36">
        <f t="shared" si="7"/>
        <v>311</v>
      </c>
      <c r="CB7" s="109"/>
      <c r="CC7" s="100" t="s">
        <v>1663</v>
      </c>
      <c r="CD7" s="42">
        <f t="shared" si="8"/>
        <v>71</v>
      </c>
      <c r="CE7" s="36">
        <f t="shared" si="9"/>
        <v>18</v>
      </c>
      <c r="CF7">
        <f t="shared" si="10"/>
        <v>3</v>
      </c>
      <c r="CG7" s="36">
        <f t="shared" si="11"/>
        <v>1204</v>
      </c>
    </row>
    <row r="8" spans="1:85">
      <c r="A8" s="54" t="s">
        <v>1664</v>
      </c>
      <c r="B8" s="54">
        <f>COUNTIF('Large Dataset'!E:E, "Nature")</f>
        <v>6</v>
      </c>
      <c r="D8" s="78" t="s">
        <v>3008</v>
      </c>
      <c r="E8" s="80"/>
      <c r="G8" t="b" cm="1">
        <f t="array" ref="G8">IsRed('Large Dataset'!I8)</f>
        <v>0</v>
      </c>
      <c r="H8" t="b" cm="1">
        <f t="array" ref="H8">IsBlue('Large Dataset'!I8)</f>
        <v>0</v>
      </c>
      <c r="I8" t="b" cm="1">
        <f t="array" ref="I8">IsPurple('Large Dataset'!I8)</f>
        <v>0</v>
      </c>
      <c r="J8" t="b" cm="1">
        <f t="array" ref="J8">IsGreen('Large Dataset'!G8)</f>
        <v>0</v>
      </c>
      <c r="K8" s="42" t="s">
        <v>107</v>
      </c>
      <c r="L8" s="42">
        <f>COUNTIFS(G3:G327,"TRUE",'Large Dataset'!E3:E327,"Food")</f>
        <v>0</v>
      </c>
      <c r="M8" s="36">
        <f>COUNTIFS(H3:H327,"TRUE",'Large Dataset'!E3:E327,"Food")</f>
        <v>0</v>
      </c>
      <c r="N8">
        <f>COUNTIFS(I3:I327,"TRUE",'Large Dataset'!E3:E327,"Food")</f>
        <v>0</v>
      </c>
      <c r="O8" s="36">
        <f t="shared" si="0"/>
        <v>324</v>
      </c>
      <c r="P8" t="b" cm="1">
        <f t="array" ref="P8">IsRed('Large Dataset'!K8)</f>
        <v>0</v>
      </c>
      <c r="Q8" t="b" cm="1">
        <f t="array" ref="Q8">IsBlue('Large Dataset'!K8)</f>
        <v>0</v>
      </c>
      <c r="R8" t="b" cm="1">
        <f t="array" ref="R8">IsPurple('Large Dataset'!K8)</f>
        <v>0</v>
      </c>
      <c r="S8" t="b" cm="1">
        <f t="array" ref="S8">IsGreen('Large Dataset'!K8)</f>
        <v>0</v>
      </c>
      <c r="T8" t="s">
        <v>107</v>
      </c>
      <c r="U8" s="42">
        <f>COUNTIFS(P3:P327,"TRUE",'Large Dataset'!$E$3:$E$327,"Food")</f>
        <v>0</v>
      </c>
      <c r="V8" s="36">
        <f>COUNTIFS(Q3:Q327,"TRUE",'Large Dataset'!$E$3:$E$327,"Food")</f>
        <v>0</v>
      </c>
      <c r="W8" s="6">
        <f>COUNTIFS(R3:R327,"TRUE",'Large Dataset'!$E$3:$E$327,"Food")</f>
        <v>0</v>
      </c>
      <c r="X8" s="36">
        <f t="shared" si="1"/>
        <v>324</v>
      </c>
      <c r="Y8" t="b" cm="1">
        <f t="array" ref="Y8">IsRed('Large Dataset'!M8)</f>
        <v>0</v>
      </c>
      <c r="Z8" t="b" cm="1">
        <f t="array" ref="Z8">IsBlue('Large Dataset'!M8)</f>
        <v>0</v>
      </c>
      <c r="AA8" t="b" cm="1">
        <f t="array" ref="AA8">IsPurple('Large Dataset'!M8)</f>
        <v>0</v>
      </c>
      <c r="AB8" t="b" cm="1">
        <f t="array" ref="AB8">IsGreen('Large Dataset'!M8)</f>
        <v>0</v>
      </c>
      <c r="AC8" t="s">
        <v>107</v>
      </c>
      <c r="AD8" s="42">
        <f>COUNTIFS(Y3:Y327,"TRUE",'Large Dataset'!$E$3:$E$327,"Food")</f>
        <v>0</v>
      </c>
      <c r="AE8" s="36">
        <f>COUNTIFS(Z3:Z327,"TRUE",'Large Dataset'!$E$3:$E$327,"Food")</f>
        <v>0</v>
      </c>
      <c r="AF8" s="36">
        <f>COUNTIFS(AA3:AA327,"TRUE",'Large Dataset'!$E$3:$E$327,"Food")</f>
        <v>0</v>
      </c>
      <c r="AG8" s="36">
        <f t="shared" si="2"/>
        <v>324</v>
      </c>
      <c r="AH8" t="b" cm="1">
        <f t="array" ref="AH8">IsRed('Large Dataset'!O8)</f>
        <v>0</v>
      </c>
      <c r="AI8" t="b" cm="1">
        <f t="array" ref="AI8">IsBlue('Large Dataset'!O8)</f>
        <v>0</v>
      </c>
      <c r="AJ8" t="b" cm="1">
        <f t="array" ref="AJ8">IsPurple('Large Dataset'!O8)</f>
        <v>0</v>
      </c>
      <c r="AK8" t="b" cm="1">
        <f t="array" ref="AK8">IsGreen('Large Dataset'!O8)</f>
        <v>0</v>
      </c>
      <c r="AL8" t="s">
        <v>107</v>
      </c>
      <c r="AM8" s="42">
        <f>COUNTIFS(AH3:AH327,"TRUE",'Large Dataset'!$E$3:$E$327,"Food")</f>
        <v>0</v>
      </c>
      <c r="AN8" s="36">
        <f>COUNTIFS(AI3:AI327,"TRUE",'Large Dataset'!$E$3:$E$327,"Food")</f>
        <v>0</v>
      </c>
      <c r="AO8" s="6">
        <f>COUNTIFS(AJ3:AJ327,"TRUE",'Large Dataset'!$E$3:$E$327,"Food")</f>
        <v>0</v>
      </c>
      <c r="AP8" s="36">
        <f t="shared" si="3"/>
        <v>324</v>
      </c>
      <c r="AR8" t="b" cm="1">
        <f t="array" ref="AR8">IsRed('Large Dataset'!Q8)</f>
        <v>0</v>
      </c>
      <c r="AS8" t="b" cm="1">
        <f t="array" ref="AS8">IsBlue('Large Dataset'!Q8)</f>
        <v>0</v>
      </c>
      <c r="AT8" t="b" cm="1">
        <f t="array" ref="AT8">IsPurple('Large Dataset'!Q8)</f>
        <v>0</v>
      </c>
      <c r="AU8" t="b" cm="1">
        <f t="array" ref="AU8">IsGreen('Large Dataset'!Q8)</f>
        <v>0</v>
      </c>
      <c r="AV8" t="s">
        <v>107</v>
      </c>
      <c r="AW8" s="42">
        <f>COUNTIFS(AR3:AR327,"TRUE",'Large Dataset'!$E$3:$E$327,"Food")</f>
        <v>0</v>
      </c>
      <c r="AX8" s="36">
        <f>COUNTIFS(AS3:AS327,"TRUE",'Large Dataset'!$E$3:$E$327,"Food")</f>
        <v>0</v>
      </c>
      <c r="AY8" s="6">
        <f>COUNTIFS(AT3:AT327,"TRUE",'Large Dataset'!$E$3:$E$327,"Food")</f>
        <v>0</v>
      </c>
      <c r="AZ8" s="36">
        <f t="shared" si="4"/>
        <v>324</v>
      </c>
      <c r="BA8" t="b" cm="1">
        <f t="array" ref="BA8">IsRed('Large Dataset'!R8)</f>
        <v>0</v>
      </c>
      <c r="BB8" t="b" cm="1">
        <f t="array" ref="BB8">IsBlue('Large Dataset'!R8)</f>
        <v>0</v>
      </c>
      <c r="BC8" t="b" cm="1">
        <f t="array" ref="BC8">IsPurple('Large Dataset'!R8)</f>
        <v>0</v>
      </c>
      <c r="BD8" t="b" cm="1">
        <f t="array" ref="BD8">IsGreen('Large Dataset'!R8)</f>
        <v>0</v>
      </c>
      <c r="BE8" t="s">
        <v>107</v>
      </c>
      <c r="BF8" s="42">
        <f>COUNTIFS(BA3:BA327,"TRUE",'Large Dataset'!$E$3:$E$327,"Food")</f>
        <v>0</v>
      </c>
      <c r="BG8" s="36">
        <f>COUNTIFS(BB3:BB327,"TRUE",'Large Dataset'!$E$3:$E$327,"Food")</f>
        <v>0</v>
      </c>
      <c r="BH8" s="6">
        <f>COUNTIFS(BC3:BC327,"TRUE",'Large Dataset'!$E$3:$E$327,"Food")</f>
        <v>0</v>
      </c>
      <c r="BI8" s="36">
        <f t="shared" si="5"/>
        <v>324</v>
      </c>
      <c r="BJ8" t="b" cm="1">
        <f t="array" ref="BJ8">IsRed('Large Dataset'!T8)</f>
        <v>0</v>
      </c>
      <c r="BK8" t="b" cm="1">
        <f t="array" ref="BK8">IsBlue('Large Dataset'!T8)</f>
        <v>0</v>
      </c>
      <c r="BL8" t="b" cm="1">
        <f t="array" ref="BL8">IsPurple('Large Dataset'!T8)</f>
        <v>0</v>
      </c>
      <c r="BM8" t="b" cm="1">
        <f t="array" ref="BM8">IsGreen('Large Dataset'!T8)</f>
        <v>0</v>
      </c>
      <c r="BN8" t="s">
        <v>107</v>
      </c>
      <c r="BO8" s="42">
        <f>COUNTIFS(BJ3:BJ327,"TRUE",'Large Dataset'!$E$3:$E$327,"Food")</f>
        <v>0</v>
      </c>
      <c r="BP8" s="36">
        <f>COUNTIFS(BK3:BK327,"TRUE",'Large Dataset'!$E$3:$E$327,"Food")</f>
        <v>0</v>
      </c>
      <c r="BQ8" s="6">
        <f>COUNTIFS(BL3:BL327,"TRUE",'Large Dataset'!$E$3:$E$327,"Food")</f>
        <v>0</v>
      </c>
      <c r="BR8" s="36">
        <f t="shared" si="6"/>
        <v>324</v>
      </c>
      <c r="BS8" t="b" cm="1">
        <f t="array" ref="BS8">IsRed('Large Dataset'!U8)</f>
        <v>0</v>
      </c>
      <c r="BT8" t="b" cm="1">
        <f t="array" ref="BT8">IsBlue('Large Dataset'!U8)</f>
        <v>0</v>
      </c>
      <c r="BU8" t="b" cm="1">
        <f t="array" ref="BU8">IsPurple('Large Dataset'!U8)</f>
        <v>0</v>
      </c>
      <c r="BV8" t="b" cm="1">
        <f t="array" ref="BV8">IsGreen('Large Dataset'!U8)</f>
        <v>0</v>
      </c>
      <c r="BW8" t="s">
        <v>107</v>
      </c>
      <c r="BX8" s="42">
        <f>COUNTIFS(BS3:BS327,"TRUE",'Large Dataset'!$E$3:$E$327,"Food")</f>
        <v>0</v>
      </c>
      <c r="BY8" s="36">
        <f>COUNTIFS(BT3:BT327,"TRUE",'Large Dataset'!$E$3:$E$327,"Food")</f>
        <v>0</v>
      </c>
      <c r="BZ8" s="6">
        <f>COUNTIFS(BU3:BU327,"TRUE",'Large Dataset'!$E$3:$E$327,"Food")</f>
        <v>0</v>
      </c>
      <c r="CA8" s="36">
        <f t="shared" si="7"/>
        <v>324</v>
      </c>
      <c r="CB8" s="109"/>
      <c r="CC8" s="100" t="s">
        <v>107</v>
      </c>
      <c r="CD8" s="42">
        <f t="shared" si="8"/>
        <v>0</v>
      </c>
      <c r="CE8" s="36">
        <f t="shared" si="9"/>
        <v>0</v>
      </c>
      <c r="CF8">
        <f t="shared" si="10"/>
        <v>0</v>
      </c>
      <c r="CG8" s="36">
        <f t="shared" si="11"/>
        <v>1296</v>
      </c>
    </row>
    <row r="9" spans="1:85">
      <c r="A9" s="54" t="s">
        <v>110</v>
      </c>
      <c r="B9" s="54">
        <f>COUNTIF('Large Dataset'!E:E, "Employment")</f>
        <v>18</v>
      </c>
      <c r="D9" s="71">
        <f>D11*4</f>
        <v>1296</v>
      </c>
      <c r="E9" s="70"/>
      <c r="G9" t="b" cm="1">
        <f t="array" ref="G9">IsRed('Large Dataset'!I9)</f>
        <v>1</v>
      </c>
      <c r="H9" t="b" cm="1">
        <f t="array" ref="H9">IsBlue('Large Dataset'!I9)</f>
        <v>0</v>
      </c>
      <c r="I9" t="b" cm="1">
        <f t="array" ref="I9">IsPurple('Large Dataset'!I9)</f>
        <v>0</v>
      </c>
      <c r="J9" t="b" cm="1">
        <f t="array" ref="J9">IsGreen('Large Dataset'!G9)</f>
        <v>0</v>
      </c>
      <c r="K9" s="42" t="s">
        <v>1664</v>
      </c>
      <c r="L9" s="42">
        <f>COUNTIFS(G3:G327,"TRUE",'Large Dataset'!E3:E327,"Nature")</f>
        <v>1</v>
      </c>
      <c r="M9" s="36">
        <f>COUNTIFS(H3:H327,"TRUE",'Large Dataset'!E3:E327,"Nature")</f>
        <v>0</v>
      </c>
      <c r="N9">
        <f>COUNTIFS(I3:I327,"TRUE",'Large Dataset'!E3:E327,"Nature")</f>
        <v>0</v>
      </c>
      <c r="O9" s="36">
        <f t="shared" si="0"/>
        <v>323</v>
      </c>
      <c r="P9" t="b" cm="1">
        <f t="array" ref="P9">IsRed('Large Dataset'!K9)</f>
        <v>1</v>
      </c>
      <c r="Q9" t="b" cm="1">
        <f t="array" ref="Q9">IsBlue('Large Dataset'!K9)</f>
        <v>0</v>
      </c>
      <c r="R9" t="b" cm="1">
        <f t="array" ref="R9">IsPurple('Large Dataset'!K9)</f>
        <v>0</v>
      </c>
      <c r="S9" t="b" cm="1">
        <f t="array" ref="S9">IsGreen('Large Dataset'!K9)</f>
        <v>0</v>
      </c>
      <c r="T9" t="s">
        <v>1664</v>
      </c>
      <c r="U9" s="42">
        <f>COUNTIFS(P3:P327,"TRUE",'Large Dataset'!$E$3:$E$327,"Nature")</f>
        <v>0</v>
      </c>
      <c r="V9" s="36">
        <f>COUNTIFS(Q3:Q327,"TRUE",'Large Dataset'!$E$3:$E$327,"Nature")</f>
        <v>0</v>
      </c>
      <c r="W9" s="6">
        <f>COUNTIFS(R3:R327,"TRUE",'Large Dataset'!$E$3:$E$327,"Nature")</f>
        <v>0</v>
      </c>
      <c r="X9" s="36">
        <f t="shared" si="1"/>
        <v>324</v>
      </c>
      <c r="Y9" t="b" cm="1">
        <f t="array" ref="Y9">IsRed('Large Dataset'!M9)</f>
        <v>0</v>
      </c>
      <c r="Z9" t="b" cm="1">
        <f t="array" ref="Z9">IsBlue('Large Dataset'!M9)</f>
        <v>0</v>
      </c>
      <c r="AA9" t="b" cm="1">
        <f t="array" ref="AA9">IsPurple('Large Dataset'!M9)</f>
        <v>0</v>
      </c>
      <c r="AB9" t="b" cm="1">
        <f t="array" ref="AB9">IsGreen('Large Dataset'!M9)</f>
        <v>0</v>
      </c>
      <c r="AC9" t="s">
        <v>1664</v>
      </c>
      <c r="AD9" s="42">
        <f>COUNTIFS(Y3:Y327,"TRUE",'Large Dataset'!$E$3:$E$327,"Nature")</f>
        <v>0</v>
      </c>
      <c r="AE9" s="36">
        <f>COUNTIFS(Z3:Z327,"TRUE",'Large Dataset'!$E$3:$E$327,"Nature")</f>
        <v>0</v>
      </c>
      <c r="AF9" s="36">
        <f>COUNTIFS(AA3:AA327,"TRUE",'Large Dataset'!$E$3:$E$327,"Nature")</f>
        <v>0</v>
      </c>
      <c r="AG9" s="36">
        <f t="shared" si="2"/>
        <v>324</v>
      </c>
      <c r="AH9" t="b" cm="1">
        <f t="array" ref="AH9">IsRed('Large Dataset'!O9)</f>
        <v>0</v>
      </c>
      <c r="AI9" t="b" cm="1">
        <f t="array" ref="AI9">IsBlue('Large Dataset'!O9)</f>
        <v>0</v>
      </c>
      <c r="AJ9" t="b" cm="1">
        <f t="array" ref="AJ9">IsPurple('Large Dataset'!O9)</f>
        <v>0</v>
      </c>
      <c r="AK9" t="b" cm="1">
        <f t="array" ref="AK9">IsGreen('Large Dataset'!O9)</f>
        <v>0</v>
      </c>
      <c r="AL9" t="s">
        <v>1664</v>
      </c>
      <c r="AM9" s="42">
        <f>COUNTIFS(AH3:AH327,"TRUE",'Large Dataset'!$E$3:$E$327,"Nature")</f>
        <v>0</v>
      </c>
      <c r="AN9" s="36">
        <f>COUNTIFS(AI3:AI327,"TRUE",'Large Dataset'!$E$3:$E$327,"Nature")</f>
        <v>0</v>
      </c>
      <c r="AO9" s="6">
        <f>COUNTIFS(AJ3:AJ327,"TRUE",'Large Dataset'!$E$3:$E$327,"Nature")</f>
        <v>0</v>
      </c>
      <c r="AP9" s="36">
        <f t="shared" si="3"/>
        <v>324</v>
      </c>
      <c r="AR9" t="b" cm="1">
        <f t="array" ref="AR9">IsRed('Large Dataset'!Q9)</f>
        <v>0</v>
      </c>
      <c r="AS9" t="b" cm="1">
        <f t="array" ref="AS9">IsBlue('Large Dataset'!Q9)</f>
        <v>1</v>
      </c>
      <c r="AT9" t="b" cm="1">
        <f t="array" ref="AT9">IsPurple('Large Dataset'!Q9)</f>
        <v>0</v>
      </c>
      <c r="AU9" t="b" cm="1">
        <f t="array" ref="AU9">IsGreen('Large Dataset'!Q9)</f>
        <v>0</v>
      </c>
      <c r="AV9" t="s">
        <v>1664</v>
      </c>
      <c r="AW9" s="42">
        <f>COUNTIFS(AR3:AR327,"TRUE",'Large Dataset'!$E$3:$E$327,"Nature")</f>
        <v>0</v>
      </c>
      <c r="AX9" s="36">
        <f>COUNTIFS(AS3:AS327,"TRUE",'Large Dataset'!$E$3:$E$327,"Nature")</f>
        <v>0</v>
      </c>
      <c r="AY9" s="6">
        <f>COUNTIFS(AT3:AT327,"TRUE",'Large Dataset'!$E$3:$E$327,"Nature")</f>
        <v>0</v>
      </c>
      <c r="AZ9" s="36">
        <f t="shared" si="4"/>
        <v>324</v>
      </c>
      <c r="BA9" t="b" cm="1">
        <f t="array" ref="BA9">IsRed('Large Dataset'!R9)</f>
        <v>0</v>
      </c>
      <c r="BB9" t="b" cm="1">
        <f t="array" ref="BB9">IsBlue('Large Dataset'!R9)</f>
        <v>1</v>
      </c>
      <c r="BC9" t="b" cm="1">
        <f t="array" ref="BC9">IsPurple('Large Dataset'!R9)</f>
        <v>0</v>
      </c>
      <c r="BD9" t="b" cm="1">
        <f t="array" ref="BD9">IsGreen('Large Dataset'!R9)</f>
        <v>0</v>
      </c>
      <c r="BE9" t="s">
        <v>1664</v>
      </c>
      <c r="BF9" s="42">
        <f>COUNTIFS(BA3:BA327,"TRUE",'Large Dataset'!$E$3:$E$327,"Nature")</f>
        <v>0</v>
      </c>
      <c r="BG9" s="36">
        <f>COUNTIFS(BB3:BB327,"TRUE",'Large Dataset'!$E$3:$E$327,"Nature")</f>
        <v>0</v>
      </c>
      <c r="BH9" s="6">
        <f>COUNTIFS(BC3:BC327,"TRUE",'Large Dataset'!$E$3:$E$327,"Nature")</f>
        <v>0</v>
      </c>
      <c r="BI9" s="36">
        <f t="shared" si="5"/>
        <v>324</v>
      </c>
      <c r="BJ9" t="b" cm="1">
        <f t="array" ref="BJ9">IsRed('Large Dataset'!T9)</f>
        <v>0</v>
      </c>
      <c r="BK9" t="b" cm="1">
        <f t="array" ref="BK9">IsBlue('Large Dataset'!T9)</f>
        <v>1</v>
      </c>
      <c r="BL9" t="b" cm="1">
        <f t="array" ref="BL9">IsPurple('Large Dataset'!T9)</f>
        <v>0</v>
      </c>
      <c r="BM9" t="b" cm="1">
        <f t="array" ref="BM9">IsGreen('Large Dataset'!T9)</f>
        <v>0</v>
      </c>
      <c r="BN9" t="s">
        <v>1664</v>
      </c>
      <c r="BO9" s="42">
        <f>COUNTIFS(BJ3:BJ327,"TRUE",'Large Dataset'!$E$3:$E$327,"Nature")</f>
        <v>0</v>
      </c>
      <c r="BP9" s="36">
        <f>COUNTIFS(BK3:BK327,"TRUE",'Large Dataset'!$E$3:$E$327,"Nature")</f>
        <v>0</v>
      </c>
      <c r="BQ9" s="6">
        <f>COUNTIFS(BL3:BL327,"TRUE",'Large Dataset'!$E$3:$E$327,"Nature")</f>
        <v>0</v>
      </c>
      <c r="BR9" s="36">
        <f t="shared" si="6"/>
        <v>324</v>
      </c>
      <c r="BS9" t="b" cm="1">
        <f t="array" ref="BS9">IsRed('Large Dataset'!U9)</f>
        <v>0</v>
      </c>
      <c r="BT9" t="b" cm="1">
        <f t="array" ref="BT9">IsBlue('Large Dataset'!U9)</f>
        <v>1</v>
      </c>
      <c r="BU9" t="b" cm="1">
        <f t="array" ref="BU9">IsPurple('Large Dataset'!U9)</f>
        <v>0</v>
      </c>
      <c r="BV9" t="b" cm="1">
        <f t="array" ref="BV9">IsGreen('Large Dataset'!U9)</f>
        <v>0</v>
      </c>
      <c r="BW9" t="s">
        <v>1664</v>
      </c>
      <c r="BX9" s="42">
        <f>COUNTIFS(BS3:BS327,"TRUE",'Large Dataset'!$E$3:$E$327,"Nature")</f>
        <v>0</v>
      </c>
      <c r="BY9" s="36">
        <f>COUNTIFS(BT3:BT327,"TRUE",'Large Dataset'!$E$3:$E$327,"Nature")</f>
        <v>0</v>
      </c>
      <c r="BZ9" s="6">
        <f>COUNTIFS(BU3:BU327,"TRUE",'Large Dataset'!$E$3:$E$327,"Nature")</f>
        <v>0</v>
      </c>
      <c r="CA9" s="36">
        <f t="shared" si="7"/>
        <v>324</v>
      </c>
      <c r="CB9" s="109"/>
      <c r="CC9" s="100" t="s">
        <v>1664</v>
      </c>
      <c r="CD9" s="42">
        <f t="shared" si="8"/>
        <v>1</v>
      </c>
      <c r="CE9" s="36">
        <f t="shared" si="9"/>
        <v>0</v>
      </c>
      <c r="CF9">
        <f t="shared" si="10"/>
        <v>0</v>
      </c>
      <c r="CG9" s="36">
        <f t="shared" si="11"/>
        <v>1295</v>
      </c>
    </row>
    <row r="10" spans="1:85">
      <c r="A10" s="54" t="s">
        <v>108</v>
      </c>
      <c r="B10" s="54">
        <f>COUNTIF('Large Dataset'!E:E, "Transportation")</f>
        <v>6</v>
      </c>
      <c r="D10" s="91" t="s">
        <v>3009</v>
      </c>
      <c r="E10" s="81"/>
      <c r="G10" t="b" cm="1">
        <f t="array" ref="G10">IsRed('Large Dataset'!I10)</f>
        <v>1</v>
      </c>
      <c r="H10" t="b" cm="1">
        <f t="array" ref="H10">IsBlue('Large Dataset'!I10)</f>
        <v>0</v>
      </c>
      <c r="I10" t="b" cm="1">
        <f t="array" ref="I10">IsPurple('Large Dataset'!I10)</f>
        <v>0</v>
      </c>
      <c r="J10" t="b" cm="1">
        <f t="array" ref="J10">IsGreen('Large Dataset'!G10)</f>
        <v>0</v>
      </c>
      <c r="K10" s="42" t="s">
        <v>110</v>
      </c>
      <c r="L10" s="42">
        <f>COUNTIFS(G3:G327,"TRUE",'Large Dataset'!E3:E327,"Employment")</f>
        <v>0</v>
      </c>
      <c r="M10" s="36">
        <f>COUNTIFS(H3:H327,"TRUE",'Large Dataset'!E3:E327,"Employment")</f>
        <v>0</v>
      </c>
      <c r="N10">
        <f>COUNTIFS(I3:I327,"TRUE",'Large Dataset'!E3:E327,"Employment")</f>
        <v>0</v>
      </c>
      <c r="O10" s="36">
        <f t="shared" si="0"/>
        <v>324</v>
      </c>
      <c r="P10" t="b" cm="1">
        <f t="array" ref="P10">IsRed('Large Dataset'!K10)</f>
        <v>1</v>
      </c>
      <c r="Q10" t="b" cm="1">
        <f t="array" ref="Q10">IsBlue('Large Dataset'!K10)</f>
        <v>0</v>
      </c>
      <c r="R10" t="b" cm="1">
        <f t="array" ref="R10">IsPurple('Large Dataset'!K10)</f>
        <v>0</v>
      </c>
      <c r="S10" t="b" cm="1">
        <f t="array" ref="S10">IsGreen('Large Dataset'!K10)</f>
        <v>0</v>
      </c>
      <c r="T10" t="s">
        <v>110</v>
      </c>
      <c r="U10" s="42">
        <f>COUNTIFS(P3:P327,"TRUE",'Large Dataset'!$E$3:$E$327,"Employment")</f>
        <v>0</v>
      </c>
      <c r="V10" s="36">
        <f>COUNTIFS(Q3:Q327,"TRUE",'Large Dataset'!$E$3:$E$327,"Employment")</f>
        <v>0</v>
      </c>
      <c r="W10" s="6">
        <f>COUNTIFS(R3:R327,"TRUE",'Large Dataset'!$E$3:$E$327,"Employment")</f>
        <v>0</v>
      </c>
      <c r="X10" s="36">
        <f t="shared" si="1"/>
        <v>324</v>
      </c>
      <c r="Y10" t="b" cm="1">
        <f t="array" ref="Y10">IsRed('Large Dataset'!M10)</f>
        <v>0</v>
      </c>
      <c r="Z10" t="b" cm="1">
        <f t="array" ref="Z10">IsBlue('Large Dataset'!M10)</f>
        <v>1</v>
      </c>
      <c r="AA10" t="b" cm="1">
        <f t="array" ref="AA10">IsPurple('Large Dataset'!M10)</f>
        <v>0</v>
      </c>
      <c r="AB10" t="b" cm="1">
        <f t="array" ref="AB10">IsGreen('Large Dataset'!M10)</f>
        <v>0</v>
      </c>
      <c r="AC10" t="s">
        <v>110</v>
      </c>
      <c r="AD10" s="42">
        <f>COUNTIFS(Y3:Y327,"TRUE",'Large Dataset'!$E$3:$E$327,"Employment")</f>
        <v>0</v>
      </c>
      <c r="AE10" s="36">
        <f>COUNTIFS(Z3:Z327,"TRUE",'Large Dataset'!$E$3:$E$327,"Employment")</f>
        <v>0</v>
      </c>
      <c r="AF10" s="36">
        <f>COUNTIFS(AA3:AA327,"TRUE",'Large Dataset'!$E$3:$E$327,"Employment")</f>
        <v>0</v>
      </c>
      <c r="AG10" s="36">
        <f t="shared" si="2"/>
        <v>324</v>
      </c>
      <c r="AH10" t="b" cm="1">
        <f t="array" ref="AH10">IsRed('Large Dataset'!O10)</f>
        <v>0</v>
      </c>
      <c r="AI10" t="b" cm="1">
        <f t="array" ref="AI10">IsBlue('Large Dataset'!O10)</f>
        <v>1</v>
      </c>
      <c r="AJ10" t="b" cm="1">
        <f t="array" ref="AJ10">IsPurple('Large Dataset'!O10)</f>
        <v>0</v>
      </c>
      <c r="AK10" t="b" cm="1">
        <f t="array" ref="AK10">IsGreen('Large Dataset'!O10)</f>
        <v>0</v>
      </c>
      <c r="AL10" t="s">
        <v>110</v>
      </c>
      <c r="AM10" s="42">
        <f>COUNTIFS(AH3:AH327,"TRUE",'Large Dataset'!$E$3:$E$327,"Employment")</f>
        <v>0</v>
      </c>
      <c r="AN10" s="36">
        <f>COUNTIFS(AI3:AI327,"TRUE",'Large Dataset'!$E$3:$E$327,"Employment")</f>
        <v>1</v>
      </c>
      <c r="AO10" s="6">
        <f>COUNTIFS(AJ3:AJ327,"TRUE",'Large Dataset'!$E$3:$E$327,"Employment")</f>
        <v>0</v>
      </c>
      <c r="AP10" s="36">
        <f t="shared" si="3"/>
        <v>323</v>
      </c>
      <c r="AR10" t="b" cm="1">
        <f t="array" ref="AR10">IsRed('Large Dataset'!Q10)</f>
        <v>0</v>
      </c>
      <c r="AS10" t="b" cm="1">
        <f t="array" ref="AS10">IsBlue('Large Dataset'!Q10)</f>
        <v>1</v>
      </c>
      <c r="AT10" t="b" cm="1">
        <f t="array" ref="AT10">IsPurple('Large Dataset'!Q10)</f>
        <v>0</v>
      </c>
      <c r="AU10" t="b" cm="1">
        <f t="array" ref="AU10">IsGreen('Large Dataset'!Q10)</f>
        <v>0</v>
      </c>
      <c r="AV10" t="s">
        <v>110</v>
      </c>
      <c r="AW10" s="42">
        <f>COUNTIFS(AR3:AR327,"TRUE",'Large Dataset'!$E$3:$E$327,"Employment")</f>
        <v>0</v>
      </c>
      <c r="AX10" s="36">
        <f>COUNTIFS(AS3:AS327,"TRUE",'Large Dataset'!$E$3:$E$327,"Employment")</f>
        <v>0</v>
      </c>
      <c r="AY10" s="6">
        <f>COUNTIFS(AT3:AT327,"TRUE",'Large Dataset'!$E$3:$E$327,"Employment")</f>
        <v>0</v>
      </c>
      <c r="AZ10" s="36">
        <f t="shared" si="4"/>
        <v>324</v>
      </c>
      <c r="BA10" t="b" cm="1">
        <f t="array" ref="BA10">IsRed('Large Dataset'!R10)</f>
        <v>0</v>
      </c>
      <c r="BB10" t="b" cm="1">
        <f t="array" ref="BB10">IsBlue('Large Dataset'!R10)</f>
        <v>1</v>
      </c>
      <c r="BC10" t="b" cm="1">
        <f t="array" ref="BC10">IsPurple('Large Dataset'!R10)</f>
        <v>0</v>
      </c>
      <c r="BD10" t="b" cm="1">
        <f t="array" ref="BD10">IsGreen('Large Dataset'!R10)</f>
        <v>0</v>
      </c>
      <c r="BE10" t="s">
        <v>110</v>
      </c>
      <c r="BF10" s="42">
        <f>COUNTIFS(BA3:BA327,"TRUE",'Large Dataset'!$E$3:$E$327,"Employment")</f>
        <v>6</v>
      </c>
      <c r="BG10" s="36">
        <f>COUNTIFS(BB3:BB327,"TRUE",'Large Dataset'!$E$3:$E$327,"Employment")</f>
        <v>0</v>
      </c>
      <c r="BH10" s="6">
        <f>COUNTIFS(BC3:BC327,"TRUE",'Large Dataset'!$E$3:$E$327,"Employment")</f>
        <v>0</v>
      </c>
      <c r="BI10" s="36">
        <f t="shared" si="5"/>
        <v>318</v>
      </c>
      <c r="BJ10" t="b" cm="1">
        <f t="array" ref="BJ10">IsRed('Large Dataset'!T10)</f>
        <v>0</v>
      </c>
      <c r="BK10" t="b" cm="1">
        <f t="array" ref="BK10">IsBlue('Large Dataset'!T10)</f>
        <v>1</v>
      </c>
      <c r="BL10" t="b" cm="1">
        <f t="array" ref="BL10">IsPurple('Large Dataset'!T10)</f>
        <v>0</v>
      </c>
      <c r="BM10" t="b" cm="1">
        <f t="array" ref="BM10">IsGreen('Large Dataset'!T10)</f>
        <v>0</v>
      </c>
      <c r="BN10" t="s">
        <v>110</v>
      </c>
      <c r="BO10" s="42">
        <f>COUNTIFS(BJ3:BJ327,"TRUE",'Large Dataset'!$E$3:$E$327,"Employment")</f>
        <v>0</v>
      </c>
      <c r="BP10" s="36">
        <f>COUNTIFS(BK3:BK327,"TRUE",'Large Dataset'!$E$3:$E$327,"Employment")</f>
        <v>0</v>
      </c>
      <c r="BQ10" s="6">
        <f>COUNTIFS(BL3:BL327,"TRUE",'Large Dataset'!$E$3:$E$327,"Employment")</f>
        <v>0</v>
      </c>
      <c r="BR10" s="36">
        <f t="shared" si="6"/>
        <v>324</v>
      </c>
      <c r="BS10" t="b" cm="1">
        <f t="array" ref="BS10">IsRed('Large Dataset'!U10)</f>
        <v>0</v>
      </c>
      <c r="BT10" t="b" cm="1">
        <f t="array" ref="BT10">IsBlue('Large Dataset'!U10)</f>
        <v>1</v>
      </c>
      <c r="BU10" t="b" cm="1">
        <f t="array" ref="BU10">IsPurple('Large Dataset'!U10)</f>
        <v>0</v>
      </c>
      <c r="BV10" t="b" cm="1">
        <f t="array" ref="BV10">IsGreen('Large Dataset'!U10)</f>
        <v>0</v>
      </c>
      <c r="BW10" t="s">
        <v>110</v>
      </c>
      <c r="BX10" s="42">
        <f>COUNTIFS(BS3:BS327,"TRUE",'Large Dataset'!$E$3:$E$327,"Employment")</f>
        <v>5</v>
      </c>
      <c r="BY10" s="36">
        <f>COUNTIFS(BT3:BT327,"TRUE",'Large Dataset'!$E$3:$E$327,"Employment")</f>
        <v>0</v>
      </c>
      <c r="BZ10" s="6">
        <f>COUNTIFS(BU3:BU327,"TRUE",'Large Dataset'!$E$3:$E$327,"Employment")</f>
        <v>0</v>
      </c>
      <c r="CA10" s="36">
        <f t="shared" si="7"/>
        <v>319</v>
      </c>
      <c r="CB10" s="109"/>
      <c r="CC10" s="100" t="s">
        <v>110</v>
      </c>
      <c r="CD10" s="42">
        <f t="shared" si="8"/>
        <v>0</v>
      </c>
      <c r="CE10" s="36">
        <f t="shared" si="9"/>
        <v>1</v>
      </c>
      <c r="CF10">
        <f t="shared" si="10"/>
        <v>0</v>
      </c>
      <c r="CG10" s="36">
        <f t="shared" si="11"/>
        <v>1295</v>
      </c>
    </row>
    <row r="11" spans="1:85">
      <c r="A11" s="54" t="s">
        <v>1662</v>
      </c>
      <c r="B11" s="54">
        <f>COUNTIF('Large Dataset'!E:E, "Culture")</f>
        <v>27</v>
      </c>
      <c r="D11" s="92">
        <v>324</v>
      </c>
      <c r="E11" s="93"/>
      <c r="G11" t="b" cm="1">
        <f t="array" ref="G11">IsRed('Large Dataset'!I11)</f>
        <v>0</v>
      </c>
      <c r="H11" t="b" cm="1">
        <f t="array" ref="H11">IsBlue('Large Dataset'!I11)</f>
        <v>0</v>
      </c>
      <c r="I11" t="b" cm="1">
        <f t="array" ref="I11">IsPurple('Large Dataset'!I11)</f>
        <v>0</v>
      </c>
      <c r="J11" t="b" cm="1">
        <f t="array" ref="J11">IsGreen('Large Dataset'!G11)</f>
        <v>0</v>
      </c>
      <c r="K11" s="42" t="s">
        <v>108</v>
      </c>
      <c r="L11" s="42">
        <f>COUNTIFS(G3:G327,"TRUE",'Large Dataset'!E3:E327,"Transportation")</f>
        <v>1</v>
      </c>
      <c r="M11" s="36">
        <f>COUNTIFS(H3:H327,"TRUE",'Large Dataset'!E3:E327,"Transportation")</f>
        <v>0</v>
      </c>
      <c r="N11">
        <f>COUNTIFS(I3:I327,"TRUE",'Large Dataset'!E3:E327,"Transportation")</f>
        <v>0</v>
      </c>
      <c r="O11" s="36">
        <f t="shared" si="0"/>
        <v>323</v>
      </c>
      <c r="P11" t="b" cm="1">
        <f t="array" ref="P11">IsRed('Large Dataset'!K11)</f>
        <v>0</v>
      </c>
      <c r="Q11" t="b" cm="1">
        <f t="array" ref="Q11">IsBlue('Large Dataset'!K11)</f>
        <v>1</v>
      </c>
      <c r="R11" t="b" cm="1">
        <f t="array" ref="R11">IsPurple('Large Dataset'!K11)</f>
        <v>0</v>
      </c>
      <c r="S11" t="b" cm="1">
        <f t="array" ref="S11">IsGreen('Large Dataset'!K11)</f>
        <v>0</v>
      </c>
      <c r="T11" t="s">
        <v>108</v>
      </c>
      <c r="U11" s="42">
        <f>COUNTIFS(P3:P327,"TRUE",'Large Dataset'!$E$3:$E$327,"Transportation")</f>
        <v>0</v>
      </c>
      <c r="V11" s="36">
        <f>COUNTIFS(Q3:Q327,"TRUE",'Large Dataset'!$E$3:$E$327,"Transportation")</f>
        <v>0</v>
      </c>
      <c r="W11" s="6">
        <f>COUNTIFS(R3:R327,"TRUE",'Large Dataset'!$E$3:$E$327,"Transportation")</f>
        <v>0</v>
      </c>
      <c r="X11" s="36">
        <f t="shared" si="1"/>
        <v>324</v>
      </c>
      <c r="Y11" t="b" cm="1">
        <f t="array" ref="Y11">IsRed('Large Dataset'!M11)</f>
        <v>1</v>
      </c>
      <c r="Z11" t="b" cm="1">
        <f t="array" ref="Z11">IsBlue('Large Dataset'!M11)</f>
        <v>0</v>
      </c>
      <c r="AA11" t="b" cm="1">
        <f t="array" ref="AA11">IsPurple('Large Dataset'!M11)</f>
        <v>0</v>
      </c>
      <c r="AB11" t="b" cm="1">
        <f t="array" ref="AB11">IsGreen('Large Dataset'!M11)</f>
        <v>0</v>
      </c>
      <c r="AC11" t="s">
        <v>108</v>
      </c>
      <c r="AD11" s="42">
        <f>COUNTIFS(Y3:Y327,"TRUE",'Large Dataset'!$E$3:$E$327,"Transportation")</f>
        <v>0</v>
      </c>
      <c r="AE11" s="36">
        <f>COUNTIFS(Z3:Z327,"TRUE",'Large Dataset'!$E$3:$E$327,"Transportation")</f>
        <v>0</v>
      </c>
      <c r="AF11" s="36">
        <f>COUNTIFS(AA3:AA327,"TRUE",'Large Dataset'!$E$3:$E$327,"Transportation")</f>
        <v>0</v>
      </c>
      <c r="AG11" s="36">
        <f t="shared" si="2"/>
        <v>324</v>
      </c>
      <c r="AH11" t="b" cm="1">
        <f t="array" ref="AH11">IsRed('Large Dataset'!O11)</f>
        <v>0</v>
      </c>
      <c r="AI11" t="b" cm="1">
        <f t="array" ref="AI11">IsBlue('Large Dataset'!O11)</f>
        <v>1</v>
      </c>
      <c r="AJ11" t="b" cm="1">
        <f t="array" ref="AJ11">IsPurple('Large Dataset'!O11)</f>
        <v>0</v>
      </c>
      <c r="AK11" t="b" cm="1">
        <f t="array" ref="AK11">IsGreen('Large Dataset'!O11)</f>
        <v>0</v>
      </c>
      <c r="AL11" t="s">
        <v>108</v>
      </c>
      <c r="AM11" s="42">
        <f>COUNTIFS(AH3:AH327,"TRUE",'Large Dataset'!$E$3:$E$327,"Transportation")</f>
        <v>1</v>
      </c>
      <c r="AN11" s="36">
        <f>COUNTIFS(AI3:AI327,"TRUE",'Large Dataset'!$E$3:$E$327,"Transportation")</f>
        <v>2</v>
      </c>
      <c r="AO11" s="6">
        <f>COUNTIFS(AJ3:AJ327,"TRUE",'Large Dataset'!$E$3:$E$327,"Transportation")</f>
        <v>0</v>
      </c>
      <c r="AP11" s="36">
        <f t="shared" si="3"/>
        <v>321</v>
      </c>
      <c r="AR11" t="b" cm="1">
        <f t="array" ref="AR11">IsRed('Large Dataset'!Q11)</f>
        <v>0</v>
      </c>
      <c r="AS11" t="b" cm="1">
        <f t="array" ref="AS11">IsBlue('Large Dataset'!Q11)</f>
        <v>1</v>
      </c>
      <c r="AT11" t="b" cm="1">
        <f t="array" ref="AT11">IsPurple('Large Dataset'!Q11)</f>
        <v>0</v>
      </c>
      <c r="AU11" t="b" cm="1">
        <f t="array" ref="AU11">IsGreen('Large Dataset'!Q11)</f>
        <v>0</v>
      </c>
      <c r="AV11" t="s">
        <v>108</v>
      </c>
      <c r="AW11" s="42">
        <f>COUNTIFS(AR3:AR327,"TRUE",'Large Dataset'!$E$3:$E$327,"Transportation")</f>
        <v>3</v>
      </c>
      <c r="AX11" s="36">
        <f>COUNTIFS(AS3:AS327,"TRUE",'Large Dataset'!$E$3:$E$327,"Transportation")</f>
        <v>0</v>
      </c>
      <c r="AY11" s="6">
        <f>COUNTIFS(AT3:AT327,"TRUE",'Large Dataset'!$E$3:$E$327,"Transportation")</f>
        <v>0</v>
      </c>
      <c r="AZ11" s="36">
        <f t="shared" si="4"/>
        <v>321</v>
      </c>
      <c r="BA11" t="b" cm="1">
        <f t="array" ref="BA11">IsRed('Large Dataset'!R11)</f>
        <v>0</v>
      </c>
      <c r="BB11" t="b" cm="1">
        <f t="array" ref="BB11">IsBlue('Large Dataset'!R11)</f>
        <v>1</v>
      </c>
      <c r="BC11" t="b" cm="1">
        <f t="array" ref="BC11">IsPurple('Large Dataset'!R11)</f>
        <v>0</v>
      </c>
      <c r="BD11" t="b" cm="1">
        <f t="array" ref="BD11">IsGreen('Large Dataset'!R11)</f>
        <v>0</v>
      </c>
      <c r="BE11" t="s">
        <v>108</v>
      </c>
      <c r="BF11" s="42">
        <f>COUNTIFS(BA3:BA327,"TRUE",'Large Dataset'!$E$3:$E$327,"Transportation")</f>
        <v>4</v>
      </c>
      <c r="BG11" s="36">
        <f>COUNTIFS(BB3:BB327,"TRUE",'Large Dataset'!$E$3:$E$327,"Transportation")</f>
        <v>0</v>
      </c>
      <c r="BH11" s="6">
        <f>COUNTIFS(BC3:BC327,"TRUE",'Large Dataset'!$E$3:$E$327,"Transportation")</f>
        <v>0</v>
      </c>
      <c r="BI11" s="36">
        <f t="shared" si="5"/>
        <v>320</v>
      </c>
      <c r="BJ11" t="b" cm="1">
        <f t="array" ref="BJ11">IsRed('Large Dataset'!T11)</f>
        <v>0</v>
      </c>
      <c r="BK11" t="b" cm="1">
        <f t="array" ref="BK11">IsBlue('Large Dataset'!T11)</f>
        <v>1</v>
      </c>
      <c r="BL11" t="b" cm="1">
        <f t="array" ref="BL11">IsPurple('Large Dataset'!T11)</f>
        <v>0</v>
      </c>
      <c r="BM11" t="b" cm="1">
        <f t="array" ref="BM11">IsGreen('Large Dataset'!T11)</f>
        <v>0</v>
      </c>
      <c r="BN11" t="s">
        <v>108</v>
      </c>
      <c r="BO11" s="42">
        <f>COUNTIFS(BJ3:BJ327,"TRUE",'Large Dataset'!$E$3:$E$327,"Transportation")</f>
        <v>1</v>
      </c>
      <c r="BP11" s="36">
        <f>COUNTIFS(BK3:BK327,"TRUE",'Large Dataset'!$E$3:$E$327,"Transportation")</f>
        <v>0</v>
      </c>
      <c r="BQ11" s="6">
        <f>COUNTIFS(BL3:BL327,"TRUE",'Large Dataset'!$E$3:$E$327,"Transportation")</f>
        <v>0</v>
      </c>
      <c r="BR11" s="36">
        <f t="shared" si="6"/>
        <v>323</v>
      </c>
      <c r="BS11" t="b" cm="1">
        <f t="array" ref="BS11">IsRed('Large Dataset'!U11)</f>
        <v>0</v>
      </c>
      <c r="BT11" t="b" cm="1">
        <f t="array" ref="BT11">IsBlue('Large Dataset'!U11)</f>
        <v>1</v>
      </c>
      <c r="BU11" t="b" cm="1">
        <f t="array" ref="BU11">IsPurple('Large Dataset'!U11)</f>
        <v>0</v>
      </c>
      <c r="BV11" t="b" cm="1">
        <f t="array" ref="BV11">IsGreen('Large Dataset'!U11)</f>
        <v>0</v>
      </c>
      <c r="BW11" t="s">
        <v>108</v>
      </c>
      <c r="BX11" s="42">
        <f>COUNTIFS(BS3:BS327,"TRUE",'Large Dataset'!$E$3:$E$327,"Transportation")</f>
        <v>6</v>
      </c>
      <c r="BY11" s="36">
        <f>COUNTIFS(BT3:BT327,"TRUE",'Large Dataset'!$E$3:$E$327,"Transportation")</f>
        <v>0</v>
      </c>
      <c r="BZ11" s="6">
        <f>COUNTIFS(BU3:BU327,"TRUE",'Large Dataset'!$E$3:$E$327,"Transportation")</f>
        <v>0</v>
      </c>
      <c r="CA11" s="36">
        <f t="shared" si="7"/>
        <v>318</v>
      </c>
      <c r="CB11" s="109"/>
      <c r="CC11" s="100" t="s">
        <v>108</v>
      </c>
      <c r="CD11" s="42">
        <f t="shared" si="8"/>
        <v>2</v>
      </c>
      <c r="CE11" s="36">
        <f t="shared" si="9"/>
        <v>2</v>
      </c>
      <c r="CF11">
        <f t="shared" si="10"/>
        <v>0</v>
      </c>
      <c r="CG11" s="36">
        <f t="shared" si="11"/>
        <v>1292</v>
      </c>
    </row>
    <row r="12" spans="1:85">
      <c r="A12" s="54" t="s">
        <v>1665</v>
      </c>
      <c r="B12" s="54">
        <f>SUM(B3:B11)</f>
        <v>325</v>
      </c>
      <c r="G12" t="b" cm="1">
        <f t="array" ref="G12">IsRed('Large Dataset'!I12)</f>
        <v>1</v>
      </c>
      <c r="H12" t="b" cm="1">
        <f t="array" ref="H12">IsBlue('Large Dataset'!I12)</f>
        <v>0</v>
      </c>
      <c r="I12" t="b" cm="1">
        <f t="array" ref="I12">IsPurple('Large Dataset'!I12)</f>
        <v>0</v>
      </c>
      <c r="J12" t="b" cm="1">
        <f t="array" ref="J12">IsGreen('Large Dataset'!G12)</f>
        <v>0</v>
      </c>
      <c r="K12" s="42" t="s">
        <v>1662</v>
      </c>
      <c r="L12" s="42">
        <f>COUNTIFS(G3:G327,"TRUE",'Large Dataset'!E3:E327,"Culture")</f>
        <v>3</v>
      </c>
      <c r="M12" s="36">
        <f>COUNTIFS(H3:H327,"TRUE",'Large Dataset'!E3:E327,"Culture")</f>
        <v>2</v>
      </c>
      <c r="N12">
        <f>COUNTIFS(I3:I327,"TRUE",'Large Dataset'!E3:E327,"Culture")</f>
        <v>0</v>
      </c>
      <c r="O12" s="46">
        <f t="shared" si="0"/>
        <v>319</v>
      </c>
      <c r="P12" t="b" cm="1">
        <f t="array" ref="P12">IsRed('Large Dataset'!K12)</f>
        <v>1</v>
      </c>
      <c r="Q12" t="b" cm="1">
        <f t="array" ref="Q12">IsBlue('Large Dataset'!K12)</f>
        <v>0</v>
      </c>
      <c r="R12" t="b" cm="1">
        <f t="array" ref="R12">IsPurple('Large Dataset'!K12)</f>
        <v>0</v>
      </c>
      <c r="S12" t="b" cm="1">
        <f t="array" ref="S12">IsGreen('Large Dataset'!K12)</f>
        <v>0</v>
      </c>
      <c r="T12" t="s">
        <v>1662</v>
      </c>
      <c r="U12" s="42">
        <f>COUNTIFS(P3:P327,"TRUE",'Large Dataset'!$E$3:$E$327,"Culture")</f>
        <v>3</v>
      </c>
      <c r="V12" s="36">
        <f>COUNTIFS(Q3:Q327,"TRUE",'Large Dataset'!$E$3:$E$327,"Culture")</f>
        <v>0</v>
      </c>
      <c r="W12" s="6">
        <f>COUNTIFS(R3:R327,"TRUE",'Large Dataset'!$E$3:$E$327,"Culture")</f>
        <v>0</v>
      </c>
      <c r="X12" s="46">
        <f t="shared" si="1"/>
        <v>321</v>
      </c>
      <c r="Y12" t="b" cm="1">
        <f t="array" ref="Y12">IsRed('Large Dataset'!M12)</f>
        <v>1</v>
      </c>
      <c r="Z12" t="b" cm="1">
        <f t="array" ref="Z12">IsBlue('Large Dataset'!M12)</f>
        <v>0</v>
      </c>
      <c r="AA12" t="b" cm="1">
        <f t="array" ref="AA12">IsPurple('Large Dataset'!M12)</f>
        <v>0</v>
      </c>
      <c r="AB12" t="b" cm="1">
        <f t="array" ref="AB12">IsGreen('Large Dataset'!M12)</f>
        <v>0</v>
      </c>
      <c r="AC12" t="s">
        <v>1662</v>
      </c>
      <c r="AD12" s="42">
        <f>COUNTIFS(Y3:Y327,"TRUE",'Large Dataset'!$E$3:$E$327,"Culture")</f>
        <v>3</v>
      </c>
      <c r="AE12" s="36">
        <f>COUNTIFS(Z3:Z327,"TRUE",'Large Dataset'!$E$3:$E$327,"Culture")</f>
        <v>2</v>
      </c>
      <c r="AF12" s="46">
        <f>COUNTIFS(AA3:AA327,"TRUE",'Large Dataset'!$E$3:$E$327,"Culture")</f>
        <v>0</v>
      </c>
      <c r="AG12" s="46">
        <f t="shared" si="2"/>
        <v>319</v>
      </c>
      <c r="AH12" t="b" cm="1">
        <f t="array" ref="AH12">IsRed('Large Dataset'!O12)</f>
        <v>0</v>
      </c>
      <c r="AI12" t="b" cm="1">
        <f t="array" ref="AI12">IsBlue('Large Dataset'!O12)</f>
        <v>1</v>
      </c>
      <c r="AJ12" t="b" cm="1">
        <f t="array" ref="AJ12">IsPurple('Large Dataset'!O12)</f>
        <v>0</v>
      </c>
      <c r="AK12" t="b" cm="1">
        <f t="array" ref="AK12">IsGreen('Large Dataset'!O12)</f>
        <v>0</v>
      </c>
      <c r="AL12" t="s">
        <v>1662</v>
      </c>
      <c r="AM12" s="42">
        <f>COUNTIFS(AH3:AH327,"TRUE",'Large Dataset'!$E$3:$E$327,"Culture")</f>
        <v>2</v>
      </c>
      <c r="AN12" s="36">
        <f>COUNTIFS(AI3:AI327,"TRUE",'Large Dataset'!$E$3:$E$327,"Culture")</f>
        <v>1</v>
      </c>
      <c r="AO12" s="6">
        <f>COUNTIFS(AJ3:AJ327,"TRUE",'Large Dataset'!$E$3:$E$327,"Culture")</f>
        <v>0</v>
      </c>
      <c r="AP12" s="46">
        <f t="shared" si="3"/>
        <v>321</v>
      </c>
      <c r="AR12" t="b" cm="1">
        <f t="array" ref="AR12">IsRed('Large Dataset'!Q12)</f>
        <v>0</v>
      </c>
      <c r="AS12" t="b" cm="1">
        <f t="array" ref="AS12">IsBlue('Large Dataset'!Q12)</f>
        <v>0</v>
      </c>
      <c r="AT12" t="b" cm="1">
        <f t="array" ref="AT12">IsPurple('Large Dataset'!Q12)</f>
        <v>1</v>
      </c>
      <c r="AU12" t="b" cm="1">
        <f t="array" ref="AU12">IsGreen('Large Dataset'!Q12)</f>
        <v>0</v>
      </c>
      <c r="AV12" t="s">
        <v>1662</v>
      </c>
      <c r="AW12" s="42">
        <f>COUNTIFS(AR3:AR327,"TRUE",'Large Dataset'!$E$3:$E$327,"Culture")</f>
        <v>0</v>
      </c>
      <c r="AX12" s="36">
        <f>COUNTIFS(AS3:AS327,"TRUE",'Large Dataset'!$E$3:$E$327,"Culture")</f>
        <v>0</v>
      </c>
      <c r="AY12" s="6">
        <f>COUNTIFS(AT3:AT327,"TRUE",'Large Dataset'!$E$3:$E$327,"Culture")</f>
        <v>0</v>
      </c>
      <c r="AZ12" s="46">
        <f t="shared" si="4"/>
        <v>324</v>
      </c>
      <c r="BA12" t="b" cm="1">
        <f t="array" ref="BA12">IsRed('Large Dataset'!R12)</f>
        <v>0</v>
      </c>
      <c r="BB12" t="b" cm="1">
        <f t="array" ref="BB12">IsBlue('Large Dataset'!R12)</f>
        <v>1</v>
      </c>
      <c r="BC12" t="b" cm="1">
        <f t="array" ref="BC12">IsPurple('Large Dataset'!R12)</f>
        <v>0</v>
      </c>
      <c r="BD12" t="b" cm="1">
        <f t="array" ref="BD12">IsGreen('Large Dataset'!R12)</f>
        <v>0</v>
      </c>
      <c r="BE12" t="s">
        <v>1662</v>
      </c>
      <c r="BF12" s="42">
        <f>COUNTIFS(BA3:BA327,"TRUE",'Large Dataset'!$E$3:$E$327,"Culture")</f>
        <v>0</v>
      </c>
      <c r="BG12" s="36">
        <f>COUNTIFS(BB3:BB327,"TRUE",'Large Dataset'!$E$3:$E$327,"Culture")</f>
        <v>0</v>
      </c>
      <c r="BH12" s="6">
        <f>COUNTIFS(BC3:BC327,"TRUE",'Large Dataset'!$E$3:$E$327,"Culture")</f>
        <v>0</v>
      </c>
      <c r="BI12" s="46">
        <f t="shared" si="5"/>
        <v>324</v>
      </c>
      <c r="BJ12" t="b" cm="1">
        <f t="array" ref="BJ12">IsRed('Large Dataset'!T12)</f>
        <v>0</v>
      </c>
      <c r="BK12" t="b" cm="1">
        <f t="array" ref="BK12">IsBlue('Large Dataset'!T12)</f>
        <v>1</v>
      </c>
      <c r="BL12" t="b" cm="1">
        <f t="array" ref="BL12">IsPurple('Large Dataset'!T12)</f>
        <v>0</v>
      </c>
      <c r="BM12" t="b" cm="1">
        <f t="array" ref="BM12">IsGreen('Large Dataset'!T12)</f>
        <v>0</v>
      </c>
      <c r="BN12" t="s">
        <v>1662</v>
      </c>
      <c r="BO12" s="42">
        <f>COUNTIFS(BJ3:BJ327,"TRUE",'Large Dataset'!$E$3:$E$327,"Culture")</f>
        <v>0</v>
      </c>
      <c r="BP12" s="36">
        <f>COUNTIFS(BK3:BK327,"TRUE",'Large Dataset'!$E$3:$E$327,"Culture")</f>
        <v>0</v>
      </c>
      <c r="BQ12" s="6">
        <f>COUNTIFS(BL3:BL327,"TRUE",'Large Dataset'!$E$3:$E$327,"Culture")</f>
        <v>0</v>
      </c>
      <c r="BR12" s="46">
        <f t="shared" si="6"/>
        <v>324</v>
      </c>
      <c r="BS12" t="b" cm="1">
        <f t="array" ref="BS12">IsRed('Large Dataset'!U12)</f>
        <v>0</v>
      </c>
      <c r="BT12" t="b" cm="1">
        <f t="array" ref="BT12">IsBlue('Large Dataset'!U12)</f>
        <v>1</v>
      </c>
      <c r="BU12" t="b" cm="1">
        <f t="array" ref="BU12">IsPurple('Large Dataset'!U12)</f>
        <v>0</v>
      </c>
      <c r="BV12" t="b" cm="1">
        <f t="array" ref="BV12">IsGreen('Large Dataset'!U12)</f>
        <v>0</v>
      </c>
      <c r="BW12" t="s">
        <v>1662</v>
      </c>
      <c r="BX12" s="42">
        <f>COUNTIFS(BS3:BS327,"TRUE",'Large Dataset'!$E$3:$E$327,"Culture")</f>
        <v>0</v>
      </c>
      <c r="BY12" s="36">
        <f>COUNTIFS(BT3:BT327,"TRUE",'Large Dataset'!$E$3:$E$327,"Culture")</f>
        <v>0</v>
      </c>
      <c r="BZ12" s="6">
        <f>COUNTIFS(BU3:BU327,"TRUE",'Large Dataset'!$E$3:$E$327,"Culture")</f>
        <v>0</v>
      </c>
      <c r="CA12" s="46">
        <f t="shared" si="7"/>
        <v>324</v>
      </c>
      <c r="CB12" s="109"/>
      <c r="CC12" s="100" t="s">
        <v>1662</v>
      </c>
      <c r="CD12" s="43">
        <f t="shared" si="8"/>
        <v>11</v>
      </c>
      <c r="CE12" s="46">
        <f t="shared" si="9"/>
        <v>5</v>
      </c>
      <c r="CF12" s="44">
        <f t="shared" si="10"/>
        <v>0</v>
      </c>
      <c r="CG12" s="46">
        <f t="shared" si="11"/>
        <v>1280</v>
      </c>
    </row>
    <row r="13" spans="1:85">
      <c r="G13" s="12" t="b" cm="1">
        <f t="array" ref="G13">IsRed('Large Dataset'!I13)</f>
        <v>1</v>
      </c>
      <c r="H13" s="47" t="b" cm="1">
        <f t="array" ref="H13">IsBlue('Large Dataset'!I13)</f>
        <v>0</v>
      </c>
      <c r="I13" s="47" t="b" cm="1">
        <f t="array" ref="I13">IsPurple('Large Dataset'!I13)</f>
        <v>0</v>
      </c>
      <c r="J13" s="47" t="b" cm="1">
        <f t="array" ref="J13">IsGreen('Large Dataset'!G13)</f>
        <v>0</v>
      </c>
      <c r="K13" s="52" t="s">
        <v>3004</v>
      </c>
      <c r="L13" s="49">
        <f>SUM(L4:L12)</f>
        <v>49</v>
      </c>
      <c r="M13" s="48">
        <f t="shared" ref="M13:AE13" si="12">SUM(M4:M12)</f>
        <v>7</v>
      </c>
      <c r="N13" s="50">
        <f t="shared" si="12"/>
        <v>8</v>
      </c>
      <c r="O13" s="56">
        <f>$D$11-(L13+M13+N13)</f>
        <v>260</v>
      </c>
      <c r="P13" t="b" cm="1">
        <f t="array" ref="P13">IsRed('Large Dataset'!K13)</f>
        <v>0</v>
      </c>
      <c r="Q13" t="b" cm="1">
        <f t="array" ref="Q13">IsBlue('Large Dataset'!K13)</f>
        <v>1</v>
      </c>
      <c r="R13" t="b" cm="1">
        <f t="array" ref="R13">IsPurple('Large Dataset'!K13)</f>
        <v>0</v>
      </c>
      <c r="S13" t="b" cm="1">
        <f t="array" ref="S13">IsGreen('Large Dataset'!K13)</f>
        <v>0</v>
      </c>
      <c r="T13" s="55" t="s">
        <v>3004</v>
      </c>
      <c r="U13" s="50">
        <f t="shared" si="12"/>
        <v>32</v>
      </c>
      <c r="V13" s="48">
        <f t="shared" si="12"/>
        <v>13</v>
      </c>
      <c r="W13" s="50">
        <f t="shared" si="12"/>
        <v>9</v>
      </c>
      <c r="X13" s="50">
        <f>$D$11-(U13+V13+W13)</f>
        <v>270</v>
      </c>
      <c r="Y13" t="b" cm="1">
        <f t="array" ref="Y13">IsRed('Large Dataset'!M13)</f>
        <v>1</v>
      </c>
      <c r="Z13" t="b" cm="1">
        <f t="array" ref="Z13">IsBlue('Large Dataset'!M13)</f>
        <v>0</v>
      </c>
      <c r="AA13" t="b" cm="1">
        <f t="array" ref="AA13">IsPurple('Large Dataset'!M13)</f>
        <v>0</v>
      </c>
      <c r="AB13" t="b" cm="1">
        <f t="array" ref="AB13">IsGreen('Large Dataset'!M13)</f>
        <v>0</v>
      </c>
      <c r="AC13" s="52" t="s">
        <v>3004</v>
      </c>
      <c r="AD13" s="48">
        <f t="shared" si="12"/>
        <v>50</v>
      </c>
      <c r="AE13" s="50">
        <f t="shared" si="12"/>
        <v>10</v>
      </c>
      <c r="AF13" s="51">
        <f t="shared" ref="AF13" si="13">SUM(AF4:AF12)</f>
        <v>9</v>
      </c>
      <c r="AG13" s="50">
        <f>$D$11-(AD13+AE13+AF13)</f>
        <v>255</v>
      </c>
      <c r="AH13" t="b" cm="1">
        <f t="array" ref="AH13">IsRed('Large Dataset'!O13)</f>
        <v>0</v>
      </c>
      <c r="AI13" t="b" cm="1">
        <f t="array" ref="AI13">IsBlue('Large Dataset'!O13)</f>
        <v>1</v>
      </c>
      <c r="AJ13" t="b" cm="1">
        <f t="array" ref="AJ13">IsPurple('Large Dataset'!O13)</f>
        <v>0</v>
      </c>
      <c r="AK13" t="b" cm="1">
        <f t="array" ref="AK13">IsGreen('Large Dataset'!O13)</f>
        <v>0</v>
      </c>
      <c r="AL13" s="52" t="s">
        <v>3004</v>
      </c>
      <c r="AM13" s="50">
        <f t="shared" ref="AM13" si="14">SUM(AM4:AM12)</f>
        <v>40</v>
      </c>
      <c r="AN13" s="51">
        <f t="shared" ref="AN13" si="15">SUM(AN4:AN12)</f>
        <v>65</v>
      </c>
      <c r="AO13" s="50">
        <f t="shared" ref="AO13" si="16">SUM(AO4:AO12)</f>
        <v>8</v>
      </c>
      <c r="AP13" s="50">
        <f>$D$11-(AM13+AN13+AO13)</f>
        <v>211</v>
      </c>
      <c r="AR13" t="b" cm="1">
        <f t="array" ref="AR13">IsRed('Large Dataset'!Q13)</f>
        <v>0</v>
      </c>
      <c r="AS13" t="b" cm="1">
        <f t="array" ref="AS13">IsBlue('Large Dataset'!Q13)</f>
        <v>1</v>
      </c>
      <c r="AT13" t="b" cm="1">
        <f t="array" ref="AT13">IsPurple('Large Dataset'!Q13)</f>
        <v>0</v>
      </c>
      <c r="AU13" t="b" cm="1">
        <f t="array" ref="AU13">IsGreen('Large Dataset'!Q13)</f>
        <v>0</v>
      </c>
      <c r="AV13" s="52" t="s">
        <v>3004</v>
      </c>
      <c r="AW13" s="50">
        <f t="shared" ref="AW13:AY13" si="17">SUM(AW4:AW12)</f>
        <v>16</v>
      </c>
      <c r="AX13" s="51">
        <f t="shared" si="17"/>
        <v>4</v>
      </c>
      <c r="AY13" s="50">
        <f t="shared" si="17"/>
        <v>12</v>
      </c>
      <c r="AZ13" s="50">
        <f>$D$11-(AW13+AX13+AY13)</f>
        <v>292</v>
      </c>
      <c r="BA13" t="b" cm="1">
        <f t="array" ref="BA13">IsRed('Large Dataset'!R13)</f>
        <v>0</v>
      </c>
      <c r="BB13" t="b" cm="1">
        <f t="array" ref="BB13">IsBlue('Large Dataset'!R13)</f>
        <v>1</v>
      </c>
      <c r="BC13" t="b" cm="1">
        <f t="array" ref="BC13">IsPurple('Large Dataset'!R13)</f>
        <v>0</v>
      </c>
      <c r="BD13" t="b" cm="1">
        <f t="array" ref="BD13">IsGreen('Large Dataset'!R13)</f>
        <v>0</v>
      </c>
      <c r="BE13" s="52" t="s">
        <v>3004</v>
      </c>
      <c r="BF13" s="50">
        <f t="shared" ref="BF13:BH13" si="18">SUM(BF4:BF12)</f>
        <v>39</v>
      </c>
      <c r="BG13" s="51">
        <f t="shared" si="18"/>
        <v>15</v>
      </c>
      <c r="BH13" s="50">
        <f t="shared" si="18"/>
        <v>14</v>
      </c>
      <c r="BI13" s="50">
        <f>$D$11-(BF13+BG13+BH13)</f>
        <v>256</v>
      </c>
      <c r="BJ13" t="b" cm="1">
        <f t="array" ref="BJ13">IsRed('Large Dataset'!T13)</f>
        <v>0</v>
      </c>
      <c r="BK13" t="b" cm="1">
        <f t="array" ref="BK13">IsBlue('Large Dataset'!T13)</f>
        <v>1</v>
      </c>
      <c r="BL13" t="b" cm="1">
        <f t="array" ref="BL13">IsPurple('Large Dataset'!T13)</f>
        <v>0</v>
      </c>
      <c r="BM13" t="b" cm="1">
        <f t="array" ref="BM13">IsGreen('Large Dataset'!T13)</f>
        <v>0</v>
      </c>
      <c r="BN13" s="52" t="s">
        <v>3004</v>
      </c>
      <c r="BO13" s="50">
        <f t="shared" ref="BO13:BQ13" si="19">SUM(BO4:BO12)</f>
        <v>10</v>
      </c>
      <c r="BP13" s="51">
        <f t="shared" si="19"/>
        <v>6</v>
      </c>
      <c r="BQ13" s="50">
        <f t="shared" si="19"/>
        <v>11</v>
      </c>
      <c r="BR13" s="50">
        <f>$D$11-(BO13+BP13+BQ13)</f>
        <v>297</v>
      </c>
      <c r="BS13" t="b" cm="1">
        <f t="array" ref="BS13">IsRed('Large Dataset'!U13)</f>
        <v>0</v>
      </c>
      <c r="BT13" t="b" cm="1">
        <f t="array" ref="BT13">IsBlue('Large Dataset'!U13)</f>
        <v>1</v>
      </c>
      <c r="BU13" t="b" cm="1">
        <f t="array" ref="BU13">IsPurple('Large Dataset'!U13)</f>
        <v>0</v>
      </c>
      <c r="BV13" t="b" cm="1">
        <f t="array" ref="BV13">IsGreen('Large Dataset'!U13)</f>
        <v>0</v>
      </c>
      <c r="BW13" s="52" t="s">
        <v>3004</v>
      </c>
      <c r="BX13" s="50">
        <f t="shared" ref="BX13:BZ13" si="20">SUM(BX4:BX12)</f>
        <v>27</v>
      </c>
      <c r="BY13" s="51">
        <f t="shared" si="20"/>
        <v>20</v>
      </c>
      <c r="BZ13" s="50">
        <f t="shared" si="20"/>
        <v>17</v>
      </c>
      <c r="CA13" s="50">
        <f>$D$11-(BX13+BY13+BZ13)</f>
        <v>260</v>
      </c>
      <c r="CB13" s="109"/>
      <c r="CC13" s="52" t="s">
        <v>3004</v>
      </c>
      <c r="CD13" s="51">
        <f>SUM(CD4:CD12)</f>
        <v>171</v>
      </c>
      <c r="CE13" s="50">
        <f t="shared" ref="CE13:CF13" si="21">SUM(CE4:CE12)</f>
        <v>95</v>
      </c>
      <c r="CF13" s="49">
        <f t="shared" si="21"/>
        <v>34</v>
      </c>
      <c r="CG13" s="50">
        <f>$D$9-(CD13+CE13+CF13)</f>
        <v>996</v>
      </c>
    </row>
    <row r="14" spans="1:85" ht="34" customHeight="1">
      <c r="G14" t="b" cm="1">
        <f t="array" ref="G14">IsRed('Large Dataset'!I14)</f>
        <v>1</v>
      </c>
      <c r="H14" t="b" cm="1">
        <f t="array" ref="H14">IsBlue('Large Dataset'!I14)</f>
        <v>0</v>
      </c>
      <c r="I14" t="b" cm="1">
        <f t="array" ref="I14">IsPurple('Large Dataset'!I14)</f>
        <v>0</v>
      </c>
      <c r="J14" t="b" cm="1">
        <f t="array" ref="J14">IsGreen('Large Dataset'!G14)</f>
        <v>0</v>
      </c>
      <c r="K14" s="57" t="s">
        <v>3010</v>
      </c>
      <c r="L14" s="60">
        <f>(L13/$D$11)</f>
        <v>0.15123456790123457</v>
      </c>
      <c r="M14" s="60">
        <f t="shared" ref="M14:N14" si="22">(M13/$D$11)</f>
        <v>2.1604938271604937E-2</v>
      </c>
      <c r="N14" s="60">
        <f t="shared" si="22"/>
        <v>2.4691358024691357E-2</v>
      </c>
      <c r="O14" s="64">
        <f>1-L14-M14-N14</f>
        <v>0.80246913580246915</v>
      </c>
      <c r="P14" t="b" cm="1">
        <f t="array" ref="P14">IsRed('Large Dataset'!K14)</f>
        <v>1</v>
      </c>
      <c r="Q14" t="b" cm="1">
        <f t="array" ref="Q14">IsBlue('Large Dataset'!K14)</f>
        <v>0</v>
      </c>
      <c r="R14" t="b" cm="1">
        <f t="array" ref="R14">IsPurple('Large Dataset'!K14)</f>
        <v>0</v>
      </c>
      <c r="S14" t="b" cm="1">
        <f t="array" ref="S14">IsGreen('Large Dataset'!K14)</f>
        <v>0</v>
      </c>
      <c r="T14" s="57" t="s">
        <v>3010</v>
      </c>
      <c r="U14" s="60">
        <f>(U13/$D$11)</f>
        <v>9.8765432098765427E-2</v>
      </c>
      <c r="V14" s="60">
        <f t="shared" ref="V14" si="23">(V13/$D$11)</f>
        <v>4.0123456790123455E-2</v>
      </c>
      <c r="W14" s="63">
        <f t="shared" ref="W14" si="24">(W13/$D$11)</f>
        <v>2.7777777777777776E-2</v>
      </c>
      <c r="X14" s="64">
        <f>1-U14-V14-W14</f>
        <v>0.83333333333333337</v>
      </c>
      <c r="Y14" t="b" cm="1">
        <f t="array" ref="Y14">IsRed('Large Dataset'!M14)</f>
        <v>0</v>
      </c>
      <c r="Z14" t="b" cm="1">
        <f t="array" ref="Z14">IsBlue('Large Dataset'!M14)</f>
        <v>1</v>
      </c>
      <c r="AA14" t="b" cm="1">
        <f t="array" ref="AA14">IsPurple('Large Dataset'!M14)</f>
        <v>0</v>
      </c>
      <c r="AB14" t="b" cm="1">
        <f t="array" ref="AB14">IsGreen('Large Dataset'!M14)</f>
        <v>0</v>
      </c>
      <c r="AC14" s="61" t="s">
        <v>3010</v>
      </c>
      <c r="AD14" s="59">
        <f>(AD13/$D$11)</f>
        <v>0.15432098765432098</v>
      </c>
      <c r="AE14" s="59">
        <f t="shared" ref="AE14" si="25">(AE13/$D$11)</f>
        <v>3.0864197530864196E-2</v>
      </c>
      <c r="AF14" s="58">
        <f t="shared" ref="AF14" si="26">(AF13/$D$11)</f>
        <v>2.7777777777777776E-2</v>
      </c>
      <c r="AG14" s="64">
        <f>1-AD14-AE14-AF14</f>
        <v>0.78703703703703698</v>
      </c>
      <c r="AH14" t="b" cm="1">
        <f t="array" ref="AH14">IsRed('Large Dataset'!O14)</f>
        <v>0</v>
      </c>
      <c r="AI14" t="b" cm="1">
        <f t="array" ref="AI14">IsBlue('Large Dataset'!O14)</f>
        <v>1</v>
      </c>
      <c r="AJ14" t="b" cm="1">
        <f t="array" ref="AJ14">IsPurple('Large Dataset'!O14)</f>
        <v>0</v>
      </c>
      <c r="AK14" t="b" cm="1">
        <f t="array" ref="AK14">IsGreen('Large Dataset'!O14)</f>
        <v>0</v>
      </c>
      <c r="AL14" s="61" t="s">
        <v>3010</v>
      </c>
      <c r="AM14" s="59">
        <f>(AM13/$D$11)</f>
        <v>0.12345679012345678</v>
      </c>
      <c r="AN14" s="59">
        <f t="shared" ref="AN14" si="27">(AN13/$D$11)</f>
        <v>0.20061728395061729</v>
      </c>
      <c r="AO14" s="59">
        <f t="shared" ref="AO14" si="28">(AO13/$D$11)</f>
        <v>2.4691358024691357E-2</v>
      </c>
      <c r="AP14" s="64">
        <f>1-AM14-AN14-AO14</f>
        <v>0.65123456790123457</v>
      </c>
      <c r="AR14" t="b" cm="1">
        <f t="array" ref="AR14">IsRed('Large Dataset'!Q14)</f>
        <v>0</v>
      </c>
      <c r="AS14" t="b" cm="1">
        <f t="array" ref="AS14">IsBlue('Large Dataset'!Q14)</f>
        <v>0</v>
      </c>
      <c r="AT14" t="b" cm="1">
        <f t="array" ref="AT14">IsPurple('Large Dataset'!Q14)</f>
        <v>1</v>
      </c>
      <c r="AU14" t="b" cm="1">
        <f t="array" ref="AU14">IsGreen('Large Dataset'!Q14)</f>
        <v>0</v>
      </c>
      <c r="AV14" s="61" t="s">
        <v>3010</v>
      </c>
      <c r="AW14" s="59">
        <f>(AW13/$D$11)</f>
        <v>4.9382716049382713E-2</v>
      </c>
      <c r="AX14" s="59">
        <f t="shared" ref="AX14:AY14" si="29">(AX13/$D$11)</f>
        <v>1.2345679012345678E-2</v>
      </c>
      <c r="AY14" s="59">
        <f t="shared" si="29"/>
        <v>3.7037037037037035E-2</v>
      </c>
      <c r="AZ14" s="64">
        <f>1-AW14-AX14-AY14</f>
        <v>0.90123456790123457</v>
      </c>
      <c r="BA14" t="b" cm="1">
        <f t="array" ref="BA14">IsRed('Large Dataset'!R14)</f>
        <v>0</v>
      </c>
      <c r="BB14" t="b" cm="1">
        <f t="array" ref="BB14">IsBlue('Large Dataset'!R14)</f>
        <v>1</v>
      </c>
      <c r="BC14" t="b" cm="1">
        <f t="array" ref="BC14">IsPurple('Large Dataset'!R14)</f>
        <v>0</v>
      </c>
      <c r="BD14" t="b" cm="1">
        <f t="array" ref="BD14">IsGreen('Large Dataset'!R14)</f>
        <v>0</v>
      </c>
      <c r="BE14" s="61" t="s">
        <v>3010</v>
      </c>
      <c r="BF14" s="59">
        <f>(BF13/$D$11)</f>
        <v>0.12037037037037036</v>
      </c>
      <c r="BG14" s="59">
        <f t="shared" ref="BG14:BH14" si="30">(BG13/$D$11)</f>
        <v>4.6296296296296294E-2</v>
      </c>
      <c r="BH14" s="59">
        <f t="shared" si="30"/>
        <v>4.3209876543209874E-2</v>
      </c>
      <c r="BI14" s="64">
        <f>1-BF14-BG14-BH14</f>
        <v>0.79012345679012352</v>
      </c>
      <c r="BJ14" t="b" cm="1">
        <f t="array" ref="BJ14">IsRed('Large Dataset'!T14)</f>
        <v>0</v>
      </c>
      <c r="BK14" t="b" cm="1">
        <f t="array" ref="BK14">IsBlue('Large Dataset'!T14)</f>
        <v>1</v>
      </c>
      <c r="BL14" t="b" cm="1">
        <f t="array" ref="BL14">IsPurple('Large Dataset'!T14)</f>
        <v>0</v>
      </c>
      <c r="BM14" t="b" cm="1">
        <f t="array" ref="BM14">IsGreen('Large Dataset'!T14)</f>
        <v>0</v>
      </c>
      <c r="BN14" s="61" t="s">
        <v>3010</v>
      </c>
      <c r="BO14" s="59">
        <f>(BO13/$D$11)</f>
        <v>3.0864197530864196E-2</v>
      </c>
      <c r="BP14" s="59">
        <f t="shared" ref="BP14:BQ14" si="31">(BP13/$D$11)</f>
        <v>1.8518518518518517E-2</v>
      </c>
      <c r="BQ14" s="59">
        <f t="shared" si="31"/>
        <v>3.3950617283950615E-2</v>
      </c>
      <c r="BR14" s="64">
        <f>1-BO14-BP14-BQ14</f>
        <v>0.91666666666666663</v>
      </c>
      <c r="BS14" t="b" cm="1">
        <f t="array" ref="BS14">IsRed('Large Dataset'!U14)</f>
        <v>0</v>
      </c>
      <c r="BT14" t="b" cm="1">
        <f t="array" ref="BT14">IsBlue('Large Dataset'!U14)</f>
        <v>1</v>
      </c>
      <c r="BU14" t="b" cm="1">
        <f t="array" ref="BU14">IsPurple('Large Dataset'!U14)</f>
        <v>0</v>
      </c>
      <c r="BV14" t="b" cm="1">
        <f t="array" ref="BV14">IsGreen('Large Dataset'!U14)</f>
        <v>0</v>
      </c>
      <c r="BW14" s="61" t="s">
        <v>3010</v>
      </c>
      <c r="BX14" s="59">
        <f>(BX13/$D$11)</f>
        <v>8.3333333333333329E-2</v>
      </c>
      <c r="BY14" s="59">
        <f t="shared" ref="BY14:BZ14" si="32">(BY13/$D$11)</f>
        <v>6.1728395061728392E-2</v>
      </c>
      <c r="BZ14" s="59">
        <f t="shared" si="32"/>
        <v>5.2469135802469133E-2</v>
      </c>
      <c r="CA14" s="64">
        <f>1-BX14-BY14-BZ14</f>
        <v>0.80246913580246915</v>
      </c>
      <c r="CB14" s="110"/>
      <c r="CC14" s="101" t="s">
        <v>3010</v>
      </c>
      <c r="CD14" s="63">
        <f>CD13/$D$9</f>
        <v>0.13194444444444445</v>
      </c>
      <c r="CE14" s="63">
        <f t="shared" ref="CE14:CF14" si="33">CE13/$D$9</f>
        <v>7.3302469135802475E-2</v>
      </c>
      <c r="CF14" s="63">
        <f t="shared" si="33"/>
        <v>2.6234567901234566E-2</v>
      </c>
      <c r="CG14" s="64">
        <f>1-CD14-CE14-CF14</f>
        <v>0.76851851851851849</v>
      </c>
    </row>
    <row r="15" spans="1:85" ht="34">
      <c r="G15" t="b" cm="1">
        <f t="array" ref="G15">IsRed('Large Dataset'!I15)</f>
        <v>0</v>
      </c>
      <c r="H15" t="b" cm="1">
        <f t="array" ref="H15">IsBlue('Large Dataset'!I15)</f>
        <v>0</v>
      </c>
      <c r="I15" t="b" cm="1">
        <f t="array" ref="I15">IsPurple('Large Dataset'!I15)</f>
        <v>0</v>
      </c>
      <c r="J15" t="b" cm="1">
        <f t="array" ref="J15">IsGreen('Large Dataset'!G15)</f>
        <v>0</v>
      </c>
      <c r="K15" s="53" t="s">
        <v>3005</v>
      </c>
      <c r="L15" s="82">
        <f>SUM(L13:M13)</f>
        <v>56</v>
      </c>
      <c r="M15" s="83"/>
      <c r="N15" s="83"/>
      <c r="O15" s="83"/>
      <c r="P15" t="b" cm="1">
        <f t="array" ref="P15">IsRed('Large Dataset'!K15)</f>
        <v>0</v>
      </c>
      <c r="Q15" t="b" cm="1">
        <f t="array" ref="Q15">IsBlue('Large Dataset'!K15)</f>
        <v>0</v>
      </c>
      <c r="R15" t="b" cm="1">
        <f t="array" ref="R15">IsPurple('Large Dataset'!K15)</f>
        <v>0</v>
      </c>
      <c r="S15" t="b" cm="1">
        <f t="array" ref="S15">IsGreen('Large Dataset'!K15)</f>
        <v>0</v>
      </c>
      <c r="T15" s="53" t="s">
        <v>3005</v>
      </c>
      <c r="U15" s="84">
        <f>SUM(U13:V13)</f>
        <v>45</v>
      </c>
      <c r="V15" s="85"/>
      <c r="W15" s="85"/>
      <c r="X15" s="86"/>
      <c r="Y15" t="b" cm="1">
        <f t="array" ref="Y15">IsRed('Large Dataset'!M15)</f>
        <v>0</v>
      </c>
      <c r="Z15" t="b" cm="1">
        <f t="array" ref="Z15">IsBlue('Large Dataset'!M15)</f>
        <v>0</v>
      </c>
      <c r="AA15" t="b" cm="1">
        <f t="array" ref="AA15">IsPurple('Large Dataset'!M15)</f>
        <v>0</v>
      </c>
      <c r="AB15" t="b" cm="1">
        <f t="array" ref="AB15">IsGreen('Large Dataset'!M15)</f>
        <v>0</v>
      </c>
      <c r="AC15" s="53" t="s">
        <v>3005</v>
      </c>
      <c r="AD15" s="82">
        <f>SUM(AD13:AE13)</f>
        <v>60</v>
      </c>
      <c r="AE15" s="83"/>
      <c r="AF15" s="83"/>
      <c r="AG15" s="87"/>
      <c r="AH15" t="b" cm="1">
        <f t="array" ref="AH15">IsRed('Large Dataset'!O15)</f>
        <v>0</v>
      </c>
      <c r="AI15" t="b" cm="1">
        <f t="array" ref="AI15">IsBlue('Large Dataset'!O15)</f>
        <v>0</v>
      </c>
      <c r="AJ15" t="b" cm="1">
        <f t="array" ref="AJ15">IsPurple('Large Dataset'!O15)</f>
        <v>0</v>
      </c>
      <c r="AK15" t="b" cm="1">
        <f t="array" ref="AK15">IsGreen('Large Dataset'!O15)</f>
        <v>0</v>
      </c>
      <c r="AL15" s="62" t="s">
        <v>3005</v>
      </c>
      <c r="AM15" s="88">
        <f>SUM(AM13:AN13)</f>
        <v>105</v>
      </c>
      <c r="AN15" s="89"/>
      <c r="AO15" s="89"/>
      <c r="AP15" s="90"/>
      <c r="AR15" t="b" cm="1">
        <f t="array" ref="AR15">IsRed('Large Dataset'!Q15)</f>
        <v>0</v>
      </c>
      <c r="AS15" t="b" cm="1">
        <f t="array" ref="AS15">IsBlue('Large Dataset'!Q15)</f>
        <v>0</v>
      </c>
      <c r="AT15" t="b" cm="1">
        <f t="array" ref="AT15">IsPurple('Large Dataset'!Q15)</f>
        <v>0</v>
      </c>
      <c r="AU15" t="b" cm="1">
        <f t="array" ref="AU15">IsGreen('Large Dataset'!Q15)</f>
        <v>0</v>
      </c>
      <c r="AV15" s="62" t="s">
        <v>3005</v>
      </c>
      <c r="AW15" s="105">
        <f>SUM(AW13:AX13)</f>
        <v>20</v>
      </c>
      <c r="AX15" s="106"/>
      <c r="AY15" s="106"/>
      <c r="AZ15" s="107"/>
      <c r="BA15" t="b" cm="1">
        <f t="array" ref="BA15">IsRed('Large Dataset'!R15)</f>
        <v>0</v>
      </c>
      <c r="BB15" t="b" cm="1">
        <f t="array" ref="BB15">IsBlue('Large Dataset'!R15)</f>
        <v>1</v>
      </c>
      <c r="BC15" t="b" cm="1">
        <f t="array" ref="BC15">IsPurple('Large Dataset'!R15)</f>
        <v>0</v>
      </c>
      <c r="BD15" t="b" cm="1">
        <f t="array" ref="BD15">IsGreen('Large Dataset'!R15)</f>
        <v>0</v>
      </c>
      <c r="BE15" s="62" t="s">
        <v>3005</v>
      </c>
      <c r="BF15" s="82">
        <f>SUM(BF13:BG13)</f>
        <v>54</v>
      </c>
      <c r="BG15" s="83"/>
      <c r="BH15" s="83"/>
      <c r="BI15" s="87"/>
      <c r="BJ15" t="b" cm="1">
        <f t="array" ref="BJ15">IsRed('Large Dataset'!T15)</f>
        <v>0</v>
      </c>
      <c r="BK15" t="b" cm="1">
        <f t="array" ref="BK15">IsBlue('Large Dataset'!T15)</f>
        <v>0</v>
      </c>
      <c r="BL15" t="b" cm="1">
        <f t="array" ref="BL15">IsPurple('Large Dataset'!T15)</f>
        <v>0</v>
      </c>
      <c r="BM15" t="b" cm="1">
        <f t="array" ref="BM15">IsGreen('Large Dataset'!T15)</f>
        <v>0</v>
      </c>
      <c r="BN15" s="62" t="s">
        <v>3005</v>
      </c>
      <c r="BO15" s="105">
        <f>SUM(BO13:BP13)</f>
        <v>16</v>
      </c>
      <c r="BP15" s="106"/>
      <c r="BQ15" s="106"/>
      <c r="BR15" s="107"/>
      <c r="BS15" t="b" cm="1">
        <f t="array" ref="BS15">IsRed('Large Dataset'!U15)</f>
        <v>0</v>
      </c>
      <c r="BT15" t="b" cm="1">
        <f t="array" ref="BT15">IsBlue('Large Dataset'!U15)</f>
        <v>0</v>
      </c>
      <c r="BU15" t="b" cm="1">
        <f t="array" ref="BU15">IsPurple('Large Dataset'!U15)</f>
        <v>0</v>
      </c>
      <c r="BV15" t="b" cm="1">
        <f t="array" ref="BV15">IsGreen('Large Dataset'!U15)</f>
        <v>0</v>
      </c>
      <c r="BW15" s="62" t="s">
        <v>3005</v>
      </c>
      <c r="BX15" s="82">
        <f>SUM(BX13:BY13)</f>
        <v>47</v>
      </c>
      <c r="BY15" s="83"/>
      <c r="BZ15" s="83"/>
      <c r="CA15" s="87"/>
      <c r="CB15" s="111"/>
      <c r="CC15" s="102" t="s">
        <v>3005</v>
      </c>
      <c r="CD15" s="88">
        <f>SUM(CD13:CE13)</f>
        <v>266</v>
      </c>
      <c r="CE15" s="89"/>
      <c r="CF15" s="89"/>
      <c r="CG15" s="90"/>
    </row>
    <row r="16" spans="1:85">
      <c r="G16" t="b" cm="1">
        <f t="array" ref="G16">IsRed('Large Dataset'!I16)</f>
        <v>0</v>
      </c>
      <c r="H16" t="b" cm="1">
        <f t="array" ref="H16">IsBlue('Large Dataset'!I16)</f>
        <v>0</v>
      </c>
      <c r="I16" t="b" cm="1">
        <f t="array" ref="I16">IsPurple('Large Dataset'!I16)</f>
        <v>0</v>
      </c>
      <c r="J16" t="b" cm="1">
        <f t="array" ref="J16">IsGreen('Large Dataset'!G16)</f>
        <v>0</v>
      </c>
      <c r="O16" s="41"/>
      <c r="P16" t="b" cm="1">
        <f t="array" ref="P16">IsRed('Large Dataset'!K16)</f>
        <v>0</v>
      </c>
      <c r="Q16" t="b" cm="1">
        <f t="array" ref="Q16">IsBlue('Large Dataset'!K16)</f>
        <v>0</v>
      </c>
      <c r="R16" t="b" cm="1">
        <f t="array" ref="R16">IsPurple('Large Dataset'!K16)</f>
        <v>0</v>
      </c>
      <c r="S16" t="b" cm="1">
        <f t="array" ref="S16">IsGreen('Large Dataset'!K16)</f>
        <v>0</v>
      </c>
      <c r="Y16" t="b" cm="1">
        <f t="array" ref="Y16">IsRed('Large Dataset'!M16)</f>
        <v>0</v>
      </c>
      <c r="Z16" t="b" cm="1">
        <f t="array" ref="Z16">IsBlue('Large Dataset'!M16)</f>
        <v>0</v>
      </c>
      <c r="AA16" t="b" cm="1">
        <f t="array" ref="AA16">IsPurple('Large Dataset'!M16)</f>
        <v>0</v>
      </c>
      <c r="AB16" t="b" cm="1">
        <f t="array" ref="AB16">IsGreen('Large Dataset'!M16)</f>
        <v>0</v>
      </c>
      <c r="AH16" t="b" cm="1">
        <f t="array" ref="AH16">IsRed('Large Dataset'!O16)</f>
        <v>0</v>
      </c>
      <c r="AI16" t="b" cm="1">
        <f t="array" ref="AI16">IsBlue('Large Dataset'!O16)</f>
        <v>0</v>
      </c>
      <c r="AJ16" t="b" cm="1">
        <f t="array" ref="AJ16">IsPurple('Large Dataset'!O16)</f>
        <v>0</v>
      </c>
      <c r="AK16" t="b" cm="1">
        <f t="array" ref="AK16">IsGreen('Large Dataset'!O16)</f>
        <v>0</v>
      </c>
      <c r="AR16" t="b" cm="1">
        <f t="array" ref="AR16">IsRed('Large Dataset'!Q16)</f>
        <v>0</v>
      </c>
      <c r="AS16" t="b" cm="1">
        <f t="array" ref="AS16">IsBlue('Large Dataset'!Q16)</f>
        <v>0</v>
      </c>
      <c r="AT16" t="b" cm="1">
        <f t="array" ref="AT16">IsPurple('Large Dataset'!Q16)</f>
        <v>0</v>
      </c>
      <c r="AU16" t="b" cm="1">
        <f t="array" ref="AU16">IsGreen('Large Dataset'!Q16)</f>
        <v>0</v>
      </c>
      <c r="BA16" t="b" cm="1">
        <f t="array" ref="BA16">IsRed('Large Dataset'!R16)</f>
        <v>0</v>
      </c>
      <c r="BB16" t="b" cm="1">
        <f t="array" ref="BB16">IsBlue('Large Dataset'!R16)</f>
        <v>0</v>
      </c>
      <c r="BC16" t="b" cm="1">
        <f t="array" ref="BC16">IsPurple('Large Dataset'!R16)</f>
        <v>0</v>
      </c>
      <c r="BD16" t="b" cm="1">
        <f t="array" ref="BD16">IsGreen('Large Dataset'!R16)</f>
        <v>0</v>
      </c>
      <c r="BJ16" t="b" cm="1">
        <f t="array" ref="BJ16">IsRed('Large Dataset'!T16)</f>
        <v>0</v>
      </c>
      <c r="BK16" t="b" cm="1">
        <f t="array" ref="BK16">IsBlue('Large Dataset'!T16)</f>
        <v>0</v>
      </c>
      <c r="BL16" t="b" cm="1">
        <f t="array" ref="BL16">IsPurple('Large Dataset'!T16)</f>
        <v>0</v>
      </c>
      <c r="BM16" t="b" cm="1">
        <f t="array" ref="BM16">IsGreen('Large Dataset'!T16)</f>
        <v>0</v>
      </c>
      <c r="BS16" t="b" cm="1">
        <f t="array" ref="BS16">IsRed('Large Dataset'!U16)</f>
        <v>0</v>
      </c>
      <c r="BT16" t="b" cm="1">
        <f t="array" ref="BT16">IsBlue('Large Dataset'!U16)</f>
        <v>0</v>
      </c>
      <c r="BU16" t="b" cm="1">
        <f t="array" ref="BU16">IsPurple('Large Dataset'!U16)</f>
        <v>0</v>
      </c>
      <c r="BV16" t="b" cm="1">
        <f t="array" ref="BV16">IsGreen('Large Dataset'!U16)</f>
        <v>0</v>
      </c>
    </row>
    <row r="17" spans="7:74">
      <c r="G17" t="b" cm="1">
        <f t="array" ref="G17">IsRed('Large Dataset'!I17)</f>
        <v>0</v>
      </c>
      <c r="H17" t="b" cm="1">
        <f t="array" ref="H17">IsBlue('Large Dataset'!I17)</f>
        <v>0</v>
      </c>
      <c r="I17" t="b" cm="1">
        <f t="array" ref="I17">IsPurple('Large Dataset'!I17)</f>
        <v>0</v>
      </c>
      <c r="J17" t="b" cm="1">
        <f t="array" ref="J17">IsGreen('Large Dataset'!G17)</f>
        <v>0</v>
      </c>
      <c r="P17" t="b" cm="1">
        <f t="array" ref="P17">IsRed('Large Dataset'!K17)</f>
        <v>0</v>
      </c>
      <c r="Q17" t="b" cm="1">
        <f t="array" ref="Q17">IsBlue('Large Dataset'!K17)</f>
        <v>0</v>
      </c>
      <c r="R17" t="b" cm="1">
        <f t="array" ref="R17">IsPurple('Large Dataset'!K17)</f>
        <v>0</v>
      </c>
      <c r="S17" t="b" cm="1">
        <f t="array" ref="S17">IsGreen('Large Dataset'!K17)</f>
        <v>0</v>
      </c>
      <c r="Y17" t="b" cm="1">
        <f t="array" ref="Y17">IsRed('Large Dataset'!M17)</f>
        <v>0</v>
      </c>
      <c r="Z17" t="b" cm="1">
        <f t="array" ref="Z17">IsBlue('Large Dataset'!M17)</f>
        <v>0</v>
      </c>
      <c r="AA17" t="b" cm="1">
        <f t="array" ref="AA17">IsPurple('Large Dataset'!M17)</f>
        <v>0</v>
      </c>
      <c r="AB17" t="b" cm="1">
        <f t="array" ref="AB17">IsGreen('Large Dataset'!M17)</f>
        <v>0</v>
      </c>
      <c r="AH17" t="b" cm="1">
        <f t="array" ref="AH17">IsRed('Large Dataset'!O17)</f>
        <v>0</v>
      </c>
      <c r="AI17" t="b" cm="1">
        <f t="array" ref="AI17">IsBlue('Large Dataset'!O17)</f>
        <v>1</v>
      </c>
      <c r="AJ17" t="b" cm="1">
        <f t="array" ref="AJ17">IsPurple('Large Dataset'!O17)</f>
        <v>0</v>
      </c>
      <c r="AK17" t="b" cm="1">
        <f t="array" ref="AK17">IsGreen('Large Dataset'!O17)</f>
        <v>0</v>
      </c>
      <c r="AR17" t="b" cm="1">
        <f t="array" ref="AR17">IsRed('Large Dataset'!Q17)</f>
        <v>0</v>
      </c>
      <c r="AS17" t="b" cm="1">
        <f t="array" ref="AS17">IsBlue('Large Dataset'!Q17)</f>
        <v>0</v>
      </c>
      <c r="AT17" t="b" cm="1">
        <f t="array" ref="AT17">IsPurple('Large Dataset'!Q17)</f>
        <v>0</v>
      </c>
      <c r="AU17" t="b" cm="1">
        <f t="array" ref="AU17">IsGreen('Large Dataset'!Q17)</f>
        <v>0</v>
      </c>
      <c r="BA17" t="b" cm="1">
        <f t="array" ref="BA17">IsRed('Large Dataset'!R17)</f>
        <v>0</v>
      </c>
      <c r="BB17" t="b" cm="1">
        <f t="array" ref="BB17">IsBlue('Large Dataset'!R17)</f>
        <v>0</v>
      </c>
      <c r="BC17" t="b" cm="1">
        <f t="array" ref="BC17">IsPurple('Large Dataset'!R17)</f>
        <v>0</v>
      </c>
      <c r="BD17" t="b" cm="1">
        <f t="array" ref="BD17">IsGreen('Large Dataset'!R17)</f>
        <v>0</v>
      </c>
      <c r="BJ17" t="b" cm="1">
        <f t="array" ref="BJ17">IsRed('Large Dataset'!T17)</f>
        <v>0</v>
      </c>
      <c r="BK17" t="b" cm="1">
        <f t="array" ref="BK17">IsBlue('Large Dataset'!T17)</f>
        <v>0</v>
      </c>
      <c r="BL17" t="b" cm="1">
        <f t="array" ref="BL17">IsPurple('Large Dataset'!T17)</f>
        <v>0</v>
      </c>
      <c r="BM17" t="b" cm="1">
        <f t="array" ref="BM17">IsGreen('Large Dataset'!T17)</f>
        <v>0</v>
      </c>
      <c r="BS17" t="b" cm="1">
        <f t="array" ref="BS17">IsRed('Large Dataset'!U17)</f>
        <v>0</v>
      </c>
      <c r="BT17" t="b" cm="1">
        <f t="array" ref="BT17">IsBlue('Large Dataset'!U17)</f>
        <v>0</v>
      </c>
      <c r="BU17" t="b" cm="1">
        <f t="array" ref="BU17">IsPurple('Large Dataset'!U17)</f>
        <v>0</v>
      </c>
      <c r="BV17" t="b" cm="1">
        <f t="array" ref="BV17">IsGreen('Large Dataset'!U17)</f>
        <v>0</v>
      </c>
    </row>
    <row r="18" spans="7:74">
      <c r="G18" t="b" cm="1">
        <f t="array" ref="G18">IsRed('Large Dataset'!I18)</f>
        <v>0</v>
      </c>
      <c r="H18" t="b" cm="1">
        <f t="array" ref="H18">IsBlue('Large Dataset'!I18)</f>
        <v>0</v>
      </c>
      <c r="I18" t="b" cm="1">
        <f t="array" ref="I18">IsPurple('Large Dataset'!I18)</f>
        <v>0</v>
      </c>
      <c r="J18" t="b" cm="1">
        <f t="array" ref="J18">IsGreen('Large Dataset'!G18)</f>
        <v>0</v>
      </c>
      <c r="P18" t="b" cm="1">
        <f t="array" ref="P18">IsRed('Large Dataset'!K18)</f>
        <v>0</v>
      </c>
      <c r="Q18" t="b" cm="1">
        <f t="array" ref="Q18">IsBlue('Large Dataset'!K18)</f>
        <v>0</v>
      </c>
      <c r="R18" t="b" cm="1">
        <f t="array" ref="R18">IsPurple('Large Dataset'!K18)</f>
        <v>0</v>
      </c>
      <c r="S18" t="b" cm="1">
        <f t="array" ref="S18">IsGreen('Large Dataset'!K18)</f>
        <v>0</v>
      </c>
      <c r="Y18" t="b" cm="1">
        <f t="array" ref="Y18">IsRed('Large Dataset'!M18)</f>
        <v>0</v>
      </c>
      <c r="Z18" t="b" cm="1">
        <f t="array" ref="Z18">IsBlue('Large Dataset'!M18)</f>
        <v>0</v>
      </c>
      <c r="AA18" t="b" cm="1">
        <f t="array" ref="AA18">IsPurple('Large Dataset'!M18)</f>
        <v>0</v>
      </c>
      <c r="AB18" t="b" cm="1">
        <f t="array" ref="AB18">IsGreen('Large Dataset'!M18)</f>
        <v>0</v>
      </c>
      <c r="AH18" t="b" cm="1">
        <f t="array" ref="AH18">IsRed('Large Dataset'!O18)</f>
        <v>0</v>
      </c>
      <c r="AI18" t="b" cm="1">
        <f t="array" ref="AI18">IsBlue('Large Dataset'!O18)</f>
        <v>1</v>
      </c>
      <c r="AJ18" t="b" cm="1">
        <f t="array" ref="AJ18">IsPurple('Large Dataset'!O18)</f>
        <v>0</v>
      </c>
      <c r="AK18" t="b" cm="1">
        <f t="array" ref="AK18">IsGreen('Large Dataset'!O18)</f>
        <v>0</v>
      </c>
      <c r="AR18" t="b" cm="1">
        <f t="array" ref="AR18">IsRed('Large Dataset'!Q18)</f>
        <v>0</v>
      </c>
      <c r="AS18" t="b" cm="1">
        <f t="array" ref="AS18">IsBlue('Large Dataset'!Q18)</f>
        <v>0</v>
      </c>
      <c r="AT18" t="b" cm="1">
        <f t="array" ref="AT18">IsPurple('Large Dataset'!Q18)</f>
        <v>0</v>
      </c>
      <c r="AU18" t="b" cm="1">
        <f t="array" ref="AU18">IsGreen('Large Dataset'!Q18)</f>
        <v>0</v>
      </c>
      <c r="BA18" t="b" cm="1">
        <f t="array" ref="BA18">IsRed('Large Dataset'!R18)</f>
        <v>0</v>
      </c>
      <c r="BB18" t="b" cm="1">
        <f t="array" ref="BB18">IsBlue('Large Dataset'!R18)</f>
        <v>1</v>
      </c>
      <c r="BC18" t="b" cm="1">
        <f t="array" ref="BC18">IsPurple('Large Dataset'!R18)</f>
        <v>0</v>
      </c>
      <c r="BD18" t="b" cm="1">
        <f t="array" ref="BD18">IsGreen('Large Dataset'!R18)</f>
        <v>0</v>
      </c>
      <c r="BJ18" t="b" cm="1">
        <f t="array" ref="BJ18">IsRed('Large Dataset'!T18)</f>
        <v>0</v>
      </c>
      <c r="BK18" t="b" cm="1">
        <f t="array" ref="BK18">IsBlue('Large Dataset'!T18)</f>
        <v>0</v>
      </c>
      <c r="BL18" t="b" cm="1">
        <f t="array" ref="BL18">IsPurple('Large Dataset'!T18)</f>
        <v>0</v>
      </c>
      <c r="BM18" t="b" cm="1">
        <f t="array" ref="BM18">IsGreen('Large Dataset'!T18)</f>
        <v>0</v>
      </c>
      <c r="BS18" t="b" cm="1">
        <f t="array" ref="BS18">IsRed('Large Dataset'!U18)</f>
        <v>0</v>
      </c>
      <c r="BT18" t="b" cm="1">
        <f t="array" ref="BT18">IsBlue('Large Dataset'!U18)</f>
        <v>0</v>
      </c>
      <c r="BU18" t="b" cm="1">
        <f t="array" ref="BU18">IsPurple('Large Dataset'!U18)</f>
        <v>0</v>
      </c>
      <c r="BV18" t="b" cm="1">
        <f t="array" ref="BV18">IsGreen('Large Dataset'!U18)</f>
        <v>0</v>
      </c>
    </row>
    <row r="19" spans="7:74">
      <c r="G19" t="b" cm="1">
        <f t="array" ref="G19">IsRed('Large Dataset'!I19)</f>
        <v>0</v>
      </c>
      <c r="H19" t="b" cm="1">
        <f t="array" ref="H19">IsBlue('Large Dataset'!I19)</f>
        <v>0</v>
      </c>
      <c r="I19" t="b" cm="1">
        <f t="array" ref="I19">IsPurple('Large Dataset'!I19)</f>
        <v>1</v>
      </c>
      <c r="J19" t="b" cm="1">
        <f t="array" ref="J19">IsGreen('Large Dataset'!G19)</f>
        <v>0</v>
      </c>
      <c r="P19" t="b" cm="1">
        <f t="array" ref="P19">IsRed('Large Dataset'!K19)</f>
        <v>0</v>
      </c>
      <c r="Q19" t="b" cm="1">
        <f t="array" ref="Q19">IsBlue('Large Dataset'!K19)</f>
        <v>0</v>
      </c>
      <c r="R19" t="b" cm="1">
        <f t="array" ref="R19">IsPurple('Large Dataset'!K19)</f>
        <v>0</v>
      </c>
      <c r="S19" t="b" cm="1">
        <f t="array" ref="S19">IsGreen('Large Dataset'!K19)</f>
        <v>0</v>
      </c>
      <c r="Y19" t="b" cm="1">
        <f t="array" ref="Y19">IsRed('Large Dataset'!M19)</f>
        <v>0</v>
      </c>
      <c r="Z19" t="b" cm="1">
        <f t="array" ref="Z19">IsBlue('Large Dataset'!M19)</f>
        <v>0</v>
      </c>
      <c r="AA19" t="b" cm="1">
        <f t="array" ref="AA19">IsPurple('Large Dataset'!M19)</f>
        <v>0</v>
      </c>
      <c r="AB19" t="b" cm="1">
        <f t="array" ref="AB19">IsGreen('Large Dataset'!M19)</f>
        <v>0</v>
      </c>
      <c r="AH19" t="b" cm="1">
        <f t="array" ref="AH19">IsRed('Large Dataset'!O19)</f>
        <v>0</v>
      </c>
      <c r="AI19" t="b" cm="1">
        <f t="array" ref="AI19">IsBlue('Large Dataset'!O19)</f>
        <v>0</v>
      </c>
      <c r="AJ19" t="b" cm="1">
        <f t="array" ref="AJ19">IsPurple('Large Dataset'!O19)</f>
        <v>0</v>
      </c>
      <c r="AK19" t="b" cm="1">
        <f t="array" ref="AK19">IsGreen('Large Dataset'!O19)</f>
        <v>0</v>
      </c>
      <c r="AR19" t="b" cm="1">
        <f t="array" ref="AR19">IsRed('Large Dataset'!Q19)</f>
        <v>0</v>
      </c>
      <c r="AS19" t="b" cm="1">
        <f t="array" ref="AS19">IsBlue('Large Dataset'!Q19)</f>
        <v>0</v>
      </c>
      <c r="AT19" t="b" cm="1">
        <f t="array" ref="AT19">IsPurple('Large Dataset'!Q19)</f>
        <v>0</v>
      </c>
      <c r="AU19" t="b" cm="1">
        <f t="array" ref="AU19">IsGreen('Large Dataset'!Q19)</f>
        <v>0</v>
      </c>
      <c r="BA19" t="b" cm="1">
        <f t="array" ref="BA19">IsRed('Large Dataset'!R19)</f>
        <v>0</v>
      </c>
      <c r="BB19" t="b" cm="1">
        <f t="array" ref="BB19">IsBlue('Large Dataset'!R19)</f>
        <v>0</v>
      </c>
      <c r="BC19" t="b" cm="1">
        <f t="array" ref="BC19">IsPurple('Large Dataset'!R19)</f>
        <v>0</v>
      </c>
      <c r="BD19" t="b" cm="1">
        <f t="array" ref="BD19">IsGreen('Large Dataset'!R19)</f>
        <v>0</v>
      </c>
      <c r="BJ19" t="b" cm="1">
        <f t="array" ref="BJ19">IsRed('Large Dataset'!T19)</f>
        <v>0</v>
      </c>
      <c r="BK19" t="b" cm="1">
        <f t="array" ref="BK19">IsBlue('Large Dataset'!T19)</f>
        <v>0</v>
      </c>
      <c r="BL19" t="b" cm="1">
        <f t="array" ref="BL19">IsPurple('Large Dataset'!T19)</f>
        <v>0</v>
      </c>
      <c r="BM19" t="b" cm="1">
        <f t="array" ref="BM19">IsGreen('Large Dataset'!T19)</f>
        <v>0</v>
      </c>
      <c r="BS19" t="b" cm="1">
        <f t="array" ref="BS19">IsRed('Large Dataset'!U19)</f>
        <v>0</v>
      </c>
      <c r="BT19" t="b" cm="1">
        <f t="array" ref="BT19">IsBlue('Large Dataset'!U19)</f>
        <v>0</v>
      </c>
      <c r="BU19" t="b" cm="1">
        <f t="array" ref="BU19">IsPurple('Large Dataset'!U19)</f>
        <v>0</v>
      </c>
      <c r="BV19" t="b" cm="1">
        <f t="array" ref="BV19">IsGreen('Large Dataset'!U19)</f>
        <v>0</v>
      </c>
    </row>
    <row r="20" spans="7:74">
      <c r="G20" t="b" cm="1">
        <f t="array" ref="G20">IsRed('Large Dataset'!I20)</f>
        <v>0</v>
      </c>
      <c r="H20" t="b" cm="1">
        <f t="array" ref="H20">IsBlue('Large Dataset'!I20)</f>
        <v>0</v>
      </c>
      <c r="I20" t="b" cm="1">
        <f t="array" ref="I20">IsPurple('Large Dataset'!I20)</f>
        <v>0</v>
      </c>
      <c r="J20" t="b" cm="1">
        <f t="array" ref="J20">IsGreen('Large Dataset'!G20)</f>
        <v>0</v>
      </c>
      <c r="P20" t="b" cm="1">
        <f t="array" ref="P20">IsRed('Large Dataset'!K20)</f>
        <v>0</v>
      </c>
      <c r="Q20" t="b" cm="1">
        <f t="array" ref="Q20">IsBlue('Large Dataset'!K20)</f>
        <v>0</v>
      </c>
      <c r="R20" t="b" cm="1">
        <f t="array" ref="R20">IsPurple('Large Dataset'!K20)</f>
        <v>0</v>
      </c>
      <c r="S20" t="b" cm="1">
        <f t="array" ref="S20">IsGreen('Large Dataset'!K20)</f>
        <v>0</v>
      </c>
      <c r="Y20" t="b" cm="1">
        <f t="array" ref="Y20">IsRed('Large Dataset'!M20)</f>
        <v>0</v>
      </c>
      <c r="Z20" t="b" cm="1">
        <f t="array" ref="Z20">IsBlue('Large Dataset'!M20)</f>
        <v>0</v>
      </c>
      <c r="AA20" t="b" cm="1">
        <f t="array" ref="AA20">IsPurple('Large Dataset'!M20)</f>
        <v>0</v>
      </c>
      <c r="AB20" t="b" cm="1">
        <f t="array" ref="AB20">IsGreen('Large Dataset'!M20)</f>
        <v>0</v>
      </c>
      <c r="AH20" t="b" cm="1">
        <f t="array" ref="AH20">IsRed('Large Dataset'!O20)</f>
        <v>0</v>
      </c>
      <c r="AI20" t="b" cm="1">
        <f t="array" ref="AI20">IsBlue('Large Dataset'!O20)</f>
        <v>0</v>
      </c>
      <c r="AJ20" t="b" cm="1">
        <f t="array" ref="AJ20">IsPurple('Large Dataset'!O20)</f>
        <v>0</v>
      </c>
      <c r="AK20" t="b" cm="1">
        <f t="array" ref="AK20">IsGreen('Large Dataset'!O20)</f>
        <v>0</v>
      </c>
      <c r="AR20" t="b" cm="1">
        <f t="array" ref="AR20">IsRed('Large Dataset'!Q20)</f>
        <v>0</v>
      </c>
      <c r="AS20" t="b" cm="1">
        <f t="array" ref="AS20">IsBlue('Large Dataset'!Q20)</f>
        <v>0</v>
      </c>
      <c r="AT20" t="b" cm="1">
        <f t="array" ref="AT20">IsPurple('Large Dataset'!Q20)</f>
        <v>0</v>
      </c>
      <c r="AU20" t="b" cm="1">
        <f t="array" ref="AU20">IsGreen('Large Dataset'!Q20)</f>
        <v>0</v>
      </c>
      <c r="BA20" t="b" cm="1">
        <f t="array" ref="BA20">IsRed('Large Dataset'!R20)</f>
        <v>0</v>
      </c>
      <c r="BB20" t="b" cm="1">
        <f t="array" ref="BB20">IsBlue('Large Dataset'!R20)</f>
        <v>0</v>
      </c>
      <c r="BC20" t="b" cm="1">
        <f t="array" ref="BC20">IsPurple('Large Dataset'!R20)</f>
        <v>0</v>
      </c>
      <c r="BD20" t="b" cm="1">
        <f t="array" ref="BD20">IsGreen('Large Dataset'!R20)</f>
        <v>0</v>
      </c>
      <c r="BJ20" t="b" cm="1">
        <f t="array" ref="BJ20">IsRed('Large Dataset'!T20)</f>
        <v>0</v>
      </c>
      <c r="BK20" t="b" cm="1">
        <f t="array" ref="BK20">IsBlue('Large Dataset'!T20)</f>
        <v>0</v>
      </c>
      <c r="BL20" t="b" cm="1">
        <f t="array" ref="BL20">IsPurple('Large Dataset'!T20)</f>
        <v>0</v>
      </c>
      <c r="BM20" t="b" cm="1">
        <f t="array" ref="BM20">IsGreen('Large Dataset'!T20)</f>
        <v>0</v>
      </c>
      <c r="BS20" t="b" cm="1">
        <f t="array" ref="BS20">IsRed('Large Dataset'!U20)</f>
        <v>0</v>
      </c>
      <c r="BT20" t="b" cm="1">
        <f t="array" ref="BT20">IsBlue('Large Dataset'!U20)</f>
        <v>0</v>
      </c>
      <c r="BU20" t="b" cm="1">
        <f t="array" ref="BU20">IsPurple('Large Dataset'!U20)</f>
        <v>0</v>
      </c>
      <c r="BV20" t="b" cm="1">
        <f t="array" ref="BV20">IsGreen('Large Dataset'!U20)</f>
        <v>0</v>
      </c>
    </row>
    <row r="21" spans="7:74">
      <c r="G21" t="b" cm="1">
        <f t="array" ref="G21">IsRed('Large Dataset'!I21)</f>
        <v>0</v>
      </c>
      <c r="H21" t="b" cm="1">
        <f t="array" ref="H21">IsBlue('Large Dataset'!I21)</f>
        <v>0</v>
      </c>
      <c r="I21" t="b" cm="1">
        <f t="array" ref="I21">IsPurple('Large Dataset'!I21)</f>
        <v>0</v>
      </c>
      <c r="J21" t="b" cm="1">
        <f t="array" ref="J21">IsGreen('Large Dataset'!G21)</f>
        <v>0</v>
      </c>
      <c r="P21" t="b" cm="1">
        <f t="array" ref="P21">IsRed('Large Dataset'!K21)</f>
        <v>0</v>
      </c>
      <c r="Q21" t="b" cm="1">
        <f t="array" ref="Q21">IsBlue('Large Dataset'!K21)</f>
        <v>0</v>
      </c>
      <c r="R21" t="b" cm="1">
        <f t="array" ref="R21">IsPurple('Large Dataset'!K21)</f>
        <v>0</v>
      </c>
      <c r="S21" t="b" cm="1">
        <f t="array" ref="S21">IsGreen('Large Dataset'!K21)</f>
        <v>0</v>
      </c>
      <c r="Y21" t="b" cm="1">
        <f t="array" ref="Y21">IsRed('Large Dataset'!M21)</f>
        <v>0</v>
      </c>
      <c r="Z21" t="b" cm="1">
        <f t="array" ref="Z21">IsBlue('Large Dataset'!M21)</f>
        <v>0</v>
      </c>
      <c r="AA21" t="b" cm="1">
        <f t="array" ref="AA21">IsPurple('Large Dataset'!M21)</f>
        <v>0</v>
      </c>
      <c r="AB21" t="b" cm="1">
        <f t="array" ref="AB21">IsGreen('Large Dataset'!M21)</f>
        <v>0</v>
      </c>
      <c r="AH21" t="b" cm="1">
        <f t="array" ref="AH21">IsRed('Large Dataset'!O21)</f>
        <v>0</v>
      </c>
      <c r="AI21" t="b" cm="1">
        <f t="array" ref="AI21">IsBlue('Large Dataset'!O21)</f>
        <v>1</v>
      </c>
      <c r="AJ21" t="b" cm="1">
        <f t="array" ref="AJ21">IsPurple('Large Dataset'!O21)</f>
        <v>0</v>
      </c>
      <c r="AK21" t="b" cm="1">
        <f t="array" ref="AK21">IsGreen('Large Dataset'!O21)</f>
        <v>0</v>
      </c>
      <c r="AR21" t="b" cm="1">
        <f t="array" ref="AR21">IsRed('Large Dataset'!Q21)</f>
        <v>0</v>
      </c>
      <c r="AS21" t="b" cm="1">
        <f t="array" ref="AS21">IsBlue('Large Dataset'!Q21)</f>
        <v>0</v>
      </c>
      <c r="AT21" t="b" cm="1">
        <f t="array" ref="AT21">IsPurple('Large Dataset'!Q21)</f>
        <v>0</v>
      </c>
      <c r="AU21" t="b" cm="1">
        <f t="array" ref="AU21">IsGreen('Large Dataset'!Q21)</f>
        <v>0</v>
      </c>
      <c r="BA21" t="b" cm="1">
        <f t="array" ref="BA21">IsRed('Large Dataset'!R21)</f>
        <v>0</v>
      </c>
      <c r="BB21" t="b" cm="1">
        <f t="array" ref="BB21">IsBlue('Large Dataset'!R21)</f>
        <v>0</v>
      </c>
      <c r="BC21" t="b" cm="1">
        <f t="array" ref="BC21">IsPurple('Large Dataset'!R21)</f>
        <v>0</v>
      </c>
      <c r="BD21" t="b" cm="1">
        <f t="array" ref="BD21">IsGreen('Large Dataset'!R21)</f>
        <v>0</v>
      </c>
      <c r="BJ21" t="b" cm="1">
        <f t="array" ref="BJ21">IsRed('Large Dataset'!T21)</f>
        <v>0</v>
      </c>
      <c r="BK21" t="b" cm="1">
        <f t="array" ref="BK21">IsBlue('Large Dataset'!T21)</f>
        <v>0</v>
      </c>
      <c r="BL21" t="b" cm="1">
        <f t="array" ref="BL21">IsPurple('Large Dataset'!T21)</f>
        <v>0</v>
      </c>
      <c r="BM21" t="b" cm="1">
        <f t="array" ref="BM21">IsGreen('Large Dataset'!T21)</f>
        <v>0</v>
      </c>
      <c r="BS21" t="b" cm="1">
        <f t="array" ref="BS21">IsRed('Large Dataset'!U21)</f>
        <v>0</v>
      </c>
      <c r="BT21" t="b" cm="1">
        <f t="array" ref="BT21">IsBlue('Large Dataset'!U21)</f>
        <v>0</v>
      </c>
      <c r="BU21" t="b" cm="1">
        <f t="array" ref="BU21">IsPurple('Large Dataset'!U21)</f>
        <v>0</v>
      </c>
      <c r="BV21" t="b" cm="1">
        <f t="array" ref="BV21">IsGreen('Large Dataset'!U21)</f>
        <v>0</v>
      </c>
    </row>
    <row r="22" spans="7:74">
      <c r="G22" t="b" cm="1">
        <f t="array" ref="G22">IsRed('Large Dataset'!I22)</f>
        <v>0</v>
      </c>
      <c r="H22" t="b" cm="1">
        <f t="array" ref="H22">IsBlue('Large Dataset'!I22)</f>
        <v>0</v>
      </c>
      <c r="I22" t="b" cm="1">
        <f t="array" ref="I22">IsPurple('Large Dataset'!I22)</f>
        <v>0</v>
      </c>
      <c r="J22" t="b" cm="1">
        <f t="array" ref="J22">IsGreen('Large Dataset'!G22)</f>
        <v>0</v>
      </c>
      <c r="P22" t="b" cm="1">
        <f t="array" ref="P22">IsRed('Large Dataset'!K22)</f>
        <v>0</v>
      </c>
      <c r="Q22" t="b" cm="1">
        <f t="array" ref="Q22">IsBlue('Large Dataset'!K22)</f>
        <v>1</v>
      </c>
      <c r="R22" t="b" cm="1">
        <f t="array" ref="R22">IsPurple('Large Dataset'!K22)</f>
        <v>0</v>
      </c>
      <c r="S22" t="b" cm="1">
        <f t="array" ref="S22">IsGreen('Large Dataset'!K22)</f>
        <v>0</v>
      </c>
      <c r="Y22" t="b" cm="1">
        <f t="array" ref="Y22">IsRed('Large Dataset'!M22)</f>
        <v>0</v>
      </c>
      <c r="Z22" t="b" cm="1">
        <f t="array" ref="Z22">IsBlue('Large Dataset'!M22)</f>
        <v>0</v>
      </c>
      <c r="AA22" t="b" cm="1">
        <f t="array" ref="AA22">IsPurple('Large Dataset'!M22)</f>
        <v>0</v>
      </c>
      <c r="AB22" t="b" cm="1">
        <f t="array" ref="AB22">IsGreen('Large Dataset'!M22)</f>
        <v>0</v>
      </c>
      <c r="AH22" t="b" cm="1">
        <f t="array" ref="AH22">IsRed('Large Dataset'!O22)</f>
        <v>0</v>
      </c>
      <c r="AI22" t="b" cm="1">
        <f t="array" ref="AI22">IsBlue('Large Dataset'!O22)</f>
        <v>0</v>
      </c>
      <c r="AJ22" t="b" cm="1">
        <f t="array" ref="AJ22">IsPurple('Large Dataset'!O22)</f>
        <v>0</v>
      </c>
      <c r="AK22" t="b" cm="1">
        <f t="array" ref="AK22">IsGreen('Large Dataset'!O22)</f>
        <v>0</v>
      </c>
      <c r="AR22" t="b" cm="1">
        <f t="array" ref="AR22">IsRed('Large Dataset'!Q22)</f>
        <v>1</v>
      </c>
      <c r="AS22" t="b" cm="1">
        <f t="array" ref="AS22">IsBlue('Large Dataset'!Q22)</f>
        <v>0</v>
      </c>
      <c r="AT22" t="b" cm="1">
        <f t="array" ref="AT22">IsPurple('Large Dataset'!Q22)</f>
        <v>0</v>
      </c>
      <c r="AU22" t="b" cm="1">
        <f t="array" ref="AU22">IsGreen('Large Dataset'!Q22)</f>
        <v>0</v>
      </c>
      <c r="BA22" t="b" cm="1">
        <f t="array" ref="BA22">IsRed('Large Dataset'!R22)</f>
        <v>0</v>
      </c>
      <c r="BB22" t="b" cm="1">
        <f t="array" ref="BB22">IsBlue('Large Dataset'!R22)</f>
        <v>0</v>
      </c>
      <c r="BC22" t="b" cm="1">
        <f t="array" ref="BC22">IsPurple('Large Dataset'!R22)</f>
        <v>0</v>
      </c>
      <c r="BD22" t="b" cm="1">
        <f t="array" ref="BD22">IsGreen('Large Dataset'!R22)</f>
        <v>0</v>
      </c>
      <c r="BJ22" t="b" cm="1">
        <f t="array" ref="BJ22">IsRed('Large Dataset'!T22)</f>
        <v>0</v>
      </c>
      <c r="BK22" t="b" cm="1">
        <f t="array" ref="BK22">IsBlue('Large Dataset'!T22)</f>
        <v>0</v>
      </c>
      <c r="BL22" t="b" cm="1">
        <f t="array" ref="BL22">IsPurple('Large Dataset'!T22)</f>
        <v>0</v>
      </c>
      <c r="BM22" t="b" cm="1">
        <f t="array" ref="BM22">IsGreen('Large Dataset'!T22)</f>
        <v>0</v>
      </c>
      <c r="BS22" t="b" cm="1">
        <f t="array" ref="BS22">IsRed('Large Dataset'!U22)</f>
        <v>0</v>
      </c>
      <c r="BT22" t="b" cm="1">
        <f t="array" ref="BT22">IsBlue('Large Dataset'!U22)</f>
        <v>0</v>
      </c>
      <c r="BU22" t="b" cm="1">
        <f t="array" ref="BU22">IsPurple('Large Dataset'!U22)</f>
        <v>0</v>
      </c>
      <c r="BV22" t="b" cm="1">
        <f t="array" ref="BV22">IsGreen('Large Dataset'!U22)</f>
        <v>0</v>
      </c>
    </row>
    <row r="23" spans="7:74">
      <c r="G23" t="b" cm="1">
        <f t="array" ref="G23">IsRed('Large Dataset'!I23)</f>
        <v>0</v>
      </c>
      <c r="H23" t="b" cm="1">
        <f t="array" ref="H23">IsBlue('Large Dataset'!I23)</f>
        <v>0</v>
      </c>
      <c r="I23" t="b" cm="1">
        <f t="array" ref="I23">IsPurple('Large Dataset'!I23)</f>
        <v>0</v>
      </c>
      <c r="J23" t="b" cm="1">
        <f t="array" ref="J23">IsGreen('Large Dataset'!G23)</f>
        <v>0</v>
      </c>
      <c r="P23" t="b" cm="1">
        <f t="array" ref="P23">IsRed('Large Dataset'!K23)</f>
        <v>0</v>
      </c>
      <c r="Q23" t="b" cm="1">
        <f t="array" ref="Q23">IsBlue('Large Dataset'!K23)</f>
        <v>1</v>
      </c>
      <c r="R23" t="b" cm="1">
        <f t="array" ref="R23">IsPurple('Large Dataset'!K23)</f>
        <v>0</v>
      </c>
      <c r="S23" t="b" cm="1">
        <f t="array" ref="S23">IsGreen('Large Dataset'!K23)</f>
        <v>0</v>
      </c>
      <c r="Y23" t="b" cm="1">
        <f t="array" ref="Y23">IsRed('Large Dataset'!M23)</f>
        <v>0</v>
      </c>
      <c r="Z23" t="b" cm="1">
        <f t="array" ref="Z23">IsBlue('Large Dataset'!M23)</f>
        <v>0</v>
      </c>
      <c r="AA23" t="b" cm="1">
        <f t="array" ref="AA23">IsPurple('Large Dataset'!M23)</f>
        <v>0</v>
      </c>
      <c r="AB23" t="b" cm="1">
        <f t="array" ref="AB23">IsGreen('Large Dataset'!M23)</f>
        <v>0</v>
      </c>
      <c r="AH23" t="b" cm="1">
        <f t="array" ref="AH23">IsRed('Large Dataset'!O23)</f>
        <v>0</v>
      </c>
      <c r="AI23" t="b" cm="1">
        <f t="array" ref="AI23">IsBlue('Large Dataset'!O23)</f>
        <v>1</v>
      </c>
      <c r="AJ23" t="b" cm="1">
        <f t="array" ref="AJ23">IsPurple('Large Dataset'!O23)</f>
        <v>0</v>
      </c>
      <c r="AK23" t="b" cm="1">
        <f t="array" ref="AK23">IsGreen('Large Dataset'!O23)</f>
        <v>0</v>
      </c>
      <c r="AR23" t="b" cm="1">
        <f t="array" ref="AR23">IsRed('Large Dataset'!Q23)</f>
        <v>1</v>
      </c>
      <c r="AS23" t="b" cm="1">
        <f t="array" ref="AS23">IsBlue('Large Dataset'!Q23)</f>
        <v>0</v>
      </c>
      <c r="AT23" t="b" cm="1">
        <f t="array" ref="AT23">IsPurple('Large Dataset'!Q23)</f>
        <v>0</v>
      </c>
      <c r="AU23" t="b" cm="1">
        <f t="array" ref="AU23">IsGreen('Large Dataset'!Q23)</f>
        <v>0</v>
      </c>
      <c r="BA23" t="b" cm="1">
        <f t="array" ref="BA23">IsRed('Large Dataset'!R23)</f>
        <v>0</v>
      </c>
      <c r="BB23" t="b" cm="1">
        <f t="array" ref="BB23">IsBlue('Large Dataset'!R23)</f>
        <v>0</v>
      </c>
      <c r="BC23" t="b" cm="1">
        <f t="array" ref="BC23">IsPurple('Large Dataset'!R23)</f>
        <v>0</v>
      </c>
      <c r="BD23" t="b" cm="1">
        <f t="array" ref="BD23">IsGreen('Large Dataset'!R23)</f>
        <v>0</v>
      </c>
      <c r="BJ23" t="b" cm="1">
        <f t="array" ref="BJ23">IsRed('Large Dataset'!T23)</f>
        <v>0</v>
      </c>
      <c r="BK23" t="b" cm="1">
        <f t="array" ref="BK23">IsBlue('Large Dataset'!T23)</f>
        <v>0</v>
      </c>
      <c r="BL23" t="b" cm="1">
        <f t="array" ref="BL23">IsPurple('Large Dataset'!T23)</f>
        <v>0</v>
      </c>
      <c r="BM23" t="b" cm="1">
        <f t="array" ref="BM23">IsGreen('Large Dataset'!T23)</f>
        <v>0</v>
      </c>
      <c r="BS23" t="b" cm="1">
        <f t="array" ref="BS23">IsRed('Large Dataset'!U23)</f>
        <v>0</v>
      </c>
      <c r="BT23" t="b" cm="1">
        <f t="array" ref="BT23">IsBlue('Large Dataset'!U23)</f>
        <v>1</v>
      </c>
      <c r="BU23" t="b" cm="1">
        <f t="array" ref="BU23">IsPurple('Large Dataset'!U23)</f>
        <v>0</v>
      </c>
      <c r="BV23" t="b" cm="1">
        <f t="array" ref="BV23">IsGreen('Large Dataset'!U23)</f>
        <v>0</v>
      </c>
    </row>
    <row r="24" spans="7:74">
      <c r="G24" t="b" cm="1">
        <f t="array" ref="G24">IsRed('Large Dataset'!I24)</f>
        <v>0</v>
      </c>
      <c r="H24" t="b" cm="1">
        <f t="array" ref="H24">IsBlue('Large Dataset'!I24)</f>
        <v>0</v>
      </c>
      <c r="I24" t="b" cm="1">
        <f t="array" ref="I24">IsPurple('Large Dataset'!I24)</f>
        <v>0</v>
      </c>
      <c r="J24" t="b" cm="1">
        <f t="array" ref="J24">IsGreen('Large Dataset'!G24)</f>
        <v>0</v>
      </c>
      <c r="P24" t="b" cm="1">
        <f t="array" ref="P24">IsRed('Large Dataset'!K24)</f>
        <v>0</v>
      </c>
      <c r="Q24" t="b" cm="1">
        <f t="array" ref="Q24">IsBlue('Large Dataset'!K24)</f>
        <v>0</v>
      </c>
      <c r="R24" t="b" cm="1">
        <f t="array" ref="R24">IsPurple('Large Dataset'!K24)</f>
        <v>0</v>
      </c>
      <c r="S24" t="b" cm="1">
        <f t="array" ref="S24">IsGreen('Large Dataset'!K24)</f>
        <v>0</v>
      </c>
      <c r="Y24" t="b" cm="1">
        <f t="array" ref="Y24">IsRed('Large Dataset'!M24)</f>
        <v>0</v>
      </c>
      <c r="Z24" t="b" cm="1">
        <f t="array" ref="Z24">IsBlue('Large Dataset'!M24)</f>
        <v>0</v>
      </c>
      <c r="AA24" t="b" cm="1">
        <f t="array" ref="AA24">IsPurple('Large Dataset'!M24)</f>
        <v>0</v>
      </c>
      <c r="AB24" t="b" cm="1">
        <f t="array" ref="AB24">IsGreen('Large Dataset'!M24)</f>
        <v>0</v>
      </c>
      <c r="AH24" t="b" cm="1">
        <f t="array" ref="AH24">IsRed('Large Dataset'!O24)</f>
        <v>0</v>
      </c>
      <c r="AI24" t="b" cm="1">
        <f t="array" ref="AI24">IsBlue('Large Dataset'!O24)</f>
        <v>1</v>
      </c>
      <c r="AJ24" t="b" cm="1">
        <f t="array" ref="AJ24">IsPurple('Large Dataset'!O24)</f>
        <v>0</v>
      </c>
      <c r="AK24" t="b" cm="1">
        <f t="array" ref="AK24">IsGreen('Large Dataset'!O24)</f>
        <v>0</v>
      </c>
      <c r="AR24" t="b" cm="1">
        <f t="array" ref="AR24">IsRed('Large Dataset'!Q24)</f>
        <v>0</v>
      </c>
      <c r="AS24" t="b" cm="1">
        <f t="array" ref="AS24">IsBlue('Large Dataset'!Q24)</f>
        <v>0</v>
      </c>
      <c r="AT24" t="b" cm="1">
        <f t="array" ref="AT24">IsPurple('Large Dataset'!Q24)</f>
        <v>0</v>
      </c>
      <c r="AU24" t="b" cm="1">
        <f t="array" ref="AU24">IsGreen('Large Dataset'!Q24)</f>
        <v>0</v>
      </c>
      <c r="BA24" t="b" cm="1">
        <f t="array" ref="BA24">IsRed('Large Dataset'!R24)</f>
        <v>0</v>
      </c>
      <c r="BB24" t="b" cm="1">
        <f t="array" ref="BB24">IsBlue('Large Dataset'!R24)</f>
        <v>0</v>
      </c>
      <c r="BC24" t="b" cm="1">
        <f t="array" ref="BC24">IsPurple('Large Dataset'!R24)</f>
        <v>0</v>
      </c>
      <c r="BD24" t="b" cm="1">
        <f t="array" ref="BD24">IsGreen('Large Dataset'!R24)</f>
        <v>0</v>
      </c>
      <c r="BJ24" t="b" cm="1">
        <f t="array" ref="BJ24">IsRed('Large Dataset'!T24)</f>
        <v>0</v>
      </c>
      <c r="BK24" t="b" cm="1">
        <f t="array" ref="BK24">IsBlue('Large Dataset'!T24)</f>
        <v>0</v>
      </c>
      <c r="BL24" t="b" cm="1">
        <f t="array" ref="BL24">IsPurple('Large Dataset'!T24)</f>
        <v>0</v>
      </c>
      <c r="BM24" t="b" cm="1">
        <f t="array" ref="BM24">IsGreen('Large Dataset'!T24)</f>
        <v>0</v>
      </c>
      <c r="BS24" t="b" cm="1">
        <f t="array" ref="BS24">IsRed('Large Dataset'!U24)</f>
        <v>0</v>
      </c>
      <c r="BT24" t="b" cm="1">
        <f t="array" ref="BT24">IsBlue('Large Dataset'!U24)</f>
        <v>0</v>
      </c>
      <c r="BU24" t="b" cm="1">
        <f t="array" ref="BU24">IsPurple('Large Dataset'!U24)</f>
        <v>0</v>
      </c>
      <c r="BV24" t="b" cm="1">
        <f t="array" ref="BV24">IsGreen('Large Dataset'!U24)</f>
        <v>0</v>
      </c>
    </row>
    <row r="25" spans="7:74">
      <c r="G25" t="b" cm="1">
        <f t="array" ref="G25">IsRed('Large Dataset'!I25)</f>
        <v>0</v>
      </c>
      <c r="H25" t="b" cm="1">
        <f t="array" ref="H25">IsBlue('Large Dataset'!I25)</f>
        <v>0</v>
      </c>
      <c r="I25" t="b" cm="1">
        <f t="array" ref="I25">IsPurple('Large Dataset'!I25)</f>
        <v>0</v>
      </c>
      <c r="J25" t="b" cm="1">
        <f t="array" ref="J25">IsGreen('Large Dataset'!G25)</f>
        <v>0</v>
      </c>
      <c r="P25" t="b" cm="1">
        <f t="array" ref="P25">IsRed('Large Dataset'!K25)</f>
        <v>0</v>
      </c>
      <c r="Q25" t="b" cm="1">
        <f t="array" ref="Q25">IsBlue('Large Dataset'!K25)</f>
        <v>1</v>
      </c>
      <c r="R25" t="b" cm="1">
        <f t="array" ref="R25">IsPurple('Large Dataset'!K25)</f>
        <v>0</v>
      </c>
      <c r="S25" t="b" cm="1">
        <f t="array" ref="S25">IsGreen('Large Dataset'!K25)</f>
        <v>0</v>
      </c>
      <c r="Y25" t="b" cm="1">
        <f t="array" ref="Y25">IsRed('Large Dataset'!M25)</f>
        <v>0</v>
      </c>
      <c r="Z25" t="b" cm="1">
        <f t="array" ref="Z25">IsBlue('Large Dataset'!M25)</f>
        <v>0</v>
      </c>
      <c r="AA25" t="b" cm="1">
        <f t="array" ref="AA25">IsPurple('Large Dataset'!M25)</f>
        <v>0</v>
      </c>
      <c r="AB25" t="b" cm="1">
        <f t="array" ref="AB25">IsGreen('Large Dataset'!M25)</f>
        <v>0</v>
      </c>
      <c r="AH25" t="b" cm="1">
        <f t="array" ref="AH25">IsRed('Large Dataset'!O25)</f>
        <v>0</v>
      </c>
      <c r="AI25" t="b" cm="1">
        <f t="array" ref="AI25">IsBlue('Large Dataset'!O25)</f>
        <v>0</v>
      </c>
      <c r="AJ25" t="b" cm="1">
        <f t="array" ref="AJ25">IsPurple('Large Dataset'!O25)</f>
        <v>1</v>
      </c>
      <c r="AK25" t="b" cm="1">
        <f t="array" ref="AK25">IsGreen('Large Dataset'!O25)</f>
        <v>0</v>
      </c>
      <c r="AR25" t="b" cm="1">
        <f t="array" ref="AR25">IsRed('Large Dataset'!Q25)</f>
        <v>0</v>
      </c>
      <c r="AS25" t="b" cm="1">
        <f t="array" ref="AS25">IsBlue('Large Dataset'!Q25)</f>
        <v>0</v>
      </c>
      <c r="AT25" t="b" cm="1">
        <f t="array" ref="AT25">IsPurple('Large Dataset'!Q25)</f>
        <v>0</v>
      </c>
      <c r="AU25" t="b" cm="1">
        <f t="array" ref="AU25">IsGreen('Large Dataset'!Q25)</f>
        <v>0</v>
      </c>
      <c r="BA25" t="b" cm="1">
        <f t="array" ref="BA25">IsRed('Large Dataset'!R25)</f>
        <v>0</v>
      </c>
      <c r="BB25" t="b" cm="1">
        <f t="array" ref="BB25">IsBlue('Large Dataset'!R25)</f>
        <v>1</v>
      </c>
      <c r="BC25" t="b" cm="1">
        <f t="array" ref="BC25">IsPurple('Large Dataset'!R25)</f>
        <v>0</v>
      </c>
      <c r="BD25" t="b" cm="1">
        <f t="array" ref="BD25">IsGreen('Large Dataset'!R25)</f>
        <v>0</v>
      </c>
      <c r="BJ25" t="b" cm="1">
        <f t="array" ref="BJ25">IsRed('Large Dataset'!T25)</f>
        <v>0</v>
      </c>
      <c r="BK25" t="b" cm="1">
        <f t="array" ref="BK25">IsBlue('Large Dataset'!T25)</f>
        <v>0</v>
      </c>
      <c r="BL25" t="b" cm="1">
        <f t="array" ref="BL25">IsPurple('Large Dataset'!T25)</f>
        <v>0</v>
      </c>
      <c r="BM25" t="b" cm="1">
        <f t="array" ref="BM25">IsGreen('Large Dataset'!T25)</f>
        <v>0</v>
      </c>
      <c r="BS25" t="b" cm="1">
        <f t="array" ref="BS25">IsRed('Large Dataset'!U25)</f>
        <v>0</v>
      </c>
      <c r="BT25" t="b" cm="1">
        <f t="array" ref="BT25">IsBlue('Large Dataset'!U25)</f>
        <v>1</v>
      </c>
      <c r="BU25" t="b" cm="1">
        <f t="array" ref="BU25">IsPurple('Large Dataset'!U25)</f>
        <v>0</v>
      </c>
      <c r="BV25" t="b" cm="1">
        <f t="array" ref="BV25">IsGreen('Large Dataset'!U25)</f>
        <v>0</v>
      </c>
    </row>
    <row r="26" spans="7:74">
      <c r="G26" t="b" cm="1">
        <f t="array" ref="G26">IsRed('Large Dataset'!I26)</f>
        <v>0</v>
      </c>
      <c r="H26" t="b" cm="1">
        <f t="array" ref="H26">IsBlue('Large Dataset'!I26)</f>
        <v>1</v>
      </c>
      <c r="I26" t="b" cm="1">
        <f t="array" ref="I26">IsPurple('Large Dataset'!I26)</f>
        <v>0</v>
      </c>
      <c r="J26" t="b" cm="1">
        <f t="array" ref="J26">IsGreen('Large Dataset'!G26)</f>
        <v>0</v>
      </c>
      <c r="P26" t="b" cm="1">
        <f t="array" ref="P26">IsRed('Large Dataset'!K26)</f>
        <v>0</v>
      </c>
      <c r="Q26" t="b" cm="1">
        <f t="array" ref="Q26">IsBlue('Large Dataset'!K26)</f>
        <v>1</v>
      </c>
      <c r="R26" t="b" cm="1">
        <f t="array" ref="R26">IsPurple('Large Dataset'!K26)</f>
        <v>0</v>
      </c>
      <c r="S26" t="b" cm="1">
        <f t="array" ref="S26">IsGreen('Large Dataset'!K26)</f>
        <v>0</v>
      </c>
      <c r="Y26" t="b" cm="1">
        <f t="array" ref="Y26">IsRed('Large Dataset'!M26)</f>
        <v>0</v>
      </c>
      <c r="Z26" t="b" cm="1">
        <f t="array" ref="Z26">IsBlue('Large Dataset'!M26)</f>
        <v>0</v>
      </c>
      <c r="AA26" t="b" cm="1">
        <f t="array" ref="AA26">IsPurple('Large Dataset'!M26)</f>
        <v>0</v>
      </c>
      <c r="AB26" t="b" cm="1">
        <f t="array" ref="AB26">IsGreen('Large Dataset'!M26)</f>
        <v>0</v>
      </c>
      <c r="AH26" t="b" cm="1">
        <f t="array" ref="AH26">IsRed('Large Dataset'!O26)</f>
        <v>0</v>
      </c>
      <c r="AI26" t="b" cm="1">
        <f t="array" ref="AI26">IsBlue('Large Dataset'!O26)</f>
        <v>1</v>
      </c>
      <c r="AJ26" t="b" cm="1">
        <f t="array" ref="AJ26">IsPurple('Large Dataset'!O26)</f>
        <v>0</v>
      </c>
      <c r="AK26" t="b" cm="1">
        <f t="array" ref="AK26">IsGreen('Large Dataset'!O26)</f>
        <v>0</v>
      </c>
      <c r="AR26" t="b" cm="1">
        <f t="array" ref="AR26">IsRed('Large Dataset'!Q26)</f>
        <v>1</v>
      </c>
      <c r="AS26" t="b" cm="1">
        <f t="array" ref="AS26">IsBlue('Large Dataset'!Q26)</f>
        <v>0</v>
      </c>
      <c r="AT26" t="b" cm="1">
        <f t="array" ref="AT26">IsPurple('Large Dataset'!Q26)</f>
        <v>0</v>
      </c>
      <c r="AU26" t="b" cm="1">
        <f t="array" ref="AU26">IsGreen('Large Dataset'!Q26)</f>
        <v>0</v>
      </c>
      <c r="BA26" t="b" cm="1">
        <f t="array" ref="BA26">IsRed('Large Dataset'!R26)</f>
        <v>0</v>
      </c>
      <c r="BB26" t="b" cm="1">
        <f t="array" ref="BB26">IsBlue('Large Dataset'!R26)</f>
        <v>0</v>
      </c>
      <c r="BC26" t="b" cm="1">
        <f t="array" ref="BC26">IsPurple('Large Dataset'!R26)</f>
        <v>0</v>
      </c>
      <c r="BD26" t="b" cm="1">
        <f t="array" ref="BD26">IsGreen('Large Dataset'!R26)</f>
        <v>0</v>
      </c>
      <c r="BJ26" t="b" cm="1">
        <f t="array" ref="BJ26">IsRed('Large Dataset'!T26)</f>
        <v>0</v>
      </c>
      <c r="BK26" t="b" cm="1">
        <f t="array" ref="BK26">IsBlue('Large Dataset'!T26)</f>
        <v>0</v>
      </c>
      <c r="BL26" t="b" cm="1">
        <f t="array" ref="BL26">IsPurple('Large Dataset'!T26)</f>
        <v>0</v>
      </c>
      <c r="BM26" t="b" cm="1">
        <f t="array" ref="BM26">IsGreen('Large Dataset'!T26)</f>
        <v>0</v>
      </c>
      <c r="BS26" t="b" cm="1">
        <f t="array" ref="BS26">IsRed('Large Dataset'!U26)</f>
        <v>0</v>
      </c>
      <c r="BT26" t="b" cm="1">
        <f t="array" ref="BT26">IsBlue('Large Dataset'!U26)</f>
        <v>1</v>
      </c>
      <c r="BU26" t="b" cm="1">
        <f t="array" ref="BU26">IsPurple('Large Dataset'!U26)</f>
        <v>0</v>
      </c>
      <c r="BV26" t="b" cm="1">
        <f t="array" ref="BV26">IsGreen('Large Dataset'!U26)</f>
        <v>0</v>
      </c>
    </row>
    <row r="27" spans="7:74">
      <c r="G27" t="b" cm="1">
        <f t="array" ref="G27">IsRed('Large Dataset'!I27)</f>
        <v>0</v>
      </c>
      <c r="H27" t="b" cm="1">
        <f t="array" ref="H27">IsBlue('Large Dataset'!I27)</f>
        <v>0</v>
      </c>
      <c r="I27" t="b" cm="1">
        <f t="array" ref="I27">IsPurple('Large Dataset'!I27)</f>
        <v>0</v>
      </c>
      <c r="J27" t="b" cm="1">
        <f t="array" ref="J27">IsGreen('Large Dataset'!G27)</f>
        <v>0</v>
      </c>
      <c r="P27" t="b" cm="1">
        <f t="array" ref="P27">IsRed('Large Dataset'!K27)</f>
        <v>0</v>
      </c>
      <c r="Q27" t="b" cm="1">
        <f t="array" ref="Q27">IsBlue('Large Dataset'!K27)</f>
        <v>0</v>
      </c>
      <c r="R27" t="b" cm="1">
        <f t="array" ref="R27">IsPurple('Large Dataset'!K27)</f>
        <v>0</v>
      </c>
      <c r="S27" t="b" cm="1">
        <f t="array" ref="S27">IsGreen('Large Dataset'!K27)</f>
        <v>0</v>
      </c>
      <c r="Y27" t="b" cm="1">
        <f t="array" ref="Y27">IsRed('Large Dataset'!M27)</f>
        <v>0</v>
      </c>
      <c r="Z27" t="b" cm="1">
        <f t="array" ref="Z27">IsBlue('Large Dataset'!M27)</f>
        <v>0</v>
      </c>
      <c r="AA27" t="b" cm="1">
        <f t="array" ref="AA27">IsPurple('Large Dataset'!M27)</f>
        <v>0</v>
      </c>
      <c r="AB27" t="b" cm="1">
        <f t="array" ref="AB27">IsGreen('Large Dataset'!M27)</f>
        <v>0</v>
      </c>
      <c r="AH27" t="b" cm="1">
        <f t="array" ref="AH27">IsRed('Large Dataset'!O27)</f>
        <v>0</v>
      </c>
      <c r="AI27" t="b" cm="1">
        <f t="array" ref="AI27">IsBlue('Large Dataset'!O27)</f>
        <v>1</v>
      </c>
      <c r="AJ27" t="b" cm="1">
        <f t="array" ref="AJ27">IsPurple('Large Dataset'!O27)</f>
        <v>0</v>
      </c>
      <c r="AK27" t="b" cm="1">
        <f t="array" ref="AK27">IsGreen('Large Dataset'!O27)</f>
        <v>0</v>
      </c>
      <c r="AR27" t="b" cm="1">
        <f t="array" ref="AR27">IsRed('Large Dataset'!Q27)</f>
        <v>0</v>
      </c>
      <c r="AS27" t="b" cm="1">
        <f t="array" ref="AS27">IsBlue('Large Dataset'!Q27)</f>
        <v>0</v>
      </c>
      <c r="AT27" t="b" cm="1">
        <f t="array" ref="AT27">IsPurple('Large Dataset'!Q27)</f>
        <v>0</v>
      </c>
      <c r="AU27" t="b" cm="1">
        <f t="array" ref="AU27">IsGreen('Large Dataset'!Q27)</f>
        <v>0</v>
      </c>
      <c r="BA27" t="b" cm="1">
        <f t="array" ref="BA27">IsRed('Large Dataset'!R27)</f>
        <v>0</v>
      </c>
      <c r="BB27" t="b" cm="1">
        <f t="array" ref="BB27">IsBlue('Large Dataset'!R27)</f>
        <v>1</v>
      </c>
      <c r="BC27" t="b" cm="1">
        <f t="array" ref="BC27">IsPurple('Large Dataset'!R27)</f>
        <v>0</v>
      </c>
      <c r="BD27" t="b" cm="1">
        <f t="array" ref="BD27">IsGreen('Large Dataset'!R27)</f>
        <v>0</v>
      </c>
      <c r="BJ27" t="b" cm="1">
        <f t="array" ref="BJ27">IsRed('Large Dataset'!T27)</f>
        <v>0</v>
      </c>
      <c r="BK27" t="b" cm="1">
        <f t="array" ref="BK27">IsBlue('Large Dataset'!T27)</f>
        <v>0</v>
      </c>
      <c r="BL27" t="b" cm="1">
        <f t="array" ref="BL27">IsPurple('Large Dataset'!T27)</f>
        <v>0</v>
      </c>
      <c r="BM27" t="b" cm="1">
        <f t="array" ref="BM27">IsGreen('Large Dataset'!T27)</f>
        <v>0</v>
      </c>
      <c r="BS27" t="b" cm="1">
        <f t="array" ref="BS27">IsRed('Large Dataset'!U27)</f>
        <v>0</v>
      </c>
      <c r="BT27" t="b" cm="1">
        <f t="array" ref="BT27">IsBlue('Large Dataset'!U27)</f>
        <v>1</v>
      </c>
      <c r="BU27" t="b" cm="1">
        <f t="array" ref="BU27">IsPurple('Large Dataset'!U27)</f>
        <v>0</v>
      </c>
      <c r="BV27" t="b" cm="1">
        <f t="array" ref="BV27">IsGreen('Large Dataset'!U27)</f>
        <v>0</v>
      </c>
    </row>
    <row r="28" spans="7:74">
      <c r="G28" t="b" cm="1">
        <f t="array" ref="G28">IsRed('Large Dataset'!I28)</f>
        <v>0</v>
      </c>
      <c r="H28" t="b" cm="1">
        <f t="array" ref="H28">IsBlue('Large Dataset'!I28)</f>
        <v>0</v>
      </c>
      <c r="I28" t="b" cm="1">
        <f t="array" ref="I28">IsPurple('Large Dataset'!I28)</f>
        <v>0</v>
      </c>
      <c r="J28" t="b" cm="1">
        <f t="array" ref="J28">IsGreen('Large Dataset'!G28)</f>
        <v>0</v>
      </c>
      <c r="P28" t="b" cm="1">
        <f t="array" ref="P28">IsRed('Large Dataset'!K28)</f>
        <v>0</v>
      </c>
      <c r="Q28" t="b" cm="1">
        <f t="array" ref="Q28">IsBlue('Large Dataset'!K28)</f>
        <v>0</v>
      </c>
      <c r="R28" t="b" cm="1">
        <f t="array" ref="R28">IsPurple('Large Dataset'!K28)</f>
        <v>0</v>
      </c>
      <c r="S28" t="b" cm="1">
        <f t="array" ref="S28">IsGreen('Large Dataset'!K28)</f>
        <v>0</v>
      </c>
      <c r="Y28" t="b" cm="1">
        <f t="array" ref="Y28">IsRed('Large Dataset'!M28)</f>
        <v>0</v>
      </c>
      <c r="Z28" t="b" cm="1">
        <f t="array" ref="Z28">IsBlue('Large Dataset'!M28)</f>
        <v>0</v>
      </c>
      <c r="AA28" t="b" cm="1">
        <f t="array" ref="AA28">IsPurple('Large Dataset'!M28)</f>
        <v>0</v>
      </c>
      <c r="AB28" t="b" cm="1">
        <f t="array" ref="AB28">IsGreen('Large Dataset'!M28)</f>
        <v>0</v>
      </c>
      <c r="AH28" t="b" cm="1">
        <f t="array" ref="AH28">IsRed('Large Dataset'!O28)</f>
        <v>0</v>
      </c>
      <c r="AI28" t="b" cm="1">
        <f t="array" ref="AI28">IsBlue('Large Dataset'!O28)</f>
        <v>1</v>
      </c>
      <c r="AJ28" t="b" cm="1">
        <f t="array" ref="AJ28">IsPurple('Large Dataset'!O28)</f>
        <v>0</v>
      </c>
      <c r="AK28" t="b" cm="1">
        <f t="array" ref="AK28">IsGreen('Large Dataset'!O28)</f>
        <v>0</v>
      </c>
      <c r="AR28" t="b" cm="1">
        <f t="array" ref="AR28">IsRed('Large Dataset'!Q28)</f>
        <v>0</v>
      </c>
      <c r="AS28" t="b" cm="1">
        <f t="array" ref="AS28">IsBlue('Large Dataset'!Q28)</f>
        <v>0</v>
      </c>
      <c r="AT28" t="b" cm="1">
        <f t="array" ref="AT28">IsPurple('Large Dataset'!Q28)</f>
        <v>0</v>
      </c>
      <c r="AU28" t="b" cm="1">
        <f t="array" ref="AU28">IsGreen('Large Dataset'!Q28)</f>
        <v>0</v>
      </c>
      <c r="BA28" t="b" cm="1">
        <f t="array" ref="BA28">IsRed('Large Dataset'!R28)</f>
        <v>0</v>
      </c>
      <c r="BB28" t="b" cm="1">
        <f t="array" ref="BB28">IsBlue('Large Dataset'!R28)</f>
        <v>1</v>
      </c>
      <c r="BC28" t="b" cm="1">
        <f t="array" ref="BC28">IsPurple('Large Dataset'!R28)</f>
        <v>0</v>
      </c>
      <c r="BD28" t="b" cm="1">
        <f t="array" ref="BD28">IsGreen('Large Dataset'!R28)</f>
        <v>0</v>
      </c>
      <c r="BJ28" t="b" cm="1">
        <f t="array" ref="BJ28">IsRed('Large Dataset'!T28)</f>
        <v>0</v>
      </c>
      <c r="BK28" t="b" cm="1">
        <f t="array" ref="BK28">IsBlue('Large Dataset'!T28)</f>
        <v>0</v>
      </c>
      <c r="BL28" t="b" cm="1">
        <f t="array" ref="BL28">IsPurple('Large Dataset'!T28)</f>
        <v>0</v>
      </c>
      <c r="BM28" t="b" cm="1">
        <f t="array" ref="BM28">IsGreen('Large Dataset'!T28)</f>
        <v>0</v>
      </c>
      <c r="BS28" t="b" cm="1">
        <f t="array" ref="BS28">IsRed('Large Dataset'!U28)</f>
        <v>0</v>
      </c>
      <c r="BT28" t="b" cm="1">
        <f t="array" ref="BT28">IsBlue('Large Dataset'!U28)</f>
        <v>1</v>
      </c>
      <c r="BU28" t="b" cm="1">
        <f t="array" ref="BU28">IsPurple('Large Dataset'!U28)</f>
        <v>0</v>
      </c>
      <c r="BV28" t="b" cm="1">
        <f t="array" ref="BV28">IsGreen('Large Dataset'!U28)</f>
        <v>0</v>
      </c>
    </row>
    <row r="29" spans="7:74">
      <c r="G29" t="b" cm="1">
        <f t="array" ref="G29">IsRed('Large Dataset'!I29)</f>
        <v>0</v>
      </c>
      <c r="H29" t="b" cm="1">
        <f t="array" ref="H29">IsBlue('Large Dataset'!I29)</f>
        <v>0</v>
      </c>
      <c r="I29" t="b" cm="1">
        <f t="array" ref="I29">IsPurple('Large Dataset'!I29)</f>
        <v>0</v>
      </c>
      <c r="J29" t="b" cm="1">
        <f t="array" ref="J29">IsGreen('Large Dataset'!G29)</f>
        <v>0</v>
      </c>
      <c r="P29" t="b" cm="1">
        <f t="array" ref="P29">IsRed('Large Dataset'!K29)</f>
        <v>0</v>
      </c>
      <c r="Q29" t="b" cm="1">
        <f t="array" ref="Q29">IsBlue('Large Dataset'!K29)</f>
        <v>0</v>
      </c>
      <c r="R29" t="b" cm="1">
        <f t="array" ref="R29">IsPurple('Large Dataset'!K29)</f>
        <v>0</v>
      </c>
      <c r="S29" t="b" cm="1">
        <f t="array" ref="S29">IsGreen('Large Dataset'!K29)</f>
        <v>0</v>
      </c>
      <c r="Y29" t="b" cm="1">
        <f t="array" ref="Y29">IsRed('Large Dataset'!M29)</f>
        <v>0</v>
      </c>
      <c r="Z29" t="b" cm="1">
        <f t="array" ref="Z29">IsBlue('Large Dataset'!M29)</f>
        <v>0</v>
      </c>
      <c r="AA29" t="b" cm="1">
        <f t="array" ref="AA29">IsPurple('Large Dataset'!M29)</f>
        <v>0</v>
      </c>
      <c r="AB29" t="b" cm="1">
        <f t="array" ref="AB29">IsGreen('Large Dataset'!M29)</f>
        <v>0</v>
      </c>
      <c r="AH29" t="b" cm="1">
        <f t="array" ref="AH29">IsRed('Large Dataset'!O29)</f>
        <v>0</v>
      </c>
      <c r="AI29" t="b" cm="1">
        <f t="array" ref="AI29">IsBlue('Large Dataset'!O29)</f>
        <v>1</v>
      </c>
      <c r="AJ29" t="b" cm="1">
        <f t="array" ref="AJ29">IsPurple('Large Dataset'!O29)</f>
        <v>0</v>
      </c>
      <c r="AK29" t="b" cm="1">
        <f t="array" ref="AK29">IsGreen('Large Dataset'!O29)</f>
        <v>0</v>
      </c>
      <c r="AR29" t="b" cm="1">
        <f t="array" ref="AR29">IsRed('Large Dataset'!Q29)</f>
        <v>0</v>
      </c>
      <c r="AS29" t="b" cm="1">
        <f t="array" ref="AS29">IsBlue('Large Dataset'!Q29)</f>
        <v>0</v>
      </c>
      <c r="AT29" t="b" cm="1">
        <f t="array" ref="AT29">IsPurple('Large Dataset'!Q29)</f>
        <v>0</v>
      </c>
      <c r="AU29" t="b" cm="1">
        <f t="array" ref="AU29">IsGreen('Large Dataset'!Q29)</f>
        <v>0</v>
      </c>
      <c r="BA29" t="b" cm="1">
        <f t="array" ref="BA29">IsRed('Large Dataset'!R29)</f>
        <v>0</v>
      </c>
      <c r="BB29" t="b" cm="1">
        <f t="array" ref="BB29">IsBlue('Large Dataset'!R29)</f>
        <v>1</v>
      </c>
      <c r="BC29" t="b" cm="1">
        <f t="array" ref="BC29">IsPurple('Large Dataset'!R29)</f>
        <v>0</v>
      </c>
      <c r="BD29" t="b" cm="1">
        <f t="array" ref="BD29">IsGreen('Large Dataset'!R29)</f>
        <v>0</v>
      </c>
      <c r="BJ29" t="b" cm="1">
        <f t="array" ref="BJ29">IsRed('Large Dataset'!T29)</f>
        <v>0</v>
      </c>
      <c r="BK29" t="b" cm="1">
        <f t="array" ref="BK29">IsBlue('Large Dataset'!T29)</f>
        <v>0</v>
      </c>
      <c r="BL29" t="b" cm="1">
        <f t="array" ref="BL29">IsPurple('Large Dataset'!T29)</f>
        <v>0</v>
      </c>
      <c r="BM29" t="b" cm="1">
        <f t="array" ref="BM29">IsGreen('Large Dataset'!T29)</f>
        <v>0</v>
      </c>
      <c r="BS29" t="b" cm="1">
        <f t="array" ref="BS29">IsRed('Large Dataset'!U29)</f>
        <v>0</v>
      </c>
      <c r="BT29" t="b" cm="1">
        <f t="array" ref="BT29">IsBlue('Large Dataset'!U29)</f>
        <v>1</v>
      </c>
      <c r="BU29" t="b" cm="1">
        <f t="array" ref="BU29">IsPurple('Large Dataset'!U29)</f>
        <v>0</v>
      </c>
      <c r="BV29" t="b" cm="1">
        <f t="array" ref="BV29">IsGreen('Large Dataset'!U29)</f>
        <v>0</v>
      </c>
    </row>
    <row r="30" spans="7:74">
      <c r="G30" t="b" cm="1">
        <f t="array" ref="G30">IsRed('Large Dataset'!I30)</f>
        <v>0</v>
      </c>
      <c r="H30" t="b" cm="1">
        <f t="array" ref="H30">IsBlue('Large Dataset'!I30)</f>
        <v>0</v>
      </c>
      <c r="I30" t="b" cm="1">
        <f t="array" ref="I30">IsPurple('Large Dataset'!I30)</f>
        <v>0</v>
      </c>
      <c r="J30" t="b" cm="1">
        <f t="array" ref="J30">IsGreen('Large Dataset'!G30)</f>
        <v>0</v>
      </c>
      <c r="P30" t="b" cm="1">
        <f t="array" ref="P30">IsRed('Large Dataset'!K30)</f>
        <v>0</v>
      </c>
      <c r="Q30" t="b" cm="1">
        <f t="array" ref="Q30">IsBlue('Large Dataset'!K30)</f>
        <v>0</v>
      </c>
      <c r="R30" t="b" cm="1">
        <f t="array" ref="R30">IsPurple('Large Dataset'!K30)</f>
        <v>0</v>
      </c>
      <c r="S30" t="b" cm="1">
        <f t="array" ref="S30">IsGreen('Large Dataset'!K30)</f>
        <v>0</v>
      </c>
      <c r="Y30" t="b" cm="1">
        <f t="array" ref="Y30">IsRed('Large Dataset'!M30)</f>
        <v>0</v>
      </c>
      <c r="Z30" t="b" cm="1">
        <f t="array" ref="Z30">IsBlue('Large Dataset'!M30)</f>
        <v>0</v>
      </c>
      <c r="AA30" t="b" cm="1">
        <f t="array" ref="AA30">IsPurple('Large Dataset'!M30)</f>
        <v>0</v>
      </c>
      <c r="AB30" t="b" cm="1">
        <f t="array" ref="AB30">IsGreen('Large Dataset'!M30)</f>
        <v>0</v>
      </c>
      <c r="AH30" t="b" cm="1">
        <f t="array" ref="AH30">IsRed('Large Dataset'!O30)</f>
        <v>0</v>
      </c>
      <c r="AI30" t="b" cm="1">
        <f t="array" ref="AI30">IsBlue('Large Dataset'!O30)</f>
        <v>1</v>
      </c>
      <c r="AJ30" t="b" cm="1">
        <f t="array" ref="AJ30">IsPurple('Large Dataset'!O30)</f>
        <v>0</v>
      </c>
      <c r="AK30" t="b" cm="1">
        <f t="array" ref="AK30">IsGreen('Large Dataset'!O30)</f>
        <v>0</v>
      </c>
      <c r="AR30" t="b" cm="1">
        <f t="array" ref="AR30">IsRed('Large Dataset'!Q30)</f>
        <v>0</v>
      </c>
      <c r="AS30" t="b" cm="1">
        <f t="array" ref="AS30">IsBlue('Large Dataset'!Q30)</f>
        <v>0</v>
      </c>
      <c r="AT30" t="b" cm="1">
        <f t="array" ref="AT30">IsPurple('Large Dataset'!Q30)</f>
        <v>0</v>
      </c>
      <c r="AU30" t="b" cm="1">
        <f t="array" ref="AU30">IsGreen('Large Dataset'!Q30)</f>
        <v>0</v>
      </c>
      <c r="BA30" t="b" cm="1">
        <f t="array" ref="BA30">IsRed('Large Dataset'!R30)</f>
        <v>0</v>
      </c>
      <c r="BB30" t="b" cm="1">
        <f t="array" ref="BB30">IsBlue('Large Dataset'!R30)</f>
        <v>1</v>
      </c>
      <c r="BC30" t="b" cm="1">
        <f t="array" ref="BC30">IsPurple('Large Dataset'!R30)</f>
        <v>0</v>
      </c>
      <c r="BD30" t="b" cm="1">
        <f t="array" ref="BD30">IsGreen('Large Dataset'!R30)</f>
        <v>0</v>
      </c>
      <c r="BF30" s="108"/>
      <c r="BJ30" t="b" cm="1">
        <f t="array" ref="BJ30">IsRed('Large Dataset'!T30)</f>
        <v>0</v>
      </c>
      <c r="BK30" t="b" cm="1">
        <f t="array" ref="BK30">IsBlue('Large Dataset'!T30)</f>
        <v>0</v>
      </c>
      <c r="BL30" t="b" cm="1">
        <f t="array" ref="BL30">IsPurple('Large Dataset'!T30)</f>
        <v>0</v>
      </c>
      <c r="BM30" t="b" cm="1">
        <f t="array" ref="BM30">IsGreen('Large Dataset'!T30)</f>
        <v>0</v>
      </c>
      <c r="BS30" t="b" cm="1">
        <f t="array" ref="BS30">IsRed('Large Dataset'!U30)</f>
        <v>0</v>
      </c>
      <c r="BT30" t="b" cm="1">
        <f t="array" ref="BT30">IsBlue('Large Dataset'!U30)</f>
        <v>1</v>
      </c>
      <c r="BU30" t="b" cm="1">
        <f t="array" ref="BU30">IsPurple('Large Dataset'!U30)</f>
        <v>0</v>
      </c>
      <c r="BV30" t="b" cm="1">
        <f t="array" ref="BV30">IsGreen('Large Dataset'!U30)</f>
        <v>0</v>
      </c>
    </row>
    <row r="31" spans="7:74">
      <c r="G31" t="b" cm="1">
        <f t="array" ref="G31">IsRed('Large Dataset'!I31)</f>
        <v>0</v>
      </c>
      <c r="H31" t="b" cm="1">
        <f t="array" ref="H31">IsBlue('Large Dataset'!I31)</f>
        <v>0</v>
      </c>
      <c r="I31" t="b" cm="1">
        <f t="array" ref="I31">IsPurple('Large Dataset'!I31)</f>
        <v>0</v>
      </c>
      <c r="J31" t="b" cm="1">
        <f t="array" ref="J31">IsGreen('Large Dataset'!G31)</f>
        <v>0</v>
      </c>
      <c r="P31" t="b" cm="1">
        <f t="array" ref="P31">IsRed('Large Dataset'!K31)</f>
        <v>0</v>
      </c>
      <c r="Q31" t="b" cm="1">
        <f t="array" ref="Q31">IsBlue('Large Dataset'!K31)</f>
        <v>0</v>
      </c>
      <c r="R31" t="b" cm="1">
        <f t="array" ref="R31">IsPurple('Large Dataset'!K31)</f>
        <v>0</v>
      </c>
      <c r="S31" t="b" cm="1">
        <f t="array" ref="S31">IsGreen('Large Dataset'!K31)</f>
        <v>0</v>
      </c>
      <c r="Y31" t="b" cm="1">
        <f t="array" ref="Y31">IsRed('Large Dataset'!M31)</f>
        <v>0</v>
      </c>
      <c r="Z31" t="b" cm="1">
        <f t="array" ref="Z31">IsBlue('Large Dataset'!M31)</f>
        <v>0</v>
      </c>
      <c r="AA31" t="b" cm="1">
        <f t="array" ref="AA31">IsPurple('Large Dataset'!M31)</f>
        <v>0</v>
      </c>
      <c r="AB31" t="b" cm="1">
        <f t="array" ref="AB31">IsGreen('Large Dataset'!M31)</f>
        <v>0</v>
      </c>
      <c r="AH31" t="b" cm="1">
        <f t="array" ref="AH31">IsRed('Large Dataset'!O31)</f>
        <v>0</v>
      </c>
      <c r="AI31" t="b" cm="1">
        <f t="array" ref="AI31">IsBlue('Large Dataset'!O31)</f>
        <v>1</v>
      </c>
      <c r="AJ31" t="b" cm="1">
        <f t="array" ref="AJ31">IsPurple('Large Dataset'!O31)</f>
        <v>0</v>
      </c>
      <c r="AK31" t="b" cm="1">
        <f t="array" ref="AK31">IsGreen('Large Dataset'!O31)</f>
        <v>0</v>
      </c>
      <c r="AR31" t="b" cm="1">
        <f t="array" ref="AR31">IsRed('Large Dataset'!Q31)</f>
        <v>0</v>
      </c>
      <c r="AS31" t="b" cm="1">
        <f t="array" ref="AS31">IsBlue('Large Dataset'!Q31)</f>
        <v>0</v>
      </c>
      <c r="AT31" t="b" cm="1">
        <f t="array" ref="AT31">IsPurple('Large Dataset'!Q31)</f>
        <v>0</v>
      </c>
      <c r="AU31" t="b" cm="1">
        <f t="array" ref="AU31">IsGreen('Large Dataset'!Q31)</f>
        <v>0</v>
      </c>
      <c r="BA31" t="b" cm="1">
        <f t="array" ref="BA31">IsRed('Large Dataset'!R31)</f>
        <v>0</v>
      </c>
      <c r="BB31" t="b" cm="1">
        <f t="array" ref="BB31">IsBlue('Large Dataset'!R31)</f>
        <v>1</v>
      </c>
      <c r="BC31" t="b" cm="1">
        <f t="array" ref="BC31">IsPurple('Large Dataset'!R31)</f>
        <v>0</v>
      </c>
      <c r="BD31" t="b" cm="1">
        <f t="array" ref="BD31">IsGreen('Large Dataset'!R31)</f>
        <v>0</v>
      </c>
      <c r="BF31" s="108"/>
      <c r="BJ31" t="b" cm="1">
        <f t="array" ref="BJ31">IsRed('Large Dataset'!T31)</f>
        <v>0</v>
      </c>
      <c r="BK31" t="b" cm="1">
        <f t="array" ref="BK31">IsBlue('Large Dataset'!T31)</f>
        <v>0</v>
      </c>
      <c r="BL31" t="b" cm="1">
        <f t="array" ref="BL31">IsPurple('Large Dataset'!T31)</f>
        <v>0</v>
      </c>
      <c r="BM31" t="b" cm="1">
        <f t="array" ref="BM31">IsGreen('Large Dataset'!T31)</f>
        <v>0</v>
      </c>
      <c r="BS31" t="b" cm="1">
        <f t="array" ref="BS31">IsRed('Large Dataset'!U31)</f>
        <v>0</v>
      </c>
      <c r="BT31" t="b" cm="1">
        <f t="array" ref="BT31">IsBlue('Large Dataset'!U31)</f>
        <v>1</v>
      </c>
      <c r="BU31" t="b" cm="1">
        <f t="array" ref="BU31">IsPurple('Large Dataset'!U31)</f>
        <v>0</v>
      </c>
      <c r="BV31" t="b" cm="1">
        <f t="array" ref="BV31">IsGreen('Large Dataset'!U31)</f>
        <v>0</v>
      </c>
    </row>
    <row r="32" spans="7:74">
      <c r="G32" t="b" cm="1">
        <f t="array" ref="G32">IsRed('Large Dataset'!I32)</f>
        <v>0</v>
      </c>
      <c r="H32" t="b" cm="1">
        <f t="array" ref="H32">IsBlue('Large Dataset'!I32)</f>
        <v>0</v>
      </c>
      <c r="I32" t="b" cm="1">
        <f t="array" ref="I32">IsPurple('Large Dataset'!I32)</f>
        <v>0</v>
      </c>
      <c r="J32" t="b" cm="1">
        <f t="array" ref="J32">IsGreen('Large Dataset'!G32)</f>
        <v>0</v>
      </c>
      <c r="P32" t="b" cm="1">
        <f t="array" ref="P32">IsRed('Large Dataset'!K32)</f>
        <v>0</v>
      </c>
      <c r="Q32" t="b" cm="1">
        <f t="array" ref="Q32">IsBlue('Large Dataset'!K32)</f>
        <v>0</v>
      </c>
      <c r="R32" t="b" cm="1">
        <f t="array" ref="R32">IsPurple('Large Dataset'!K32)</f>
        <v>0</v>
      </c>
      <c r="S32" t="b" cm="1">
        <f t="array" ref="S32">IsGreen('Large Dataset'!K32)</f>
        <v>0</v>
      </c>
      <c r="Y32" t="b" cm="1">
        <f t="array" ref="Y32">IsRed('Large Dataset'!M32)</f>
        <v>0</v>
      </c>
      <c r="Z32" t="b" cm="1">
        <f t="array" ref="Z32">IsBlue('Large Dataset'!M32)</f>
        <v>0</v>
      </c>
      <c r="AA32" t="b" cm="1">
        <f t="array" ref="AA32">IsPurple('Large Dataset'!M32)</f>
        <v>0</v>
      </c>
      <c r="AB32" t="b" cm="1">
        <f t="array" ref="AB32">IsGreen('Large Dataset'!M32)</f>
        <v>0</v>
      </c>
      <c r="AH32" t="b" cm="1">
        <f t="array" ref="AH32">IsRed('Large Dataset'!O32)</f>
        <v>0</v>
      </c>
      <c r="AI32" t="b" cm="1">
        <f t="array" ref="AI32">IsBlue('Large Dataset'!O32)</f>
        <v>1</v>
      </c>
      <c r="AJ32" t="b" cm="1">
        <f t="array" ref="AJ32">IsPurple('Large Dataset'!O32)</f>
        <v>0</v>
      </c>
      <c r="AK32" t="b" cm="1">
        <f t="array" ref="AK32">IsGreen('Large Dataset'!O32)</f>
        <v>0</v>
      </c>
      <c r="AR32" t="b" cm="1">
        <f t="array" ref="AR32">IsRed('Large Dataset'!Q32)</f>
        <v>0</v>
      </c>
      <c r="AS32" t="b" cm="1">
        <f t="array" ref="AS32">IsBlue('Large Dataset'!Q32)</f>
        <v>0</v>
      </c>
      <c r="AT32" t="b" cm="1">
        <f t="array" ref="AT32">IsPurple('Large Dataset'!Q32)</f>
        <v>0</v>
      </c>
      <c r="AU32" t="b" cm="1">
        <f t="array" ref="AU32">IsGreen('Large Dataset'!Q32)</f>
        <v>0</v>
      </c>
      <c r="AZ32" s="108"/>
      <c r="BA32" t="b" cm="1">
        <f t="array" ref="BA32">IsRed('Large Dataset'!R32)</f>
        <v>0</v>
      </c>
      <c r="BB32" t="b" cm="1">
        <f t="array" ref="BB32">IsBlue('Large Dataset'!R32)</f>
        <v>1</v>
      </c>
      <c r="BC32" t="b" cm="1">
        <f t="array" ref="BC32">IsPurple('Large Dataset'!R32)</f>
        <v>0</v>
      </c>
      <c r="BD32" t="b" cm="1">
        <f t="array" ref="BD32">IsGreen('Large Dataset'!R32)</f>
        <v>0</v>
      </c>
      <c r="BJ32" t="b" cm="1">
        <f t="array" ref="BJ32">IsRed('Large Dataset'!T32)</f>
        <v>0</v>
      </c>
      <c r="BK32" t="b" cm="1">
        <f t="array" ref="BK32">IsBlue('Large Dataset'!T32)</f>
        <v>0</v>
      </c>
      <c r="BL32" t="b" cm="1">
        <f t="array" ref="BL32">IsPurple('Large Dataset'!T32)</f>
        <v>0</v>
      </c>
      <c r="BM32" t="b" cm="1">
        <f t="array" ref="BM32">IsGreen('Large Dataset'!T32)</f>
        <v>0</v>
      </c>
      <c r="BS32" t="b" cm="1">
        <f t="array" ref="BS32">IsRed('Large Dataset'!U32)</f>
        <v>0</v>
      </c>
      <c r="BT32" t="b" cm="1">
        <f t="array" ref="BT32">IsBlue('Large Dataset'!U32)</f>
        <v>0</v>
      </c>
      <c r="BU32" t="b" cm="1">
        <f t="array" ref="BU32">IsPurple('Large Dataset'!U32)</f>
        <v>0</v>
      </c>
      <c r="BV32" t="b" cm="1">
        <f t="array" ref="BV32">IsGreen('Large Dataset'!U32)</f>
        <v>0</v>
      </c>
    </row>
    <row r="33" spans="7:74">
      <c r="G33" t="b" cm="1">
        <f t="array" ref="G33">IsRed('Large Dataset'!I33)</f>
        <v>0</v>
      </c>
      <c r="H33" t="b" cm="1">
        <f t="array" ref="H33">IsBlue('Large Dataset'!I33)</f>
        <v>0</v>
      </c>
      <c r="I33" t="b" cm="1">
        <f t="array" ref="I33">IsPurple('Large Dataset'!I33)</f>
        <v>0</v>
      </c>
      <c r="J33" t="b" cm="1">
        <f t="array" ref="J33">IsGreen('Large Dataset'!G33)</f>
        <v>1</v>
      </c>
      <c r="P33" t="b" cm="1">
        <f t="array" ref="P33">IsRed('Large Dataset'!K33)</f>
        <v>0</v>
      </c>
      <c r="Q33" t="b" cm="1">
        <f t="array" ref="Q33">IsBlue('Large Dataset'!K33)</f>
        <v>0</v>
      </c>
      <c r="R33" t="b" cm="1">
        <f t="array" ref="R33">IsPurple('Large Dataset'!K33)</f>
        <v>0</v>
      </c>
      <c r="S33" t="b" cm="1">
        <f t="array" ref="S33">IsGreen('Large Dataset'!K33)</f>
        <v>0</v>
      </c>
      <c r="Y33" t="b" cm="1">
        <f t="array" ref="Y33">IsRed('Large Dataset'!M33)</f>
        <v>0</v>
      </c>
      <c r="Z33" t="b" cm="1">
        <f t="array" ref="Z33">IsBlue('Large Dataset'!M33)</f>
        <v>0</v>
      </c>
      <c r="AA33" t="b" cm="1">
        <f t="array" ref="AA33">IsPurple('Large Dataset'!M33)</f>
        <v>0</v>
      </c>
      <c r="AB33" t="b" cm="1">
        <f t="array" ref="AB33">IsGreen('Large Dataset'!M33)</f>
        <v>0</v>
      </c>
      <c r="AH33" t="b" cm="1">
        <f t="array" ref="AH33">IsRed('Large Dataset'!O33)</f>
        <v>0</v>
      </c>
      <c r="AI33" t="b" cm="1">
        <f t="array" ref="AI33">IsBlue('Large Dataset'!O33)</f>
        <v>0</v>
      </c>
      <c r="AJ33" t="b" cm="1">
        <f t="array" ref="AJ33">IsPurple('Large Dataset'!O33)</f>
        <v>0</v>
      </c>
      <c r="AK33" t="b" cm="1">
        <f t="array" ref="AK33">IsGreen('Large Dataset'!O33)</f>
        <v>0</v>
      </c>
      <c r="AR33" t="b" cm="1">
        <f t="array" ref="AR33">IsRed('Large Dataset'!Q33)</f>
        <v>0</v>
      </c>
      <c r="AS33" t="b" cm="1">
        <f t="array" ref="AS33">IsBlue('Large Dataset'!Q33)</f>
        <v>0</v>
      </c>
      <c r="AT33" t="b" cm="1">
        <f t="array" ref="AT33">IsPurple('Large Dataset'!Q33)</f>
        <v>0</v>
      </c>
      <c r="AU33" t="b" cm="1">
        <f t="array" ref="AU33">IsGreen('Large Dataset'!Q33)</f>
        <v>0</v>
      </c>
      <c r="BA33" t="b" cm="1">
        <f t="array" ref="BA33">IsRed('Large Dataset'!R33)</f>
        <v>0</v>
      </c>
      <c r="BB33" t="b" cm="1">
        <f t="array" ref="BB33">IsBlue('Large Dataset'!R33)</f>
        <v>0</v>
      </c>
      <c r="BC33" t="b" cm="1">
        <f t="array" ref="BC33">IsPurple('Large Dataset'!R33)</f>
        <v>0</v>
      </c>
      <c r="BD33" t="b" cm="1">
        <f t="array" ref="BD33">IsGreen('Large Dataset'!R33)</f>
        <v>0</v>
      </c>
      <c r="BJ33" t="b" cm="1">
        <f t="array" ref="BJ33">IsRed('Large Dataset'!T33)</f>
        <v>0</v>
      </c>
      <c r="BK33" t="b" cm="1">
        <f t="array" ref="BK33">IsBlue('Large Dataset'!T33)</f>
        <v>0</v>
      </c>
      <c r="BL33" t="b" cm="1">
        <f t="array" ref="BL33">IsPurple('Large Dataset'!T33)</f>
        <v>0</v>
      </c>
      <c r="BM33" t="b" cm="1">
        <f t="array" ref="BM33">IsGreen('Large Dataset'!T33)</f>
        <v>0</v>
      </c>
      <c r="BS33" t="b" cm="1">
        <f t="array" ref="BS33">IsRed('Large Dataset'!U33)</f>
        <v>0</v>
      </c>
      <c r="BT33" t="b" cm="1">
        <f t="array" ref="BT33">IsBlue('Large Dataset'!U33)</f>
        <v>0</v>
      </c>
      <c r="BU33" t="b" cm="1">
        <f t="array" ref="BU33">IsPurple('Large Dataset'!U33)</f>
        <v>0</v>
      </c>
      <c r="BV33" t="b" cm="1">
        <f t="array" ref="BV33">IsGreen('Large Dataset'!U33)</f>
        <v>0</v>
      </c>
    </row>
    <row r="34" spans="7:74">
      <c r="G34" t="b" cm="1">
        <f t="array" ref="G34">IsRed('Large Dataset'!I34)</f>
        <v>0</v>
      </c>
      <c r="H34" t="b" cm="1">
        <f t="array" ref="H34">IsBlue('Large Dataset'!I34)</f>
        <v>0</v>
      </c>
      <c r="I34" t="b" cm="1">
        <f t="array" ref="I34">IsPurple('Large Dataset'!I34)</f>
        <v>0</v>
      </c>
      <c r="J34" t="b" cm="1">
        <f t="array" ref="J34">IsGreen('Large Dataset'!G34)</f>
        <v>1</v>
      </c>
      <c r="P34" t="b" cm="1">
        <f t="array" ref="P34">IsRed('Large Dataset'!K34)</f>
        <v>0</v>
      </c>
      <c r="Q34" t="b" cm="1">
        <f t="array" ref="Q34">IsBlue('Large Dataset'!K34)</f>
        <v>0</v>
      </c>
      <c r="R34" t="b" cm="1">
        <f t="array" ref="R34">IsPurple('Large Dataset'!K34)</f>
        <v>0</v>
      </c>
      <c r="S34" t="b" cm="1">
        <f t="array" ref="S34">IsGreen('Large Dataset'!K34)</f>
        <v>0</v>
      </c>
      <c r="Y34" t="b" cm="1">
        <f t="array" ref="Y34">IsRed('Large Dataset'!M34)</f>
        <v>0</v>
      </c>
      <c r="Z34" t="b" cm="1">
        <f t="array" ref="Z34">IsBlue('Large Dataset'!M34)</f>
        <v>0</v>
      </c>
      <c r="AA34" t="b" cm="1">
        <f t="array" ref="AA34">IsPurple('Large Dataset'!M34)</f>
        <v>0</v>
      </c>
      <c r="AB34" t="b" cm="1">
        <f t="array" ref="AB34">IsGreen('Large Dataset'!M34)</f>
        <v>0</v>
      </c>
      <c r="AH34" t="b" cm="1">
        <f t="array" ref="AH34">IsRed('Large Dataset'!O34)</f>
        <v>0</v>
      </c>
      <c r="AI34" t="b" cm="1">
        <f t="array" ref="AI34">IsBlue('Large Dataset'!O34)</f>
        <v>0</v>
      </c>
      <c r="AJ34" t="b" cm="1">
        <f t="array" ref="AJ34">IsPurple('Large Dataset'!O34)</f>
        <v>0</v>
      </c>
      <c r="AK34" t="b" cm="1">
        <f t="array" ref="AK34">IsGreen('Large Dataset'!O34)</f>
        <v>0</v>
      </c>
      <c r="AR34" t="b" cm="1">
        <f t="array" ref="AR34">IsRed('Large Dataset'!Q34)</f>
        <v>0</v>
      </c>
      <c r="AS34" t="b" cm="1">
        <f t="array" ref="AS34">IsBlue('Large Dataset'!Q34)</f>
        <v>0</v>
      </c>
      <c r="AT34" t="b" cm="1">
        <f t="array" ref="AT34">IsPurple('Large Dataset'!Q34)</f>
        <v>0</v>
      </c>
      <c r="AU34" t="b" cm="1">
        <f t="array" ref="AU34">IsGreen('Large Dataset'!Q34)</f>
        <v>0</v>
      </c>
      <c r="BA34" t="b" cm="1">
        <f t="array" ref="BA34">IsRed('Large Dataset'!R34)</f>
        <v>0</v>
      </c>
      <c r="BB34" t="b" cm="1">
        <f t="array" ref="BB34">IsBlue('Large Dataset'!R34)</f>
        <v>0</v>
      </c>
      <c r="BC34" t="b" cm="1">
        <f t="array" ref="BC34">IsPurple('Large Dataset'!R34)</f>
        <v>0</v>
      </c>
      <c r="BD34" t="b" cm="1">
        <f t="array" ref="BD34">IsGreen('Large Dataset'!R34)</f>
        <v>0</v>
      </c>
      <c r="BJ34" t="b" cm="1">
        <f t="array" ref="BJ34">IsRed('Large Dataset'!T34)</f>
        <v>0</v>
      </c>
      <c r="BK34" t="b" cm="1">
        <f t="array" ref="BK34">IsBlue('Large Dataset'!T34)</f>
        <v>0</v>
      </c>
      <c r="BL34" t="b" cm="1">
        <f t="array" ref="BL34">IsPurple('Large Dataset'!T34)</f>
        <v>0</v>
      </c>
      <c r="BM34" t="b" cm="1">
        <f t="array" ref="BM34">IsGreen('Large Dataset'!T34)</f>
        <v>0</v>
      </c>
      <c r="BS34" t="b" cm="1">
        <f t="array" ref="BS34">IsRed('Large Dataset'!U34)</f>
        <v>0</v>
      </c>
      <c r="BT34" t="b" cm="1">
        <f t="array" ref="BT34">IsBlue('Large Dataset'!U34)</f>
        <v>0</v>
      </c>
      <c r="BU34" t="b" cm="1">
        <f t="array" ref="BU34">IsPurple('Large Dataset'!U34)</f>
        <v>0</v>
      </c>
      <c r="BV34" t="b" cm="1">
        <f t="array" ref="BV34">IsGreen('Large Dataset'!U34)</f>
        <v>0</v>
      </c>
    </row>
    <row r="35" spans="7:74">
      <c r="G35" t="b" cm="1">
        <f t="array" ref="G35">IsRed('Large Dataset'!I35)</f>
        <v>0</v>
      </c>
      <c r="H35" t="b" cm="1">
        <f t="array" ref="H35">IsBlue('Large Dataset'!I35)</f>
        <v>0</v>
      </c>
      <c r="I35" t="b" cm="1">
        <f t="array" ref="I35">IsPurple('Large Dataset'!I35)</f>
        <v>0</v>
      </c>
      <c r="J35" t="b" cm="1">
        <f t="array" ref="J35">IsGreen('Large Dataset'!G35)</f>
        <v>1</v>
      </c>
      <c r="P35" t="b" cm="1">
        <f t="array" ref="P35">IsRed('Large Dataset'!K35)</f>
        <v>0</v>
      </c>
      <c r="Q35" t="b" cm="1">
        <f t="array" ref="Q35">IsBlue('Large Dataset'!K35)</f>
        <v>0</v>
      </c>
      <c r="R35" t="b" cm="1">
        <f t="array" ref="R35">IsPurple('Large Dataset'!K35)</f>
        <v>0</v>
      </c>
      <c r="S35" t="b" cm="1">
        <f t="array" ref="S35">IsGreen('Large Dataset'!K35)</f>
        <v>0</v>
      </c>
      <c r="Y35" t="b" cm="1">
        <f t="array" ref="Y35">IsRed('Large Dataset'!M35)</f>
        <v>0</v>
      </c>
      <c r="Z35" t="b" cm="1">
        <f t="array" ref="Z35">IsBlue('Large Dataset'!M35)</f>
        <v>0</v>
      </c>
      <c r="AA35" t="b" cm="1">
        <f t="array" ref="AA35">IsPurple('Large Dataset'!M35)</f>
        <v>0</v>
      </c>
      <c r="AB35" t="b" cm="1">
        <f t="array" ref="AB35">IsGreen('Large Dataset'!M35)</f>
        <v>0</v>
      </c>
      <c r="AH35" t="b" cm="1">
        <f t="array" ref="AH35">IsRed('Large Dataset'!O35)</f>
        <v>0</v>
      </c>
      <c r="AI35" t="b" cm="1">
        <f t="array" ref="AI35">IsBlue('Large Dataset'!O35)</f>
        <v>0</v>
      </c>
      <c r="AJ35" t="b" cm="1">
        <f t="array" ref="AJ35">IsPurple('Large Dataset'!O35)</f>
        <v>0</v>
      </c>
      <c r="AK35" t="b" cm="1">
        <f t="array" ref="AK35">IsGreen('Large Dataset'!O35)</f>
        <v>0</v>
      </c>
      <c r="AR35" t="b" cm="1">
        <f t="array" ref="AR35">IsRed('Large Dataset'!Q35)</f>
        <v>0</v>
      </c>
      <c r="AS35" t="b" cm="1">
        <f t="array" ref="AS35">IsBlue('Large Dataset'!Q35)</f>
        <v>0</v>
      </c>
      <c r="AT35" t="b" cm="1">
        <f t="array" ref="AT35">IsPurple('Large Dataset'!Q35)</f>
        <v>0</v>
      </c>
      <c r="AU35" t="b" cm="1">
        <f t="array" ref="AU35">IsGreen('Large Dataset'!Q35)</f>
        <v>0</v>
      </c>
      <c r="BA35" t="b" cm="1">
        <f t="array" ref="BA35">IsRed('Large Dataset'!R35)</f>
        <v>0</v>
      </c>
      <c r="BB35" t="b" cm="1">
        <f t="array" ref="BB35">IsBlue('Large Dataset'!R35)</f>
        <v>0</v>
      </c>
      <c r="BC35" t="b" cm="1">
        <f t="array" ref="BC35">IsPurple('Large Dataset'!R35)</f>
        <v>0</v>
      </c>
      <c r="BD35" t="b" cm="1">
        <f t="array" ref="BD35">IsGreen('Large Dataset'!R35)</f>
        <v>0</v>
      </c>
      <c r="BJ35" t="b" cm="1">
        <f t="array" ref="BJ35">IsRed('Large Dataset'!T35)</f>
        <v>0</v>
      </c>
      <c r="BK35" t="b" cm="1">
        <f t="array" ref="BK35">IsBlue('Large Dataset'!T35)</f>
        <v>0</v>
      </c>
      <c r="BL35" t="b" cm="1">
        <f t="array" ref="BL35">IsPurple('Large Dataset'!T35)</f>
        <v>0</v>
      </c>
      <c r="BM35" t="b" cm="1">
        <f t="array" ref="BM35">IsGreen('Large Dataset'!T35)</f>
        <v>0</v>
      </c>
      <c r="BS35" t="b" cm="1">
        <f t="array" ref="BS35">IsRed('Large Dataset'!U35)</f>
        <v>0</v>
      </c>
      <c r="BT35" t="b" cm="1">
        <f t="array" ref="BT35">IsBlue('Large Dataset'!U35)</f>
        <v>0</v>
      </c>
      <c r="BU35" t="b" cm="1">
        <f t="array" ref="BU35">IsPurple('Large Dataset'!U35)</f>
        <v>0</v>
      </c>
      <c r="BV35" t="b" cm="1">
        <f t="array" ref="BV35">IsGreen('Large Dataset'!U35)</f>
        <v>0</v>
      </c>
    </row>
    <row r="36" spans="7:74">
      <c r="G36" t="b" cm="1">
        <f t="array" ref="G36">IsRed('Large Dataset'!I36)</f>
        <v>0</v>
      </c>
      <c r="H36" t="b" cm="1">
        <f t="array" ref="H36">IsBlue('Large Dataset'!I36)</f>
        <v>0</v>
      </c>
      <c r="I36" t="b" cm="1">
        <f t="array" ref="I36">IsPurple('Large Dataset'!I36)</f>
        <v>0</v>
      </c>
      <c r="J36" t="b" cm="1">
        <f t="array" ref="J36">IsGreen('Large Dataset'!G36)</f>
        <v>1</v>
      </c>
      <c r="P36" t="b" cm="1">
        <f t="array" ref="P36">IsRed('Large Dataset'!K36)</f>
        <v>0</v>
      </c>
      <c r="Q36" t="b" cm="1">
        <f t="array" ref="Q36">IsBlue('Large Dataset'!K36)</f>
        <v>0</v>
      </c>
      <c r="R36" t="b" cm="1">
        <f t="array" ref="R36">IsPurple('Large Dataset'!K36)</f>
        <v>0</v>
      </c>
      <c r="S36" t="b" cm="1">
        <f t="array" ref="S36">IsGreen('Large Dataset'!K36)</f>
        <v>0</v>
      </c>
      <c r="Y36" t="b" cm="1">
        <f t="array" ref="Y36">IsRed('Large Dataset'!M36)</f>
        <v>0</v>
      </c>
      <c r="Z36" t="b" cm="1">
        <f t="array" ref="Z36">IsBlue('Large Dataset'!M36)</f>
        <v>0</v>
      </c>
      <c r="AA36" t="b" cm="1">
        <f t="array" ref="AA36">IsPurple('Large Dataset'!M36)</f>
        <v>0</v>
      </c>
      <c r="AB36" t="b" cm="1">
        <f t="array" ref="AB36">IsGreen('Large Dataset'!M36)</f>
        <v>0</v>
      </c>
      <c r="AH36" t="b" cm="1">
        <f t="array" ref="AH36">IsRed('Large Dataset'!O36)</f>
        <v>0</v>
      </c>
      <c r="AI36" t="b" cm="1">
        <f t="array" ref="AI36">IsBlue('Large Dataset'!O36)</f>
        <v>0</v>
      </c>
      <c r="AJ36" t="b" cm="1">
        <f t="array" ref="AJ36">IsPurple('Large Dataset'!O36)</f>
        <v>0</v>
      </c>
      <c r="AK36" t="b" cm="1">
        <f t="array" ref="AK36">IsGreen('Large Dataset'!O36)</f>
        <v>0</v>
      </c>
      <c r="AR36" t="b" cm="1">
        <f t="array" ref="AR36">IsRed('Large Dataset'!Q36)</f>
        <v>0</v>
      </c>
      <c r="AS36" t="b" cm="1">
        <f t="array" ref="AS36">IsBlue('Large Dataset'!Q36)</f>
        <v>0</v>
      </c>
      <c r="AT36" t="b" cm="1">
        <f t="array" ref="AT36">IsPurple('Large Dataset'!Q36)</f>
        <v>0</v>
      </c>
      <c r="AU36" t="b" cm="1">
        <f t="array" ref="AU36">IsGreen('Large Dataset'!Q36)</f>
        <v>0</v>
      </c>
      <c r="BA36" t="b" cm="1">
        <f t="array" ref="BA36">IsRed('Large Dataset'!R36)</f>
        <v>0</v>
      </c>
      <c r="BB36" t="b" cm="1">
        <f t="array" ref="BB36">IsBlue('Large Dataset'!R36)</f>
        <v>0</v>
      </c>
      <c r="BC36" t="b" cm="1">
        <f t="array" ref="BC36">IsPurple('Large Dataset'!R36)</f>
        <v>0</v>
      </c>
      <c r="BD36" t="b" cm="1">
        <f t="array" ref="BD36">IsGreen('Large Dataset'!R36)</f>
        <v>0</v>
      </c>
      <c r="BJ36" t="b" cm="1">
        <f t="array" ref="BJ36">IsRed('Large Dataset'!T36)</f>
        <v>0</v>
      </c>
      <c r="BK36" t="b" cm="1">
        <f t="array" ref="BK36">IsBlue('Large Dataset'!T36)</f>
        <v>0</v>
      </c>
      <c r="BL36" t="b" cm="1">
        <f t="array" ref="BL36">IsPurple('Large Dataset'!T36)</f>
        <v>0</v>
      </c>
      <c r="BM36" t="b" cm="1">
        <f t="array" ref="BM36">IsGreen('Large Dataset'!T36)</f>
        <v>0</v>
      </c>
      <c r="BS36" t="b" cm="1">
        <f t="array" ref="BS36">IsRed('Large Dataset'!U36)</f>
        <v>0</v>
      </c>
      <c r="BT36" t="b" cm="1">
        <f t="array" ref="BT36">IsBlue('Large Dataset'!U36)</f>
        <v>0</v>
      </c>
      <c r="BU36" t="b" cm="1">
        <f t="array" ref="BU36">IsPurple('Large Dataset'!U36)</f>
        <v>0</v>
      </c>
      <c r="BV36" t="b" cm="1">
        <f t="array" ref="BV36">IsGreen('Large Dataset'!U36)</f>
        <v>0</v>
      </c>
    </row>
    <row r="37" spans="7:74">
      <c r="G37" t="b" cm="1">
        <f t="array" ref="G37">IsRed('Large Dataset'!I37)</f>
        <v>0</v>
      </c>
      <c r="H37" t="b" cm="1">
        <f t="array" ref="H37">IsBlue('Large Dataset'!I37)</f>
        <v>0</v>
      </c>
      <c r="I37" t="b" cm="1">
        <f t="array" ref="I37">IsPurple('Large Dataset'!I37)</f>
        <v>0</v>
      </c>
      <c r="J37" t="b" cm="1">
        <f t="array" ref="J37">IsGreen('Large Dataset'!G37)</f>
        <v>1</v>
      </c>
      <c r="P37" t="b" cm="1">
        <f t="array" ref="P37">IsRed('Large Dataset'!K37)</f>
        <v>0</v>
      </c>
      <c r="Q37" t="b" cm="1">
        <f t="array" ref="Q37">IsBlue('Large Dataset'!K37)</f>
        <v>0</v>
      </c>
      <c r="R37" t="b" cm="1">
        <f t="array" ref="R37">IsPurple('Large Dataset'!K37)</f>
        <v>0</v>
      </c>
      <c r="S37" t="b" cm="1">
        <f t="array" ref="S37">IsGreen('Large Dataset'!K37)</f>
        <v>0</v>
      </c>
      <c r="Y37" t="b" cm="1">
        <f t="array" ref="Y37">IsRed('Large Dataset'!M37)</f>
        <v>0</v>
      </c>
      <c r="Z37" t="b" cm="1">
        <f t="array" ref="Z37">IsBlue('Large Dataset'!M37)</f>
        <v>0</v>
      </c>
      <c r="AA37" t="b" cm="1">
        <f t="array" ref="AA37">IsPurple('Large Dataset'!M37)</f>
        <v>0</v>
      </c>
      <c r="AB37" t="b" cm="1">
        <f t="array" ref="AB37">IsGreen('Large Dataset'!M37)</f>
        <v>0</v>
      </c>
      <c r="AH37" t="b" cm="1">
        <f t="array" ref="AH37">IsRed('Large Dataset'!O37)</f>
        <v>0</v>
      </c>
      <c r="AI37" t="b" cm="1">
        <f t="array" ref="AI37">IsBlue('Large Dataset'!O37)</f>
        <v>0</v>
      </c>
      <c r="AJ37" t="b" cm="1">
        <f t="array" ref="AJ37">IsPurple('Large Dataset'!O37)</f>
        <v>0</v>
      </c>
      <c r="AK37" t="b" cm="1">
        <f t="array" ref="AK37">IsGreen('Large Dataset'!O37)</f>
        <v>0</v>
      </c>
      <c r="AR37" t="b" cm="1">
        <f t="array" ref="AR37">IsRed('Large Dataset'!Q37)</f>
        <v>0</v>
      </c>
      <c r="AS37" t="b" cm="1">
        <f t="array" ref="AS37">IsBlue('Large Dataset'!Q37)</f>
        <v>0</v>
      </c>
      <c r="AT37" t="b" cm="1">
        <f t="array" ref="AT37">IsPurple('Large Dataset'!Q37)</f>
        <v>0</v>
      </c>
      <c r="AU37" t="b" cm="1">
        <f t="array" ref="AU37">IsGreen('Large Dataset'!Q37)</f>
        <v>0</v>
      </c>
      <c r="BA37" t="b" cm="1">
        <f t="array" ref="BA37">IsRed('Large Dataset'!R37)</f>
        <v>0</v>
      </c>
      <c r="BB37" t="b" cm="1">
        <f t="array" ref="BB37">IsBlue('Large Dataset'!R37)</f>
        <v>0</v>
      </c>
      <c r="BC37" t="b" cm="1">
        <f t="array" ref="BC37">IsPurple('Large Dataset'!R37)</f>
        <v>0</v>
      </c>
      <c r="BD37" t="b" cm="1">
        <f t="array" ref="BD37">IsGreen('Large Dataset'!R37)</f>
        <v>0</v>
      </c>
      <c r="BJ37" t="b" cm="1">
        <f t="array" ref="BJ37">IsRed('Large Dataset'!T37)</f>
        <v>0</v>
      </c>
      <c r="BK37" t="b" cm="1">
        <f t="array" ref="BK37">IsBlue('Large Dataset'!T37)</f>
        <v>0</v>
      </c>
      <c r="BL37" t="b" cm="1">
        <f t="array" ref="BL37">IsPurple('Large Dataset'!T37)</f>
        <v>0</v>
      </c>
      <c r="BM37" t="b" cm="1">
        <f t="array" ref="BM37">IsGreen('Large Dataset'!T37)</f>
        <v>0</v>
      </c>
      <c r="BS37" t="b" cm="1">
        <f t="array" ref="BS37">IsRed('Large Dataset'!U37)</f>
        <v>0</v>
      </c>
      <c r="BT37" t="b" cm="1">
        <f t="array" ref="BT37">IsBlue('Large Dataset'!U37)</f>
        <v>0</v>
      </c>
      <c r="BU37" t="b" cm="1">
        <f t="array" ref="BU37">IsPurple('Large Dataset'!U37)</f>
        <v>0</v>
      </c>
      <c r="BV37" t="b" cm="1">
        <f t="array" ref="BV37">IsGreen('Large Dataset'!U37)</f>
        <v>0</v>
      </c>
    </row>
    <row r="38" spans="7:74">
      <c r="G38" t="b" cm="1">
        <f t="array" ref="G38">IsRed('Large Dataset'!I38)</f>
        <v>0</v>
      </c>
      <c r="H38" t="b" cm="1">
        <f t="array" ref="H38">IsBlue('Large Dataset'!I38)</f>
        <v>0</v>
      </c>
      <c r="I38" t="b" cm="1">
        <f t="array" ref="I38">IsPurple('Large Dataset'!I38)</f>
        <v>0</v>
      </c>
      <c r="J38" t="b" cm="1">
        <f t="array" ref="J38">IsGreen('Large Dataset'!G38)</f>
        <v>1</v>
      </c>
      <c r="P38" t="b" cm="1">
        <f t="array" ref="P38">IsRed('Large Dataset'!K38)</f>
        <v>0</v>
      </c>
      <c r="Q38" t="b" cm="1">
        <f t="array" ref="Q38">IsBlue('Large Dataset'!K38)</f>
        <v>0</v>
      </c>
      <c r="R38" t="b" cm="1">
        <f t="array" ref="R38">IsPurple('Large Dataset'!K38)</f>
        <v>0</v>
      </c>
      <c r="S38" t="b" cm="1">
        <f t="array" ref="S38">IsGreen('Large Dataset'!K38)</f>
        <v>0</v>
      </c>
      <c r="Y38" t="b" cm="1">
        <f t="array" ref="Y38">IsRed('Large Dataset'!M38)</f>
        <v>0</v>
      </c>
      <c r="Z38" t="b" cm="1">
        <f t="array" ref="Z38">IsBlue('Large Dataset'!M38)</f>
        <v>0</v>
      </c>
      <c r="AA38" t="b" cm="1">
        <f t="array" ref="AA38">IsPurple('Large Dataset'!M38)</f>
        <v>0</v>
      </c>
      <c r="AB38" t="b" cm="1">
        <f t="array" ref="AB38">IsGreen('Large Dataset'!M38)</f>
        <v>0</v>
      </c>
      <c r="AH38" t="b" cm="1">
        <f t="array" ref="AH38">IsRed('Large Dataset'!O38)</f>
        <v>0</v>
      </c>
      <c r="AI38" t="b" cm="1">
        <f t="array" ref="AI38">IsBlue('Large Dataset'!O38)</f>
        <v>0</v>
      </c>
      <c r="AJ38" t="b" cm="1">
        <f t="array" ref="AJ38">IsPurple('Large Dataset'!O38)</f>
        <v>0</v>
      </c>
      <c r="AK38" t="b" cm="1">
        <f t="array" ref="AK38">IsGreen('Large Dataset'!O38)</f>
        <v>0</v>
      </c>
      <c r="AR38" t="b" cm="1">
        <f t="array" ref="AR38">IsRed('Large Dataset'!Q38)</f>
        <v>0</v>
      </c>
      <c r="AS38" t="b" cm="1">
        <f t="array" ref="AS38">IsBlue('Large Dataset'!Q38)</f>
        <v>0</v>
      </c>
      <c r="AT38" t="b" cm="1">
        <f t="array" ref="AT38">IsPurple('Large Dataset'!Q38)</f>
        <v>0</v>
      </c>
      <c r="AU38" t="b" cm="1">
        <f t="array" ref="AU38">IsGreen('Large Dataset'!Q38)</f>
        <v>0</v>
      </c>
      <c r="BA38" t="b" cm="1">
        <f t="array" ref="BA38">IsRed('Large Dataset'!R38)</f>
        <v>0</v>
      </c>
      <c r="BB38" t="b" cm="1">
        <f t="array" ref="BB38">IsBlue('Large Dataset'!R38)</f>
        <v>0</v>
      </c>
      <c r="BC38" t="b" cm="1">
        <f t="array" ref="BC38">IsPurple('Large Dataset'!R38)</f>
        <v>0</v>
      </c>
      <c r="BD38" t="b" cm="1">
        <f t="array" ref="BD38">IsGreen('Large Dataset'!R38)</f>
        <v>0</v>
      </c>
      <c r="BJ38" t="b" cm="1">
        <f t="array" ref="BJ38">IsRed('Large Dataset'!T38)</f>
        <v>0</v>
      </c>
      <c r="BK38" t="b" cm="1">
        <f t="array" ref="BK38">IsBlue('Large Dataset'!T38)</f>
        <v>0</v>
      </c>
      <c r="BL38" t="b" cm="1">
        <f t="array" ref="BL38">IsPurple('Large Dataset'!T38)</f>
        <v>0</v>
      </c>
      <c r="BM38" t="b" cm="1">
        <f t="array" ref="BM38">IsGreen('Large Dataset'!T38)</f>
        <v>0</v>
      </c>
      <c r="BS38" t="b" cm="1">
        <f t="array" ref="BS38">IsRed('Large Dataset'!U38)</f>
        <v>0</v>
      </c>
      <c r="BT38" t="b" cm="1">
        <f t="array" ref="BT38">IsBlue('Large Dataset'!U38)</f>
        <v>0</v>
      </c>
      <c r="BU38" t="b" cm="1">
        <f t="array" ref="BU38">IsPurple('Large Dataset'!U38)</f>
        <v>0</v>
      </c>
      <c r="BV38" t="b" cm="1">
        <f t="array" ref="BV38">IsGreen('Large Dataset'!U38)</f>
        <v>0</v>
      </c>
    </row>
    <row r="39" spans="7:74">
      <c r="G39" t="b" cm="1">
        <f t="array" ref="G39">IsRed('Large Dataset'!I39)</f>
        <v>0</v>
      </c>
      <c r="H39" t="b" cm="1">
        <f t="array" ref="H39">IsBlue('Large Dataset'!I39)</f>
        <v>0</v>
      </c>
      <c r="I39" t="b" cm="1">
        <f t="array" ref="I39">IsPurple('Large Dataset'!I39)</f>
        <v>0</v>
      </c>
      <c r="J39" t="b" cm="1">
        <f t="array" ref="J39">IsGreen('Large Dataset'!G39)</f>
        <v>0</v>
      </c>
      <c r="P39" t="b" cm="1">
        <f t="array" ref="P39">IsRed('Large Dataset'!K39)</f>
        <v>0</v>
      </c>
      <c r="Q39" t="b" cm="1">
        <f t="array" ref="Q39">IsBlue('Large Dataset'!K39)</f>
        <v>0</v>
      </c>
      <c r="R39" t="b" cm="1">
        <f t="array" ref="R39">IsPurple('Large Dataset'!K39)</f>
        <v>0</v>
      </c>
      <c r="S39" t="b" cm="1">
        <f t="array" ref="S39">IsGreen('Large Dataset'!K39)</f>
        <v>0</v>
      </c>
      <c r="Y39" t="b" cm="1">
        <f t="array" ref="Y39">IsRed('Large Dataset'!M39)</f>
        <v>0</v>
      </c>
      <c r="Z39" t="b" cm="1">
        <f t="array" ref="Z39">IsBlue('Large Dataset'!M39)</f>
        <v>0</v>
      </c>
      <c r="AA39" t="b" cm="1">
        <f t="array" ref="AA39">IsPurple('Large Dataset'!M39)</f>
        <v>0</v>
      </c>
      <c r="AB39" t="b" cm="1">
        <f t="array" ref="AB39">IsGreen('Large Dataset'!M39)</f>
        <v>0</v>
      </c>
      <c r="AH39" t="b" cm="1">
        <f t="array" ref="AH39">IsRed('Large Dataset'!O39)</f>
        <v>0</v>
      </c>
      <c r="AI39" t="b" cm="1">
        <f t="array" ref="AI39">IsBlue('Large Dataset'!O39)</f>
        <v>0</v>
      </c>
      <c r="AJ39" t="b" cm="1">
        <f t="array" ref="AJ39">IsPurple('Large Dataset'!O39)</f>
        <v>0</v>
      </c>
      <c r="AK39" t="b" cm="1">
        <f t="array" ref="AK39">IsGreen('Large Dataset'!O39)</f>
        <v>0</v>
      </c>
      <c r="AR39" t="b" cm="1">
        <f t="array" ref="AR39">IsRed('Large Dataset'!Q39)</f>
        <v>0</v>
      </c>
      <c r="AS39" t="b" cm="1">
        <f t="array" ref="AS39">IsBlue('Large Dataset'!Q39)</f>
        <v>0</v>
      </c>
      <c r="AT39" t="b" cm="1">
        <f t="array" ref="AT39">IsPurple('Large Dataset'!Q39)</f>
        <v>0</v>
      </c>
      <c r="AU39" t="b" cm="1">
        <f t="array" ref="AU39">IsGreen('Large Dataset'!Q39)</f>
        <v>0</v>
      </c>
      <c r="BA39" t="b" cm="1">
        <f t="array" ref="BA39">IsRed('Large Dataset'!R39)</f>
        <v>0</v>
      </c>
      <c r="BB39" t="b" cm="1">
        <f t="array" ref="BB39">IsBlue('Large Dataset'!R39)</f>
        <v>0</v>
      </c>
      <c r="BC39" t="b" cm="1">
        <f t="array" ref="BC39">IsPurple('Large Dataset'!R39)</f>
        <v>0</v>
      </c>
      <c r="BD39" t="b" cm="1">
        <f t="array" ref="BD39">IsGreen('Large Dataset'!R39)</f>
        <v>0</v>
      </c>
      <c r="BJ39" t="b" cm="1">
        <f t="array" ref="BJ39">IsRed('Large Dataset'!T39)</f>
        <v>0</v>
      </c>
      <c r="BK39" t="b" cm="1">
        <f t="array" ref="BK39">IsBlue('Large Dataset'!T39)</f>
        <v>0</v>
      </c>
      <c r="BL39" t="b" cm="1">
        <f t="array" ref="BL39">IsPurple('Large Dataset'!T39)</f>
        <v>0</v>
      </c>
      <c r="BM39" t="b" cm="1">
        <f t="array" ref="BM39">IsGreen('Large Dataset'!T39)</f>
        <v>0</v>
      </c>
      <c r="BS39" t="b" cm="1">
        <f t="array" ref="BS39">IsRed('Large Dataset'!U39)</f>
        <v>0</v>
      </c>
      <c r="BT39" t="b" cm="1">
        <f t="array" ref="BT39">IsBlue('Large Dataset'!U39)</f>
        <v>0</v>
      </c>
      <c r="BU39" t="b" cm="1">
        <f t="array" ref="BU39">IsPurple('Large Dataset'!U39)</f>
        <v>0</v>
      </c>
      <c r="BV39" t="b" cm="1">
        <f t="array" ref="BV39">IsGreen('Large Dataset'!U39)</f>
        <v>0</v>
      </c>
    </row>
    <row r="40" spans="7:74">
      <c r="G40" t="b" cm="1">
        <f t="array" ref="G40">IsRed('Large Dataset'!I40)</f>
        <v>0</v>
      </c>
      <c r="H40" t="b" cm="1">
        <f t="array" ref="H40">IsBlue('Large Dataset'!I40)</f>
        <v>0</v>
      </c>
      <c r="I40" t="b" cm="1">
        <f t="array" ref="I40">IsPurple('Large Dataset'!I40)</f>
        <v>0</v>
      </c>
      <c r="J40" t="b" cm="1">
        <f t="array" ref="J40">IsGreen('Large Dataset'!G40)</f>
        <v>0</v>
      </c>
      <c r="P40" t="b" cm="1">
        <f t="array" ref="P40">IsRed('Large Dataset'!K40)</f>
        <v>0</v>
      </c>
      <c r="Q40" t="b" cm="1">
        <f t="array" ref="Q40">IsBlue('Large Dataset'!K40)</f>
        <v>0</v>
      </c>
      <c r="R40" t="b" cm="1">
        <f t="array" ref="R40">IsPurple('Large Dataset'!K40)</f>
        <v>0</v>
      </c>
      <c r="S40" t="b" cm="1">
        <f t="array" ref="S40">IsGreen('Large Dataset'!K40)</f>
        <v>0</v>
      </c>
      <c r="Y40" t="b" cm="1">
        <f t="array" ref="Y40">IsRed('Large Dataset'!M40)</f>
        <v>0</v>
      </c>
      <c r="Z40" t="b" cm="1">
        <f t="array" ref="Z40">IsBlue('Large Dataset'!M40)</f>
        <v>0</v>
      </c>
      <c r="AA40" t="b" cm="1">
        <f t="array" ref="AA40">IsPurple('Large Dataset'!M40)</f>
        <v>0</v>
      </c>
      <c r="AB40" t="b" cm="1">
        <f t="array" ref="AB40">IsGreen('Large Dataset'!M40)</f>
        <v>0</v>
      </c>
      <c r="AH40" t="b" cm="1">
        <f t="array" ref="AH40">IsRed('Large Dataset'!O40)</f>
        <v>0</v>
      </c>
      <c r="AI40" t="b" cm="1">
        <f t="array" ref="AI40">IsBlue('Large Dataset'!O40)</f>
        <v>0</v>
      </c>
      <c r="AJ40" t="b" cm="1">
        <f t="array" ref="AJ40">IsPurple('Large Dataset'!O40)</f>
        <v>0</v>
      </c>
      <c r="AK40" t="b" cm="1">
        <f t="array" ref="AK40">IsGreen('Large Dataset'!O40)</f>
        <v>0</v>
      </c>
      <c r="AR40" t="b" cm="1">
        <f t="array" ref="AR40">IsRed('Large Dataset'!Q40)</f>
        <v>0</v>
      </c>
      <c r="AS40" t="b" cm="1">
        <f t="array" ref="AS40">IsBlue('Large Dataset'!Q40)</f>
        <v>0</v>
      </c>
      <c r="AT40" t="b" cm="1">
        <f t="array" ref="AT40">IsPurple('Large Dataset'!Q40)</f>
        <v>0</v>
      </c>
      <c r="AU40" t="b" cm="1">
        <f t="array" ref="AU40">IsGreen('Large Dataset'!Q40)</f>
        <v>0</v>
      </c>
      <c r="BA40" t="b" cm="1">
        <f t="array" ref="BA40">IsRed('Large Dataset'!R40)</f>
        <v>0</v>
      </c>
      <c r="BB40" t="b" cm="1">
        <f t="array" ref="BB40">IsBlue('Large Dataset'!R40)</f>
        <v>0</v>
      </c>
      <c r="BC40" t="b" cm="1">
        <f t="array" ref="BC40">IsPurple('Large Dataset'!R40)</f>
        <v>0</v>
      </c>
      <c r="BD40" t="b" cm="1">
        <f t="array" ref="BD40">IsGreen('Large Dataset'!R40)</f>
        <v>0</v>
      </c>
      <c r="BJ40" t="b" cm="1">
        <f t="array" ref="BJ40">IsRed('Large Dataset'!T40)</f>
        <v>0</v>
      </c>
      <c r="BK40" t="b" cm="1">
        <f t="array" ref="BK40">IsBlue('Large Dataset'!T40)</f>
        <v>0</v>
      </c>
      <c r="BL40" t="b" cm="1">
        <f t="array" ref="BL40">IsPurple('Large Dataset'!T40)</f>
        <v>0</v>
      </c>
      <c r="BM40" t="b" cm="1">
        <f t="array" ref="BM40">IsGreen('Large Dataset'!T40)</f>
        <v>0</v>
      </c>
      <c r="BS40" t="b" cm="1">
        <f t="array" ref="BS40">IsRed('Large Dataset'!U40)</f>
        <v>0</v>
      </c>
      <c r="BT40" t="b" cm="1">
        <f t="array" ref="BT40">IsBlue('Large Dataset'!U40)</f>
        <v>0</v>
      </c>
      <c r="BU40" t="b" cm="1">
        <f t="array" ref="BU40">IsPurple('Large Dataset'!U40)</f>
        <v>0</v>
      </c>
      <c r="BV40" t="b" cm="1">
        <f t="array" ref="BV40">IsGreen('Large Dataset'!U40)</f>
        <v>0</v>
      </c>
    </row>
    <row r="41" spans="7:74">
      <c r="G41" t="b" cm="1">
        <f t="array" ref="G41">IsRed('Large Dataset'!I41)</f>
        <v>0</v>
      </c>
      <c r="H41" t="b" cm="1">
        <f t="array" ref="H41">IsBlue('Large Dataset'!I41)</f>
        <v>0</v>
      </c>
      <c r="I41" t="b" cm="1">
        <f t="array" ref="I41">IsPurple('Large Dataset'!I41)</f>
        <v>0</v>
      </c>
      <c r="J41" t="b" cm="1">
        <f t="array" ref="J41">IsGreen('Large Dataset'!G41)</f>
        <v>0</v>
      </c>
      <c r="P41" t="b" cm="1">
        <f t="array" ref="P41">IsRed('Large Dataset'!K41)</f>
        <v>0</v>
      </c>
      <c r="Q41" t="b" cm="1">
        <f t="array" ref="Q41">IsBlue('Large Dataset'!K41)</f>
        <v>0</v>
      </c>
      <c r="R41" t="b" cm="1">
        <f t="array" ref="R41">IsPurple('Large Dataset'!K41)</f>
        <v>0</v>
      </c>
      <c r="S41" t="b" cm="1">
        <f t="array" ref="S41">IsGreen('Large Dataset'!K41)</f>
        <v>0</v>
      </c>
      <c r="Y41" t="b" cm="1">
        <f t="array" ref="Y41">IsRed('Large Dataset'!M41)</f>
        <v>0</v>
      </c>
      <c r="Z41" t="b" cm="1">
        <f t="array" ref="Z41">IsBlue('Large Dataset'!M41)</f>
        <v>0</v>
      </c>
      <c r="AA41" t="b" cm="1">
        <f t="array" ref="AA41">IsPurple('Large Dataset'!M41)</f>
        <v>1</v>
      </c>
      <c r="AB41" t="b" cm="1">
        <f t="array" ref="AB41">IsGreen('Large Dataset'!M41)</f>
        <v>0</v>
      </c>
      <c r="AH41" t="b" cm="1">
        <f t="array" ref="AH41">IsRed('Large Dataset'!O41)</f>
        <v>0</v>
      </c>
      <c r="AI41" t="b" cm="1">
        <f t="array" ref="AI41">IsBlue('Large Dataset'!O41)</f>
        <v>0</v>
      </c>
      <c r="AJ41" t="b" cm="1">
        <f t="array" ref="AJ41">IsPurple('Large Dataset'!O41)</f>
        <v>0</v>
      </c>
      <c r="AK41" t="b" cm="1">
        <f t="array" ref="AK41">IsGreen('Large Dataset'!O41)</f>
        <v>0</v>
      </c>
      <c r="AR41" t="b" cm="1">
        <f t="array" ref="AR41">IsRed('Large Dataset'!Q41)</f>
        <v>0</v>
      </c>
      <c r="AS41" t="b" cm="1">
        <f t="array" ref="AS41">IsBlue('Large Dataset'!Q41)</f>
        <v>0</v>
      </c>
      <c r="AT41" t="b" cm="1">
        <f t="array" ref="AT41">IsPurple('Large Dataset'!Q41)</f>
        <v>0</v>
      </c>
      <c r="AU41" t="b" cm="1">
        <f t="array" ref="AU41">IsGreen('Large Dataset'!Q41)</f>
        <v>0</v>
      </c>
      <c r="BA41" t="b" cm="1">
        <f t="array" ref="BA41">IsRed('Large Dataset'!R41)</f>
        <v>0</v>
      </c>
      <c r="BB41" t="b" cm="1">
        <f t="array" ref="BB41">IsBlue('Large Dataset'!R41)</f>
        <v>0</v>
      </c>
      <c r="BC41" t="b" cm="1">
        <f t="array" ref="BC41">IsPurple('Large Dataset'!R41)</f>
        <v>0</v>
      </c>
      <c r="BD41" t="b" cm="1">
        <f t="array" ref="BD41">IsGreen('Large Dataset'!R41)</f>
        <v>0</v>
      </c>
      <c r="BJ41" t="b" cm="1">
        <f t="array" ref="BJ41">IsRed('Large Dataset'!T41)</f>
        <v>0</v>
      </c>
      <c r="BK41" t="b" cm="1">
        <f t="array" ref="BK41">IsBlue('Large Dataset'!T41)</f>
        <v>0</v>
      </c>
      <c r="BL41" t="b" cm="1">
        <f t="array" ref="BL41">IsPurple('Large Dataset'!T41)</f>
        <v>0</v>
      </c>
      <c r="BM41" t="b" cm="1">
        <f t="array" ref="BM41">IsGreen('Large Dataset'!T41)</f>
        <v>0</v>
      </c>
      <c r="BS41" t="b" cm="1">
        <f t="array" ref="BS41">IsRed('Large Dataset'!U41)</f>
        <v>0</v>
      </c>
      <c r="BT41" t="b" cm="1">
        <f t="array" ref="BT41">IsBlue('Large Dataset'!U41)</f>
        <v>0</v>
      </c>
      <c r="BU41" t="b" cm="1">
        <f t="array" ref="BU41">IsPurple('Large Dataset'!U41)</f>
        <v>0</v>
      </c>
      <c r="BV41" t="b" cm="1">
        <f t="array" ref="BV41">IsGreen('Large Dataset'!U41)</f>
        <v>0</v>
      </c>
    </row>
    <row r="42" spans="7:74">
      <c r="G42" t="b" cm="1">
        <f t="array" ref="G42">IsRed('Large Dataset'!I42)</f>
        <v>0</v>
      </c>
      <c r="H42" t="b" cm="1">
        <f t="array" ref="H42">IsBlue('Large Dataset'!I42)</f>
        <v>0</v>
      </c>
      <c r="I42" t="b" cm="1">
        <f t="array" ref="I42">IsPurple('Large Dataset'!I42)</f>
        <v>0</v>
      </c>
      <c r="J42" t="b" cm="1">
        <f t="array" ref="J42">IsGreen('Large Dataset'!G42)</f>
        <v>0</v>
      </c>
      <c r="P42" t="b" cm="1">
        <f t="array" ref="P42">IsRed('Large Dataset'!K42)</f>
        <v>0</v>
      </c>
      <c r="Q42" t="b" cm="1">
        <f t="array" ref="Q42">IsBlue('Large Dataset'!K42)</f>
        <v>0</v>
      </c>
      <c r="R42" t="b" cm="1">
        <f t="array" ref="R42">IsPurple('Large Dataset'!K42)</f>
        <v>0</v>
      </c>
      <c r="S42" t="b" cm="1">
        <f t="array" ref="S42">IsGreen('Large Dataset'!K42)</f>
        <v>0</v>
      </c>
      <c r="Y42" t="b" cm="1">
        <f t="array" ref="Y42">IsRed('Large Dataset'!M42)</f>
        <v>0</v>
      </c>
      <c r="Z42" t="b" cm="1">
        <f t="array" ref="Z42">IsBlue('Large Dataset'!M42)</f>
        <v>0</v>
      </c>
      <c r="AA42" t="b" cm="1">
        <f t="array" ref="AA42">IsPurple('Large Dataset'!M42)</f>
        <v>1</v>
      </c>
      <c r="AB42" t="b" cm="1">
        <f t="array" ref="AB42">IsGreen('Large Dataset'!M42)</f>
        <v>0</v>
      </c>
      <c r="AH42" t="b" cm="1">
        <f t="array" ref="AH42">IsRed('Large Dataset'!O42)</f>
        <v>0</v>
      </c>
      <c r="AI42" t="b" cm="1">
        <f t="array" ref="AI42">IsBlue('Large Dataset'!O42)</f>
        <v>0</v>
      </c>
      <c r="AJ42" t="b" cm="1">
        <f t="array" ref="AJ42">IsPurple('Large Dataset'!O42)</f>
        <v>0</v>
      </c>
      <c r="AK42" t="b" cm="1">
        <f t="array" ref="AK42">IsGreen('Large Dataset'!O42)</f>
        <v>0</v>
      </c>
      <c r="AR42" t="b" cm="1">
        <f t="array" ref="AR42">IsRed('Large Dataset'!Q42)</f>
        <v>0</v>
      </c>
      <c r="AS42" t="b" cm="1">
        <f t="array" ref="AS42">IsBlue('Large Dataset'!Q42)</f>
        <v>0</v>
      </c>
      <c r="AT42" t="b" cm="1">
        <f t="array" ref="AT42">IsPurple('Large Dataset'!Q42)</f>
        <v>0</v>
      </c>
      <c r="AU42" t="b" cm="1">
        <f t="array" ref="AU42">IsGreen('Large Dataset'!Q42)</f>
        <v>0</v>
      </c>
      <c r="BA42" t="b" cm="1">
        <f t="array" ref="BA42">IsRed('Large Dataset'!R42)</f>
        <v>0</v>
      </c>
      <c r="BB42" t="b" cm="1">
        <f t="array" ref="BB42">IsBlue('Large Dataset'!R42)</f>
        <v>0</v>
      </c>
      <c r="BC42" t="b" cm="1">
        <f t="array" ref="BC42">IsPurple('Large Dataset'!R42)</f>
        <v>0</v>
      </c>
      <c r="BD42" t="b" cm="1">
        <f t="array" ref="BD42">IsGreen('Large Dataset'!R42)</f>
        <v>0</v>
      </c>
      <c r="BJ42" t="b" cm="1">
        <f t="array" ref="BJ42">IsRed('Large Dataset'!T42)</f>
        <v>0</v>
      </c>
      <c r="BK42" t="b" cm="1">
        <f t="array" ref="BK42">IsBlue('Large Dataset'!T42)</f>
        <v>0</v>
      </c>
      <c r="BL42" t="b" cm="1">
        <f t="array" ref="BL42">IsPurple('Large Dataset'!T42)</f>
        <v>0</v>
      </c>
      <c r="BM42" t="b" cm="1">
        <f t="array" ref="BM42">IsGreen('Large Dataset'!T42)</f>
        <v>0</v>
      </c>
      <c r="BS42" t="b" cm="1">
        <f t="array" ref="BS42">IsRed('Large Dataset'!U42)</f>
        <v>0</v>
      </c>
      <c r="BT42" t="b" cm="1">
        <f t="array" ref="BT42">IsBlue('Large Dataset'!U42)</f>
        <v>0</v>
      </c>
      <c r="BU42" t="b" cm="1">
        <f t="array" ref="BU42">IsPurple('Large Dataset'!U42)</f>
        <v>0</v>
      </c>
      <c r="BV42" t="b" cm="1">
        <f t="array" ref="BV42">IsGreen('Large Dataset'!U42)</f>
        <v>0</v>
      </c>
    </row>
    <row r="43" spans="7:74">
      <c r="G43" t="b" cm="1">
        <f t="array" ref="G43">IsRed('Large Dataset'!I43)</f>
        <v>0</v>
      </c>
      <c r="H43" t="b" cm="1">
        <f t="array" ref="H43">IsBlue('Large Dataset'!I43)</f>
        <v>0</v>
      </c>
      <c r="I43" t="b" cm="1">
        <f t="array" ref="I43">IsPurple('Large Dataset'!I43)</f>
        <v>0</v>
      </c>
      <c r="J43" t="b" cm="1">
        <f t="array" ref="J43">IsGreen('Large Dataset'!G43)</f>
        <v>0</v>
      </c>
      <c r="P43" t="b" cm="1">
        <f t="array" ref="P43">IsRed('Large Dataset'!K43)</f>
        <v>1</v>
      </c>
      <c r="Q43" t="b" cm="1">
        <f t="array" ref="Q43">IsBlue('Large Dataset'!K43)</f>
        <v>0</v>
      </c>
      <c r="R43" t="b" cm="1">
        <f t="array" ref="R43">IsPurple('Large Dataset'!K43)</f>
        <v>0</v>
      </c>
      <c r="S43" t="b" cm="1">
        <f t="array" ref="S43">IsGreen('Large Dataset'!K43)</f>
        <v>0</v>
      </c>
      <c r="Y43" t="b" cm="1">
        <f t="array" ref="Y43">IsRed('Large Dataset'!M43)</f>
        <v>0</v>
      </c>
      <c r="Z43" t="b" cm="1">
        <f t="array" ref="Z43">IsBlue('Large Dataset'!M43)</f>
        <v>0</v>
      </c>
      <c r="AA43" t="b" cm="1">
        <f t="array" ref="AA43">IsPurple('Large Dataset'!M43)</f>
        <v>1</v>
      </c>
      <c r="AB43" t="b" cm="1">
        <f t="array" ref="AB43">IsGreen('Large Dataset'!M43)</f>
        <v>0</v>
      </c>
      <c r="AH43" t="b" cm="1">
        <f t="array" ref="AH43">IsRed('Large Dataset'!O43)</f>
        <v>0</v>
      </c>
      <c r="AI43" t="b" cm="1">
        <f t="array" ref="AI43">IsBlue('Large Dataset'!O43)</f>
        <v>0</v>
      </c>
      <c r="AJ43" t="b" cm="1">
        <f t="array" ref="AJ43">IsPurple('Large Dataset'!O43)</f>
        <v>0</v>
      </c>
      <c r="AK43" t="b" cm="1">
        <f t="array" ref="AK43">IsGreen('Large Dataset'!O43)</f>
        <v>0</v>
      </c>
      <c r="AR43" t="b" cm="1">
        <f t="array" ref="AR43">IsRed('Large Dataset'!Q43)</f>
        <v>0</v>
      </c>
      <c r="AS43" t="b" cm="1">
        <f t="array" ref="AS43">IsBlue('Large Dataset'!Q43)</f>
        <v>0</v>
      </c>
      <c r="AT43" t="b" cm="1">
        <f t="array" ref="AT43">IsPurple('Large Dataset'!Q43)</f>
        <v>0</v>
      </c>
      <c r="AU43" t="b" cm="1">
        <f t="array" ref="AU43">IsGreen('Large Dataset'!Q43)</f>
        <v>0</v>
      </c>
      <c r="BA43" t="b" cm="1">
        <f t="array" ref="BA43">IsRed('Large Dataset'!R43)</f>
        <v>0</v>
      </c>
      <c r="BB43" t="b" cm="1">
        <f t="array" ref="BB43">IsBlue('Large Dataset'!R43)</f>
        <v>0</v>
      </c>
      <c r="BC43" t="b" cm="1">
        <f t="array" ref="BC43">IsPurple('Large Dataset'!R43)</f>
        <v>0</v>
      </c>
      <c r="BD43" t="b" cm="1">
        <f t="array" ref="BD43">IsGreen('Large Dataset'!R43)</f>
        <v>0</v>
      </c>
      <c r="BJ43" t="b" cm="1">
        <f t="array" ref="BJ43">IsRed('Large Dataset'!T43)</f>
        <v>0</v>
      </c>
      <c r="BK43" t="b" cm="1">
        <f t="array" ref="BK43">IsBlue('Large Dataset'!T43)</f>
        <v>0</v>
      </c>
      <c r="BL43" t="b" cm="1">
        <f t="array" ref="BL43">IsPurple('Large Dataset'!T43)</f>
        <v>0</v>
      </c>
      <c r="BM43" t="b" cm="1">
        <f t="array" ref="BM43">IsGreen('Large Dataset'!T43)</f>
        <v>0</v>
      </c>
      <c r="BS43" t="b" cm="1">
        <f t="array" ref="BS43">IsRed('Large Dataset'!U43)</f>
        <v>0</v>
      </c>
      <c r="BT43" t="b" cm="1">
        <f t="array" ref="BT43">IsBlue('Large Dataset'!U43)</f>
        <v>0</v>
      </c>
      <c r="BU43" t="b" cm="1">
        <f t="array" ref="BU43">IsPurple('Large Dataset'!U43)</f>
        <v>0</v>
      </c>
      <c r="BV43" t="b" cm="1">
        <f t="array" ref="BV43">IsGreen('Large Dataset'!U43)</f>
        <v>0</v>
      </c>
    </row>
    <row r="44" spans="7:74">
      <c r="G44" t="b" cm="1">
        <f t="array" ref="G44">IsRed('Large Dataset'!I44)</f>
        <v>0</v>
      </c>
      <c r="H44" t="b" cm="1">
        <f t="array" ref="H44">IsBlue('Large Dataset'!I44)</f>
        <v>0</v>
      </c>
      <c r="I44" t="b" cm="1">
        <f t="array" ref="I44">IsPurple('Large Dataset'!I44)</f>
        <v>0</v>
      </c>
      <c r="J44" t="b" cm="1">
        <f t="array" ref="J44">IsGreen('Large Dataset'!G44)</f>
        <v>0</v>
      </c>
      <c r="P44" t="b" cm="1">
        <f t="array" ref="P44">IsRed('Large Dataset'!K44)</f>
        <v>0</v>
      </c>
      <c r="Q44" t="b" cm="1">
        <f t="array" ref="Q44">IsBlue('Large Dataset'!K44)</f>
        <v>0</v>
      </c>
      <c r="R44" t="b" cm="1">
        <f t="array" ref="R44">IsPurple('Large Dataset'!K44)</f>
        <v>0</v>
      </c>
      <c r="S44" t="b" cm="1">
        <f t="array" ref="S44">IsGreen('Large Dataset'!K44)</f>
        <v>0</v>
      </c>
      <c r="Y44" t="b" cm="1">
        <f t="array" ref="Y44">IsRed('Large Dataset'!M44)</f>
        <v>1</v>
      </c>
      <c r="Z44" t="b" cm="1">
        <f t="array" ref="Z44">IsBlue('Large Dataset'!M44)</f>
        <v>0</v>
      </c>
      <c r="AA44" t="b" cm="1">
        <f t="array" ref="AA44">IsPurple('Large Dataset'!M44)</f>
        <v>0</v>
      </c>
      <c r="AB44" t="b" cm="1">
        <f t="array" ref="AB44">IsGreen('Large Dataset'!M44)</f>
        <v>0</v>
      </c>
      <c r="AH44" t="b" cm="1">
        <f t="array" ref="AH44">IsRed('Large Dataset'!O44)</f>
        <v>0</v>
      </c>
      <c r="AI44" t="b" cm="1">
        <f t="array" ref="AI44">IsBlue('Large Dataset'!O44)</f>
        <v>1</v>
      </c>
      <c r="AJ44" t="b" cm="1">
        <f t="array" ref="AJ44">IsPurple('Large Dataset'!O44)</f>
        <v>0</v>
      </c>
      <c r="AK44" t="b" cm="1">
        <f t="array" ref="AK44">IsGreen('Large Dataset'!O44)</f>
        <v>0</v>
      </c>
      <c r="AR44" t="b" cm="1">
        <f t="array" ref="AR44">IsRed('Large Dataset'!Q44)</f>
        <v>0</v>
      </c>
      <c r="AS44" t="b" cm="1">
        <f t="array" ref="AS44">IsBlue('Large Dataset'!Q44)</f>
        <v>0</v>
      </c>
      <c r="AT44" t="b" cm="1">
        <f t="array" ref="AT44">IsPurple('Large Dataset'!Q44)</f>
        <v>0</v>
      </c>
      <c r="AU44" t="b" cm="1">
        <f t="array" ref="AU44">IsGreen('Large Dataset'!Q44)</f>
        <v>0</v>
      </c>
      <c r="BA44" t="b" cm="1">
        <f t="array" ref="BA44">IsRed('Large Dataset'!R44)</f>
        <v>0</v>
      </c>
      <c r="BB44" t="b" cm="1">
        <f t="array" ref="BB44">IsBlue('Large Dataset'!R44)</f>
        <v>0</v>
      </c>
      <c r="BC44" t="b" cm="1">
        <f t="array" ref="BC44">IsPurple('Large Dataset'!R44)</f>
        <v>0</v>
      </c>
      <c r="BD44" t="b" cm="1">
        <f t="array" ref="BD44">IsGreen('Large Dataset'!R44)</f>
        <v>0</v>
      </c>
      <c r="BJ44" t="b" cm="1">
        <f t="array" ref="BJ44">IsRed('Large Dataset'!T44)</f>
        <v>0</v>
      </c>
      <c r="BK44" t="b" cm="1">
        <f t="array" ref="BK44">IsBlue('Large Dataset'!T44)</f>
        <v>0</v>
      </c>
      <c r="BL44" t="b" cm="1">
        <f t="array" ref="BL44">IsPurple('Large Dataset'!T44)</f>
        <v>0</v>
      </c>
      <c r="BM44" t="b" cm="1">
        <f t="array" ref="BM44">IsGreen('Large Dataset'!T44)</f>
        <v>0</v>
      </c>
      <c r="BS44" t="b" cm="1">
        <f t="array" ref="BS44">IsRed('Large Dataset'!U44)</f>
        <v>0</v>
      </c>
      <c r="BT44" t="b" cm="1">
        <f t="array" ref="BT44">IsBlue('Large Dataset'!U44)</f>
        <v>0</v>
      </c>
      <c r="BU44" t="b" cm="1">
        <f t="array" ref="BU44">IsPurple('Large Dataset'!U44)</f>
        <v>0</v>
      </c>
      <c r="BV44" t="b" cm="1">
        <f t="array" ref="BV44">IsGreen('Large Dataset'!U44)</f>
        <v>0</v>
      </c>
    </row>
    <row r="45" spans="7:74">
      <c r="G45" t="b" cm="1">
        <f t="array" ref="G45">IsRed('Large Dataset'!I45)</f>
        <v>0</v>
      </c>
      <c r="H45" t="b" cm="1">
        <f t="array" ref="H45">IsBlue('Large Dataset'!I45)</f>
        <v>0</v>
      </c>
      <c r="I45" t="b" cm="1">
        <f t="array" ref="I45">IsPurple('Large Dataset'!I45)</f>
        <v>0</v>
      </c>
      <c r="J45" t="b" cm="1">
        <f t="array" ref="J45">IsGreen('Large Dataset'!G45)</f>
        <v>0</v>
      </c>
      <c r="P45" t="b" cm="1">
        <f t="array" ref="P45">IsRed('Large Dataset'!K45)</f>
        <v>1</v>
      </c>
      <c r="Q45" t="b" cm="1">
        <f t="array" ref="Q45">IsBlue('Large Dataset'!K45)</f>
        <v>0</v>
      </c>
      <c r="R45" t="b" cm="1">
        <f t="array" ref="R45">IsPurple('Large Dataset'!K45)</f>
        <v>0</v>
      </c>
      <c r="S45" t="b" cm="1">
        <f t="array" ref="S45">IsGreen('Large Dataset'!K45)</f>
        <v>0</v>
      </c>
      <c r="Y45" t="b" cm="1">
        <f t="array" ref="Y45">IsRed('Large Dataset'!M45)</f>
        <v>1</v>
      </c>
      <c r="Z45" t="b" cm="1">
        <f t="array" ref="Z45">IsBlue('Large Dataset'!M45)</f>
        <v>0</v>
      </c>
      <c r="AA45" t="b" cm="1">
        <f t="array" ref="AA45">IsPurple('Large Dataset'!M45)</f>
        <v>0</v>
      </c>
      <c r="AB45" t="b" cm="1">
        <f t="array" ref="AB45">IsGreen('Large Dataset'!M45)</f>
        <v>0</v>
      </c>
      <c r="AH45" t="b" cm="1">
        <f t="array" ref="AH45">IsRed('Large Dataset'!O45)</f>
        <v>0</v>
      </c>
      <c r="AI45" t="b" cm="1">
        <f t="array" ref="AI45">IsBlue('Large Dataset'!O45)</f>
        <v>0</v>
      </c>
      <c r="AJ45" t="b" cm="1">
        <f t="array" ref="AJ45">IsPurple('Large Dataset'!O45)</f>
        <v>0</v>
      </c>
      <c r="AK45" t="b" cm="1">
        <f t="array" ref="AK45">IsGreen('Large Dataset'!O45)</f>
        <v>0</v>
      </c>
      <c r="AR45" t="b" cm="1">
        <f t="array" ref="AR45">IsRed('Large Dataset'!Q45)</f>
        <v>0</v>
      </c>
      <c r="AS45" t="b" cm="1">
        <f t="array" ref="AS45">IsBlue('Large Dataset'!Q45)</f>
        <v>0</v>
      </c>
      <c r="AT45" t="b" cm="1">
        <f t="array" ref="AT45">IsPurple('Large Dataset'!Q45)</f>
        <v>0</v>
      </c>
      <c r="AU45" t="b" cm="1">
        <f t="array" ref="AU45">IsGreen('Large Dataset'!Q45)</f>
        <v>0</v>
      </c>
      <c r="BA45" t="b" cm="1">
        <f t="array" ref="BA45">IsRed('Large Dataset'!R45)</f>
        <v>1</v>
      </c>
      <c r="BB45" t="b" cm="1">
        <f t="array" ref="BB45">IsBlue('Large Dataset'!R45)</f>
        <v>0</v>
      </c>
      <c r="BC45" t="b" cm="1">
        <f t="array" ref="BC45">IsPurple('Large Dataset'!R45)</f>
        <v>0</v>
      </c>
      <c r="BD45" t="b" cm="1">
        <f t="array" ref="BD45">IsGreen('Large Dataset'!R45)</f>
        <v>0</v>
      </c>
      <c r="BJ45" t="b" cm="1">
        <f t="array" ref="BJ45">IsRed('Large Dataset'!T45)</f>
        <v>0</v>
      </c>
      <c r="BK45" t="b" cm="1">
        <f t="array" ref="BK45">IsBlue('Large Dataset'!T45)</f>
        <v>0</v>
      </c>
      <c r="BL45" t="b" cm="1">
        <f t="array" ref="BL45">IsPurple('Large Dataset'!T45)</f>
        <v>0</v>
      </c>
      <c r="BM45" t="b" cm="1">
        <f t="array" ref="BM45">IsGreen('Large Dataset'!T45)</f>
        <v>0</v>
      </c>
      <c r="BS45" t="b" cm="1">
        <f t="array" ref="BS45">IsRed('Large Dataset'!U45)</f>
        <v>0</v>
      </c>
      <c r="BT45" t="b" cm="1">
        <f t="array" ref="BT45">IsBlue('Large Dataset'!U45)</f>
        <v>0</v>
      </c>
      <c r="BU45" t="b" cm="1">
        <f t="array" ref="BU45">IsPurple('Large Dataset'!U45)</f>
        <v>0</v>
      </c>
      <c r="BV45" t="b" cm="1">
        <f t="array" ref="BV45">IsGreen('Large Dataset'!U45)</f>
        <v>0</v>
      </c>
    </row>
    <row r="46" spans="7:74">
      <c r="G46" t="b" cm="1">
        <f t="array" ref="G46">IsRed('Large Dataset'!I46)</f>
        <v>0</v>
      </c>
      <c r="H46" t="b" cm="1">
        <f t="array" ref="H46">IsBlue('Large Dataset'!I46)</f>
        <v>0</v>
      </c>
      <c r="I46" t="b" cm="1">
        <f t="array" ref="I46">IsPurple('Large Dataset'!I46)</f>
        <v>0</v>
      </c>
      <c r="J46" t="b" cm="1">
        <f t="array" ref="J46">IsGreen('Large Dataset'!G46)</f>
        <v>0</v>
      </c>
      <c r="P46" t="b" cm="1">
        <f t="array" ref="P46">IsRed('Large Dataset'!K46)</f>
        <v>0</v>
      </c>
      <c r="Q46" t="b" cm="1">
        <f t="array" ref="Q46">IsBlue('Large Dataset'!K46)</f>
        <v>0</v>
      </c>
      <c r="R46" t="b" cm="1">
        <f t="array" ref="R46">IsPurple('Large Dataset'!K46)</f>
        <v>0</v>
      </c>
      <c r="S46" t="b" cm="1">
        <f t="array" ref="S46">IsGreen('Large Dataset'!K46)</f>
        <v>0</v>
      </c>
      <c r="Y46" t="b" cm="1">
        <f t="array" ref="Y46">IsRed('Large Dataset'!M46)</f>
        <v>1</v>
      </c>
      <c r="Z46" t="b" cm="1">
        <f t="array" ref="Z46">IsBlue('Large Dataset'!M46)</f>
        <v>0</v>
      </c>
      <c r="AA46" t="b" cm="1">
        <f t="array" ref="AA46">IsPurple('Large Dataset'!M46)</f>
        <v>0</v>
      </c>
      <c r="AB46" t="b" cm="1">
        <f t="array" ref="AB46">IsGreen('Large Dataset'!M46)</f>
        <v>0</v>
      </c>
      <c r="AH46" t="b" cm="1">
        <f t="array" ref="AH46">IsRed('Large Dataset'!O46)</f>
        <v>0</v>
      </c>
      <c r="AI46" t="b" cm="1">
        <f t="array" ref="AI46">IsBlue('Large Dataset'!O46)</f>
        <v>0</v>
      </c>
      <c r="AJ46" t="b" cm="1">
        <f t="array" ref="AJ46">IsPurple('Large Dataset'!O46)</f>
        <v>0</v>
      </c>
      <c r="AK46" t="b" cm="1">
        <f t="array" ref="AK46">IsGreen('Large Dataset'!O46)</f>
        <v>0</v>
      </c>
      <c r="AR46" t="b" cm="1">
        <f t="array" ref="AR46">IsRed('Large Dataset'!Q46)</f>
        <v>0</v>
      </c>
      <c r="AS46" t="b" cm="1">
        <f t="array" ref="AS46">IsBlue('Large Dataset'!Q46)</f>
        <v>0</v>
      </c>
      <c r="AT46" t="b" cm="1">
        <f t="array" ref="AT46">IsPurple('Large Dataset'!Q46)</f>
        <v>0</v>
      </c>
      <c r="AU46" t="b" cm="1">
        <f t="array" ref="AU46">IsGreen('Large Dataset'!Q46)</f>
        <v>0</v>
      </c>
      <c r="BA46" t="b" cm="1">
        <f t="array" ref="BA46">IsRed('Large Dataset'!R46)</f>
        <v>1</v>
      </c>
      <c r="BB46" t="b" cm="1">
        <f t="array" ref="BB46">IsBlue('Large Dataset'!R46)</f>
        <v>0</v>
      </c>
      <c r="BC46" t="b" cm="1">
        <f t="array" ref="BC46">IsPurple('Large Dataset'!R46)</f>
        <v>0</v>
      </c>
      <c r="BD46" t="b" cm="1">
        <f t="array" ref="BD46">IsGreen('Large Dataset'!R46)</f>
        <v>0</v>
      </c>
      <c r="BJ46" t="b" cm="1">
        <f t="array" ref="BJ46">IsRed('Large Dataset'!T46)</f>
        <v>0</v>
      </c>
      <c r="BK46" t="b" cm="1">
        <f t="array" ref="BK46">IsBlue('Large Dataset'!T46)</f>
        <v>0</v>
      </c>
      <c r="BL46" t="b" cm="1">
        <f t="array" ref="BL46">IsPurple('Large Dataset'!T46)</f>
        <v>0</v>
      </c>
      <c r="BM46" t="b" cm="1">
        <f t="array" ref="BM46">IsGreen('Large Dataset'!T46)</f>
        <v>0</v>
      </c>
      <c r="BS46" t="b" cm="1">
        <f t="array" ref="BS46">IsRed('Large Dataset'!U46)</f>
        <v>1</v>
      </c>
      <c r="BT46" t="b" cm="1">
        <f t="array" ref="BT46">IsBlue('Large Dataset'!U46)</f>
        <v>0</v>
      </c>
      <c r="BU46" t="b" cm="1">
        <f t="array" ref="BU46">IsPurple('Large Dataset'!U46)</f>
        <v>0</v>
      </c>
      <c r="BV46" t="b" cm="1">
        <f t="array" ref="BV46">IsGreen('Large Dataset'!U46)</f>
        <v>0</v>
      </c>
    </row>
    <row r="47" spans="7:74">
      <c r="G47" t="b" cm="1">
        <f t="array" ref="G47">IsRed('Large Dataset'!I47)</f>
        <v>0</v>
      </c>
      <c r="H47" t="b" cm="1">
        <f t="array" ref="H47">IsBlue('Large Dataset'!I47)</f>
        <v>0</v>
      </c>
      <c r="I47" t="b" cm="1">
        <f t="array" ref="I47">IsPurple('Large Dataset'!I47)</f>
        <v>0</v>
      </c>
      <c r="J47" t="b" cm="1">
        <f t="array" ref="J47">IsGreen('Large Dataset'!G47)</f>
        <v>0</v>
      </c>
      <c r="P47" t="b" cm="1">
        <f t="array" ref="P47">IsRed('Large Dataset'!K47)</f>
        <v>0</v>
      </c>
      <c r="Q47" t="b" cm="1">
        <f t="array" ref="Q47">IsBlue('Large Dataset'!K47)</f>
        <v>0</v>
      </c>
      <c r="R47" t="b" cm="1">
        <f t="array" ref="R47">IsPurple('Large Dataset'!K47)</f>
        <v>0</v>
      </c>
      <c r="S47" t="b" cm="1">
        <f t="array" ref="S47">IsGreen('Large Dataset'!K47)</f>
        <v>0</v>
      </c>
      <c r="Y47" t="b" cm="1">
        <f t="array" ref="Y47">IsRed('Large Dataset'!M47)</f>
        <v>0</v>
      </c>
      <c r="Z47" t="b" cm="1">
        <f t="array" ref="Z47">IsBlue('Large Dataset'!M47)</f>
        <v>0</v>
      </c>
      <c r="AA47" t="b" cm="1">
        <f t="array" ref="AA47">IsPurple('Large Dataset'!M47)</f>
        <v>0</v>
      </c>
      <c r="AB47" t="b" cm="1">
        <f t="array" ref="AB47">IsGreen('Large Dataset'!M47)</f>
        <v>0</v>
      </c>
      <c r="AH47" t="b" cm="1">
        <f t="array" ref="AH47">IsRed('Large Dataset'!O47)</f>
        <v>0</v>
      </c>
      <c r="AI47" t="b" cm="1">
        <f t="array" ref="AI47">IsBlue('Large Dataset'!O47)</f>
        <v>0</v>
      </c>
      <c r="AJ47" t="b" cm="1">
        <f t="array" ref="AJ47">IsPurple('Large Dataset'!O47)</f>
        <v>0</v>
      </c>
      <c r="AK47" t="b" cm="1">
        <f t="array" ref="AK47">IsGreen('Large Dataset'!O47)</f>
        <v>0</v>
      </c>
      <c r="AR47" t="b" cm="1">
        <f t="array" ref="AR47">IsRed('Large Dataset'!Q47)</f>
        <v>0</v>
      </c>
      <c r="AS47" t="b" cm="1">
        <f t="array" ref="AS47">IsBlue('Large Dataset'!Q47)</f>
        <v>0</v>
      </c>
      <c r="AT47" t="b" cm="1">
        <f t="array" ref="AT47">IsPurple('Large Dataset'!Q47)</f>
        <v>0</v>
      </c>
      <c r="AU47" t="b" cm="1">
        <f t="array" ref="AU47">IsGreen('Large Dataset'!Q47)</f>
        <v>0</v>
      </c>
      <c r="BA47" t="b" cm="1">
        <f t="array" ref="BA47">IsRed('Large Dataset'!R47)</f>
        <v>1</v>
      </c>
      <c r="BB47" t="b" cm="1">
        <f t="array" ref="BB47">IsBlue('Large Dataset'!R47)</f>
        <v>0</v>
      </c>
      <c r="BC47" t="b" cm="1">
        <f t="array" ref="BC47">IsPurple('Large Dataset'!R47)</f>
        <v>0</v>
      </c>
      <c r="BD47" t="b" cm="1">
        <f t="array" ref="BD47">IsGreen('Large Dataset'!R47)</f>
        <v>0</v>
      </c>
      <c r="BJ47" t="b" cm="1">
        <f t="array" ref="BJ47">IsRed('Large Dataset'!T47)</f>
        <v>0</v>
      </c>
      <c r="BK47" t="b" cm="1">
        <f t="array" ref="BK47">IsBlue('Large Dataset'!T47)</f>
        <v>0</v>
      </c>
      <c r="BL47" t="b" cm="1">
        <f t="array" ref="BL47">IsPurple('Large Dataset'!T47)</f>
        <v>0</v>
      </c>
      <c r="BM47" t="b" cm="1">
        <f t="array" ref="BM47">IsGreen('Large Dataset'!T47)</f>
        <v>0</v>
      </c>
      <c r="BS47" t="b" cm="1">
        <f t="array" ref="BS47">IsRed('Large Dataset'!U47)</f>
        <v>0</v>
      </c>
      <c r="BT47" t="b" cm="1">
        <f t="array" ref="BT47">IsBlue('Large Dataset'!U47)</f>
        <v>0</v>
      </c>
      <c r="BU47" t="b" cm="1">
        <f t="array" ref="BU47">IsPurple('Large Dataset'!U47)</f>
        <v>0</v>
      </c>
      <c r="BV47" t="b" cm="1">
        <f t="array" ref="BV47">IsGreen('Large Dataset'!U47)</f>
        <v>0</v>
      </c>
    </row>
    <row r="48" spans="7:74">
      <c r="G48" t="b" cm="1">
        <f t="array" ref="G48">IsRed('Large Dataset'!I48)</f>
        <v>0</v>
      </c>
      <c r="H48" t="b" cm="1">
        <f t="array" ref="H48">IsBlue('Large Dataset'!I48)</f>
        <v>0</v>
      </c>
      <c r="I48" t="b" cm="1">
        <f t="array" ref="I48">IsPurple('Large Dataset'!I48)</f>
        <v>0</v>
      </c>
      <c r="J48" t="b" cm="1">
        <f t="array" ref="J48">IsGreen('Large Dataset'!G48)</f>
        <v>0</v>
      </c>
      <c r="P48" t="b" cm="1">
        <f t="array" ref="P48">IsRed('Large Dataset'!K48)</f>
        <v>0</v>
      </c>
      <c r="Q48" t="b" cm="1">
        <f t="array" ref="Q48">IsBlue('Large Dataset'!K48)</f>
        <v>0</v>
      </c>
      <c r="R48" t="b" cm="1">
        <f t="array" ref="R48">IsPurple('Large Dataset'!K48)</f>
        <v>0</v>
      </c>
      <c r="S48" t="b" cm="1">
        <f t="array" ref="S48">IsGreen('Large Dataset'!K48)</f>
        <v>0</v>
      </c>
      <c r="Y48" t="b" cm="1">
        <f t="array" ref="Y48">IsRed('Large Dataset'!M48)</f>
        <v>0</v>
      </c>
      <c r="Z48" t="b" cm="1">
        <f t="array" ref="Z48">IsBlue('Large Dataset'!M48)</f>
        <v>0</v>
      </c>
      <c r="AA48" t="b" cm="1">
        <f t="array" ref="AA48">IsPurple('Large Dataset'!M48)</f>
        <v>0</v>
      </c>
      <c r="AB48" t="b" cm="1">
        <f t="array" ref="AB48">IsGreen('Large Dataset'!M48)</f>
        <v>0</v>
      </c>
      <c r="AH48" t="b" cm="1">
        <f t="array" ref="AH48">IsRed('Large Dataset'!O48)</f>
        <v>0</v>
      </c>
      <c r="AI48" t="b" cm="1">
        <f t="array" ref="AI48">IsBlue('Large Dataset'!O48)</f>
        <v>0</v>
      </c>
      <c r="AJ48" t="b" cm="1">
        <f t="array" ref="AJ48">IsPurple('Large Dataset'!O48)</f>
        <v>0</v>
      </c>
      <c r="AK48" t="b" cm="1">
        <f t="array" ref="AK48">IsGreen('Large Dataset'!O48)</f>
        <v>0</v>
      </c>
      <c r="AR48" t="b" cm="1">
        <f t="array" ref="AR48">IsRed('Large Dataset'!Q48)</f>
        <v>0</v>
      </c>
      <c r="AS48" t="b" cm="1">
        <f t="array" ref="AS48">IsBlue('Large Dataset'!Q48)</f>
        <v>0</v>
      </c>
      <c r="AT48" t="b" cm="1">
        <f t="array" ref="AT48">IsPurple('Large Dataset'!Q48)</f>
        <v>0</v>
      </c>
      <c r="AU48" t="b" cm="1">
        <f t="array" ref="AU48">IsGreen('Large Dataset'!Q48)</f>
        <v>0</v>
      </c>
      <c r="BA48" t="b" cm="1">
        <f t="array" ref="BA48">IsRed('Large Dataset'!R48)</f>
        <v>1</v>
      </c>
      <c r="BB48" t="b" cm="1">
        <f t="array" ref="BB48">IsBlue('Large Dataset'!R48)</f>
        <v>0</v>
      </c>
      <c r="BC48" t="b" cm="1">
        <f t="array" ref="BC48">IsPurple('Large Dataset'!R48)</f>
        <v>0</v>
      </c>
      <c r="BD48" t="b" cm="1">
        <f t="array" ref="BD48">IsGreen('Large Dataset'!R48)</f>
        <v>0</v>
      </c>
      <c r="BJ48" t="b" cm="1">
        <f t="array" ref="BJ48">IsRed('Large Dataset'!T48)</f>
        <v>0</v>
      </c>
      <c r="BK48" t="b" cm="1">
        <f t="array" ref="BK48">IsBlue('Large Dataset'!T48)</f>
        <v>0</v>
      </c>
      <c r="BL48" t="b" cm="1">
        <f t="array" ref="BL48">IsPurple('Large Dataset'!T48)</f>
        <v>0</v>
      </c>
      <c r="BM48" t="b" cm="1">
        <f t="array" ref="BM48">IsGreen('Large Dataset'!T48)</f>
        <v>0</v>
      </c>
      <c r="BS48" t="b" cm="1">
        <f t="array" ref="BS48">IsRed('Large Dataset'!U48)</f>
        <v>1</v>
      </c>
      <c r="BT48" t="b" cm="1">
        <f t="array" ref="BT48">IsBlue('Large Dataset'!U48)</f>
        <v>0</v>
      </c>
      <c r="BU48" t="b" cm="1">
        <f t="array" ref="BU48">IsPurple('Large Dataset'!U48)</f>
        <v>0</v>
      </c>
      <c r="BV48" t="b" cm="1">
        <f t="array" ref="BV48">IsGreen('Large Dataset'!U48)</f>
        <v>0</v>
      </c>
    </row>
    <row r="49" spans="7:74">
      <c r="G49" t="b" cm="1">
        <f t="array" ref="G49">IsRed('Large Dataset'!I49)</f>
        <v>0</v>
      </c>
      <c r="H49" t="b" cm="1">
        <f t="array" ref="H49">IsBlue('Large Dataset'!I49)</f>
        <v>0</v>
      </c>
      <c r="I49" t="b" cm="1">
        <f t="array" ref="I49">IsPurple('Large Dataset'!I49)</f>
        <v>0</v>
      </c>
      <c r="J49" t="b" cm="1">
        <f t="array" ref="J49">IsGreen('Large Dataset'!G49)</f>
        <v>0</v>
      </c>
      <c r="P49" t="b" cm="1">
        <f t="array" ref="P49">IsRed('Large Dataset'!K49)</f>
        <v>0</v>
      </c>
      <c r="Q49" t="b" cm="1">
        <f t="array" ref="Q49">IsBlue('Large Dataset'!K49)</f>
        <v>0</v>
      </c>
      <c r="R49" t="b" cm="1">
        <f t="array" ref="R49">IsPurple('Large Dataset'!K49)</f>
        <v>0</v>
      </c>
      <c r="S49" t="b" cm="1">
        <f t="array" ref="S49">IsGreen('Large Dataset'!K49)</f>
        <v>0</v>
      </c>
      <c r="Y49" t="b" cm="1">
        <f t="array" ref="Y49">IsRed('Large Dataset'!M49)</f>
        <v>1</v>
      </c>
      <c r="Z49" t="b" cm="1">
        <f t="array" ref="Z49">IsBlue('Large Dataset'!M49)</f>
        <v>0</v>
      </c>
      <c r="AA49" t="b" cm="1">
        <f t="array" ref="AA49">IsPurple('Large Dataset'!M49)</f>
        <v>0</v>
      </c>
      <c r="AB49" t="b" cm="1">
        <f t="array" ref="AB49">IsGreen('Large Dataset'!M49)</f>
        <v>0</v>
      </c>
      <c r="AH49" t="b" cm="1">
        <f t="array" ref="AH49">IsRed('Large Dataset'!O49)</f>
        <v>0</v>
      </c>
      <c r="AI49" t="b" cm="1">
        <f t="array" ref="AI49">IsBlue('Large Dataset'!O49)</f>
        <v>0</v>
      </c>
      <c r="AJ49" t="b" cm="1">
        <f t="array" ref="AJ49">IsPurple('Large Dataset'!O49)</f>
        <v>0</v>
      </c>
      <c r="AK49" t="b" cm="1">
        <f t="array" ref="AK49">IsGreen('Large Dataset'!O49)</f>
        <v>0</v>
      </c>
      <c r="AR49" t="b" cm="1">
        <f t="array" ref="AR49">IsRed('Large Dataset'!Q49)</f>
        <v>0</v>
      </c>
      <c r="AS49" t="b" cm="1">
        <f t="array" ref="AS49">IsBlue('Large Dataset'!Q49)</f>
        <v>0</v>
      </c>
      <c r="AT49" t="b" cm="1">
        <f t="array" ref="AT49">IsPurple('Large Dataset'!Q49)</f>
        <v>0</v>
      </c>
      <c r="AU49" t="b" cm="1">
        <f t="array" ref="AU49">IsGreen('Large Dataset'!Q49)</f>
        <v>0</v>
      </c>
      <c r="BA49" t="b" cm="1">
        <f t="array" ref="BA49">IsRed('Large Dataset'!R49)</f>
        <v>1</v>
      </c>
      <c r="BB49" t="b" cm="1">
        <f t="array" ref="BB49">IsBlue('Large Dataset'!R49)</f>
        <v>0</v>
      </c>
      <c r="BC49" t="b" cm="1">
        <f t="array" ref="BC49">IsPurple('Large Dataset'!R49)</f>
        <v>0</v>
      </c>
      <c r="BD49" t="b" cm="1">
        <f t="array" ref="BD49">IsGreen('Large Dataset'!R49)</f>
        <v>0</v>
      </c>
      <c r="BJ49" t="b" cm="1">
        <f t="array" ref="BJ49">IsRed('Large Dataset'!T49)</f>
        <v>0</v>
      </c>
      <c r="BK49" t="b" cm="1">
        <f t="array" ref="BK49">IsBlue('Large Dataset'!T49)</f>
        <v>0</v>
      </c>
      <c r="BL49" t="b" cm="1">
        <f t="array" ref="BL49">IsPurple('Large Dataset'!T49)</f>
        <v>0</v>
      </c>
      <c r="BM49" t="b" cm="1">
        <f t="array" ref="BM49">IsGreen('Large Dataset'!T49)</f>
        <v>0</v>
      </c>
      <c r="BS49" t="b" cm="1">
        <f t="array" ref="BS49">IsRed('Large Dataset'!U49)</f>
        <v>0</v>
      </c>
      <c r="BT49" t="b" cm="1">
        <f t="array" ref="BT49">IsBlue('Large Dataset'!U49)</f>
        <v>0</v>
      </c>
      <c r="BU49" t="b" cm="1">
        <f t="array" ref="BU49">IsPurple('Large Dataset'!U49)</f>
        <v>0</v>
      </c>
      <c r="BV49" t="b" cm="1">
        <f t="array" ref="BV49">IsGreen('Large Dataset'!U49)</f>
        <v>0</v>
      </c>
    </row>
    <row r="50" spans="7:74">
      <c r="G50" t="b" cm="1">
        <f t="array" ref="G50">IsRed('Large Dataset'!I50)</f>
        <v>0</v>
      </c>
      <c r="H50" t="b" cm="1">
        <f t="array" ref="H50">IsBlue('Large Dataset'!I50)</f>
        <v>0</v>
      </c>
      <c r="I50" t="b" cm="1">
        <f t="array" ref="I50">IsPurple('Large Dataset'!I50)</f>
        <v>0</v>
      </c>
      <c r="J50" t="b" cm="1">
        <f t="array" ref="J50">IsGreen('Large Dataset'!G50)</f>
        <v>0</v>
      </c>
      <c r="P50" t="b" cm="1">
        <f t="array" ref="P50">IsRed('Large Dataset'!K50)</f>
        <v>0</v>
      </c>
      <c r="Q50" t="b" cm="1">
        <f t="array" ref="Q50">IsBlue('Large Dataset'!K50)</f>
        <v>0</v>
      </c>
      <c r="R50" t="b" cm="1">
        <f t="array" ref="R50">IsPurple('Large Dataset'!K50)</f>
        <v>1</v>
      </c>
      <c r="S50" t="b" cm="1">
        <f t="array" ref="S50">IsGreen('Large Dataset'!K50)</f>
        <v>0</v>
      </c>
      <c r="Y50" t="b" cm="1">
        <f t="array" ref="Y50">IsRed('Large Dataset'!M50)</f>
        <v>0</v>
      </c>
      <c r="Z50" t="b" cm="1">
        <f t="array" ref="Z50">IsBlue('Large Dataset'!M50)</f>
        <v>1</v>
      </c>
      <c r="AA50" t="b" cm="1">
        <f t="array" ref="AA50">IsPurple('Large Dataset'!M50)</f>
        <v>0</v>
      </c>
      <c r="AB50" t="b" cm="1">
        <f t="array" ref="AB50">IsGreen('Large Dataset'!M50)</f>
        <v>0</v>
      </c>
      <c r="AH50" t="b" cm="1">
        <f t="array" ref="AH50">IsRed('Large Dataset'!O50)</f>
        <v>0</v>
      </c>
      <c r="AI50" t="b" cm="1">
        <f t="array" ref="AI50">IsBlue('Large Dataset'!O50)</f>
        <v>0</v>
      </c>
      <c r="AJ50" t="b" cm="1">
        <f t="array" ref="AJ50">IsPurple('Large Dataset'!O50)</f>
        <v>0</v>
      </c>
      <c r="AK50" t="b" cm="1">
        <f t="array" ref="AK50">IsGreen('Large Dataset'!O50)</f>
        <v>0</v>
      </c>
      <c r="AR50" t="b" cm="1">
        <f t="array" ref="AR50">IsRed('Large Dataset'!Q50)</f>
        <v>0</v>
      </c>
      <c r="AS50" t="b" cm="1">
        <f t="array" ref="AS50">IsBlue('Large Dataset'!Q50)</f>
        <v>0</v>
      </c>
      <c r="AT50" t="b" cm="1">
        <f t="array" ref="AT50">IsPurple('Large Dataset'!Q50)</f>
        <v>0</v>
      </c>
      <c r="AU50" t="b" cm="1">
        <f t="array" ref="AU50">IsGreen('Large Dataset'!Q50)</f>
        <v>0</v>
      </c>
      <c r="BA50" t="b" cm="1">
        <f t="array" ref="BA50">IsRed('Large Dataset'!R50)</f>
        <v>1</v>
      </c>
      <c r="BB50" t="b" cm="1">
        <f t="array" ref="BB50">IsBlue('Large Dataset'!R50)</f>
        <v>0</v>
      </c>
      <c r="BC50" t="b" cm="1">
        <f t="array" ref="BC50">IsPurple('Large Dataset'!R50)</f>
        <v>0</v>
      </c>
      <c r="BD50" t="b" cm="1">
        <f t="array" ref="BD50">IsGreen('Large Dataset'!R50)</f>
        <v>0</v>
      </c>
      <c r="BJ50" t="b" cm="1">
        <f t="array" ref="BJ50">IsRed('Large Dataset'!T50)</f>
        <v>0</v>
      </c>
      <c r="BK50" t="b" cm="1">
        <f t="array" ref="BK50">IsBlue('Large Dataset'!T50)</f>
        <v>0</v>
      </c>
      <c r="BL50" t="b" cm="1">
        <f t="array" ref="BL50">IsPurple('Large Dataset'!T50)</f>
        <v>0</v>
      </c>
      <c r="BM50" t="b" cm="1">
        <f t="array" ref="BM50">IsGreen('Large Dataset'!T50)</f>
        <v>0</v>
      </c>
      <c r="BS50" t="b" cm="1">
        <f t="array" ref="BS50">IsRed('Large Dataset'!U50)</f>
        <v>1</v>
      </c>
      <c r="BT50" t="b" cm="1">
        <f t="array" ref="BT50">IsBlue('Large Dataset'!U50)</f>
        <v>0</v>
      </c>
      <c r="BU50" t="b" cm="1">
        <f t="array" ref="BU50">IsPurple('Large Dataset'!U50)</f>
        <v>0</v>
      </c>
      <c r="BV50" t="b" cm="1">
        <f t="array" ref="BV50">IsGreen('Large Dataset'!U50)</f>
        <v>0</v>
      </c>
    </row>
    <row r="51" spans="7:74">
      <c r="G51" t="b" cm="1">
        <f t="array" ref="G51">IsRed('Large Dataset'!I51)</f>
        <v>0</v>
      </c>
      <c r="H51" t="b" cm="1">
        <f t="array" ref="H51">IsBlue('Large Dataset'!I51)</f>
        <v>0</v>
      </c>
      <c r="I51" t="b" cm="1">
        <f t="array" ref="I51">IsPurple('Large Dataset'!I51)</f>
        <v>0</v>
      </c>
      <c r="J51" t="b" cm="1">
        <f t="array" ref="J51">IsGreen('Large Dataset'!G51)</f>
        <v>0</v>
      </c>
      <c r="P51" t="b" cm="1">
        <f t="array" ref="P51">IsRed('Large Dataset'!K51)</f>
        <v>0</v>
      </c>
      <c r="Q51" t="b" cm="1">
        <f t="array" ref="Q51">IsBlue('Large Dataset'!K51)</f>
        <v>0</v>
      </c>
      <c r="R51" t="b" cm="1">
        <f t="array" ref="R51">IsPurple('Large Dataset'!K51)</f>
        <v>0</v>
      </c>
      <c r="S51" t="b" cm="1">
        <f t="array" ref="S51">IsGreen('Large Dataset'!K51)</f>
        <v>0</v>
      </c>
      <c r="Y51" t="b" cm="1">
        <f t="array" ref="Y51">IsRed('Large Dataset'!M51)</f>
        <v>1</v>
      </c>
      <c r="Z51" t="b" cm="1">
        <f t="array" ref="Z51">IsBlue('Large Dataset'!M51)</f>
        <v>0</v>
      </c>
      <c r="AA51" t="b" cm="1">
        <f t="array" ref="AA51">IsPurple('Large Dataset'!M51)</f>
        <v>0</v>
      </c>
      <c r="AB51" t="b" cm="1">
        <f t="array" ref="AB51">IsGreen('Large Dataset'!M51)</f>
        <v>0</v>
      </c>
      <c r="AH51" t="b" cm="1">
        <f t="array" ref="AH51">IsRed('Large Dataset'!O51)</f>
        <v>1</v>
      </c>
      <c r="AI51" t="b" cm="1">
        <f t="array" ref="AI51">IsBlue('Large Dataset'!O51)</f>
        <v>0</v>
      </c>
      <c r="AJ51" t="b" cm="1">
        <f t="array" ref="AJ51">IsPurple('Large Dataset'!O51)</f>
        <v>0</v>
      </c>
      <c r="AK51" t="b" cm="1">
        <f t="array" ref="AK51">IsGreen('Large Dataset'!O51)</f>
        <v>0</v>
      </c>
      <c r="AR51" t="b" cm="1">
        <f t="array" ref="AR51">IsRed('Large Dataset'!Q51)</f>
        <v>0</v>
      </c>
      <c r="AS51" t="b" cm="1">
        <f t="array" ref="AS51">IsBlue('Large Dataset'!Q51)</f>
        <v>0</v>
      </c>
      <c r="AT51" t="b" cm="1">
        <f t="array" ref="AT51">IsPurple('Large Dataset'!Q51)</f>
        <v>0</v>
      </c>
      <c r="AU51" t="b" cm="1">
        <f t="array" ref="AU51">IsGreen('Large Dataset'!Q51)</f>
        <v>0</v>
      </c>
      <c r="BA51" t="b" cm="1">
        <f t="array" ref="BA51">IsRed('Large Dataset'!R51)</f>
        <v>1</v>
      </c>
      <c r="BB51" t="b" cm="1">
        <f t="array" ref="BB51">IsBlue('Large Dataset'!R51)</f>
        <v>0</v>
      </c>
      <c r="BC51" t="b" cm="1">
        <f t="array" ref="BC51">IsPurple('Large Dataset'!R51)</f>
        <v>0</v>
      </c>
      <c r="BD51" t="b" cm="1">
        <f t="array" ref="BD51">IsGreen('Large Dataset'!R51)</f>
        <v>0</v>
      </c>
      <c r="BJ51" t="b" cm="1">
        <f t="array" ref="BJ51">IsRed('Large Dataset'!T51)</f>
        <v>0</v>
      </c>
      <c r="BK51" t="b" cm="1">
        <f t="array" ref="BK51">IsBlue('Large Dataset'!T51)</f>
        <v>0</v>
      </c>
      <c r="BL51" t="b" cm="1">
        <f t="array" ref="BL51">IsPurple('Large Dataset'!T51)</f>
        <v>0</v>
      </c>
      <c r="BM51" t="b" cm="1">
        <f t="array" ref="BM51">IsGreen('Large Dataset'!T51)</f>
        <v>0</v>
      </c>
      <c r="BS51" t="b" cm="1">
        <f t="array" ref="BS51">IsRed('Large Dataset'!U51)</f>
        <v>1</v>
      </c>
      <c r="BT51" t="b" cm="1">
        <f t="array" ref="BT51">IsBlue('Large Dataset'!U51)</f>
        <v>0</v>
      </c>
      <c r="BU51" t="b" cm="1">
        <f t="array" ref="BU51">IsPurple('Large Dataset'!U51)</f>
        <v>0</v>
      </c>
      <c r="BV51" t="b" cm="1">
        <f t="array" ref="BV51">IsGreen('Large Dataset'!U51)</f>
        <v>0</v>
      </c>
    </row>
    <row r="52" spans="7:74">
      <c r="G52" t="b" cm="1">
        <f t="array" ref="G52">IsRed('Large Dataset'!I52)</f>
        <v>0</v>
      </c>
      <c r="H52" t="b" cm="1">
        <f t="array" ref="H52">IsBlue('Large Dataset'!I52)</f>
        <v>0</v>
      </c>
      <c r="I52" t="b" cm="1">
        <f t="array" ref="I52">IsPurple('Large Dataset'!I52)</f>
        <v>0</v>
      </c>
      <c r="J52" t="b" cm="1">
        <f t="array" ref="J52">IsGreen('Large Dataset'!G52)</f>
        <v>0</v>
      </c>
      <c r="P52" t="b" cm="1">
        <f t="array" ref="P52">IsRed('Large Dataset'!K52)</f>
        <v>0</v>
      </c>
      <c r="Q52" t="b" cm="1">
        <f t="array" ref="Q52">IsBlue('Large Dataset'!K52)</f>
        <v>0</v>
      </c>
      <c r="R52" t="b" cm="1">
        <f t="array" ref="R52">IsPurple('Large Dataset'!K52)</f>
        <v>0</v>
      </c>
      <c r="S52" t="b" cm="1">
        <f t="array" ref="S52">IsGreen('Large Dataset'!K52)</f>
        <v>0</v>
      </c>
      <c r="Y52" t="b" cm="1">
        <f t="array" ref="Y52">IsRed('Large Dataset'!M52)</f>
        <v>0</v>
      </c>
      <c r="Z52" t="b" cm="1">
        <f t="array" ref="Z52">IsBlue('Large Dataset'!M52)</f>
        <v>0</v>
      </c>
      <c r="AA52" t="b" cm="1">
        <f t="array" ref="AA52">IsPurple('Large Dataset'!M52)</f>
        <v>0</v>
      </c>
      <c r="AB52" t="b" cm="1">
        <f t="array" ref="AB52">IsGreen('Large Dataset'!M52)</f>
        <v>0</v>
      </c>
      <c r="AH52" t="b" cm="1">
        <f t="array" ref="AH52">IsRed('Large Dataset'!O52)</f>
        <v>0</v>
      </c>
      <c r="AI52" t="b" cm="1">
        <f t="array" ref="AI52">IsBlue('Large Dataset'!O52)</f>
        <v>0</v>
      </c>
      <c r="AJ52" t="b" cm="1">
        <f t="array" ref="AJ52">IsPurple('Large Dataset'!O52)</f>
        <v>0</v>
      </c>
      <c r="AK52" t="b" cm="1">
        <f t="array" ref="AK52">IsGreen('Large Dataset'!O52)</f>
        <v>0</v>
      </c>
      <c r="AR52" t="b" cm="1">
        <f t="array" ref="AR52">IsRed('Large Dataset'!Q52)</f>
        <v>0</v>
      </c>
      <c r="AS52" t="b" cm="1">
        <f t="array" ref="AS52">IsBlue('Large Dataset'!Q52)</f>
        <v>0</v>
      </c>
      <c r="AT52" t="b" cm="1">
        <f t="array" ref="AT52">IsPurple('Large Dataset'!Q52)</f>
        <v>0</v>
      </c>
      <c r="AU52" t="b" cm="1">
        <f t="array" ref="AU52">IsGreen('Large Dataset'!Q52)</f>
        <v>0</v>
      </c>
      <c r="BA52" t="b" cm="1">
        <f t="array" ref="BA52">IsRed('Large Dataset'!R52)</f>
        <v>1</v>
      </c>
      <c r="BB52" t="b" cm="1">
        <f t="array" ref="BB52">IsBlue('Large Dataset'!R52)</f>
        <v>0</v>
      </c>
      <c r="BC52" t="b" cm="1">
        <f t="array" ref="BC52">IsPurple('Large Dataset'!R52)</f>
        <v>0</v>
      </c>
      <c r="BD52" t="b" cm="1">
        <f t="array" ref="BD52">IsGreen('Large Dataset'!R52)</f>
        <v>0</v>
      </c>
      <c r="BJ52" t="b" cm="1">
        <f t="array" ref="BJ52">IsRed('Large Dataset'!T52)</f>
        <v>0</v>
      </c>
      <c r="BK52" t="b" cm="1">
        <f t="array" ref="BK52">IsBlue('Large Dataset'!T52)</f>
        <v>0</v>
      </c>
      <c r="BL52" t="b" cm="1">
        <f t="array" ref="BL52">IsPurple('Large Dataset'!T52)</f>
        <v>0</v>
      </c>
      <c r="BM52" t="b" cm="1">
        <f t="array" ref="BM52">IsGreen('Large Dataset'!T52)</f>
        <v>0</v>
      </c>
      <c r="BS52" t="b" cm="1">
        <f t="array" ref="BS52">IsRed('Large Dataset'!U52)</f>
        <v>1</v>
      </c>
      <c r="BT52" t="b" cm="1">
        <f t="array" ref="BT52">IsBlue('Large Dataset'!U52)</f>
        <v>0</v>
      </c>
      <c r="BU52" t="b" cm="1">
        <f t="array" ref="BU52">IsPurple('Large Dataset'!U52)</f>
        <v>0</v>
      </c>
      <c r="BV52" t="b" cm="1">
        <f t="array" ref="BV52">IsGreen('Large Dataset'!U52)</f>
        <v>0</v>
      </c>
    </row>
    <row r="53" spans="7:74">
      <c r="G53" t="b" cm="1">
        <f t="array" ref="G53">IsRed('Large Dataset'!I53)</f>
        <v>0</v>
      </c>
      <c r="H53" t="b" cm="1">
        <f t="array" ref="H53">IsBlue('Large Dataset'!I53)</f>
        <v>0</v>
      </c>
      <c r="I53" t="b" cm="1">
        <f t="array" ref="I53">IsPurple('Large Dataset'!I53)</f>
        <v>0</v>
      </c>
      <c r="J53" t="b" cm="1">
        <f t="array" ref="J53">IsGreen('Large Dataset'!G53)</f>
        <v>0</v>
      </c>
      <c r="P53" t="b" cm="1">
        <f t="array" ref="P53">IsRed('Large Dataset'!K53)</f>
        <v>0</v>
      </c>
      <c r="Q53" t="b" cm="1">
        <f t="array" ref="Q53">IsBlue('Large Dataset'!K53)</f>
        <v>0</v>
      </c>
      <c r="R53" t="b" cm="1">
        <f t="array" ref="R53">IsPurple('Large Dataset'!K53)</f>
        <v>0</v>
      </c>
      <c r="S53" t="b" cm="1">
        <f t="array" ref="S53">IsGreen('Large Dataset'!K53)</f>
        <v>0</v>
      </c>
      <c r="Y53" t="b" cm="1">
        <f t="array" ref="Y53">IsRed('Large Dataset'!M53)</f>
        <v>0</v>
      </c>
      <c r="Z53" t="b" cm="1">
        <f t="array" ref="Z53">IsBlue('Large Dataset'!M53)</f>
        <v>0</v>
      </c>
      <c r="AA53" t="b" cm="1">
        <f t="array" ref="AA53">IsPurple('Large Dataset'!M53)</f>
        <v>0</v>
      </c>
      <c r="AB53" t="b" cm="1">
        <f t="array" ref="AB53">IsGreen('Large Dataset'!M53)</f>
        <v>0</v>
      </c>
      <c r="AH53" t="b" cm="1">
        <f t="array" ref="AH53">IsRed('Large Dataset'!O53)</f>
        <v>0</v>
      </c>
      <c r="AI53" t="b" cm="1">
        <f t="array" ref="AI53">IsBlue('Large Dataset'!O53)</f>
        <v>0</v>
      </c>
      <c r="AJ53" t="b" cm="1">
        <f t="array" ref="AJ53">IsPurple('Large Dataset'!O53)</f>
        <v>0</v>
      </c>
      <c r="AK53" t="b" cm="1">
        <f t="array" ref="AK53">IsGreen('Large Dataset'!O53)</f>
        <v>0</v>
      </c>
      <c r="AR53" t="b" cm="1">
        <f t="array" ref="AR53">IsRed('Large Dataset'!Q53)</f>
        <v>0</v>
      </c>
      <c r="AS53" t="b" cm="1">
        <f t="array" ref="AS53">IsBlue('Large Dataset'!Q53)</f>
        <v>0</v>
      </c>
      <c r="AT53" t="b" cm="1">
        <f t="array" ref="AT53">IsPurple('Large Dataset'!Q53)</f>
        <v>0</v>
      </c>
      <c r="AU53" t="b" cm="1">
        <f t="array" ref="AU53">IsGreen('Large Dataset'!Q53)</f>
        <v>0</v>
      </c>
      <c r="BA53" t="b" cm="1">
        <f t="array" ref="BA53">IsRed('Large Dataset'!R53)</f>
        <v>1</v>
      </c>
      <c r="BB53" t="b" cm="1">
        <f t="array" ref="BB53">IsBlue('Large Dataset'!R53)</f>
        <v>0</v>
      </c>
      <c r="BC53" t="b" cm="1">
        <f t="array" ref="BC53">IsPurple('Large Dataset'!R53)</f>
        <v>0</v>
      </c>
      <c r="BD53" t="b" cm="1">
        <f t="array" ref="BD53">IsGreen('Large Dataset'!R53)</f>
        <v>0</v>
      </c>
      <c r="BJ53" t="b" cm="1">
        <f t="array" ref="BJ53">IsRed('Large Dataset'!T53)</f>
        <v>0</v>
      </c>
      <c r="BK53" t="b" cm="1">
        <f t="array" ref="BK53">IsBlue('Large Dataset'!T53)</f>
        <v>0</v>
      </c>
      <c r="BL53" t="b" cm="1">
        <f t="array" ref="BL53">IsPurple('Large Dataset'!T53)</f>
        <v>0</v>
      </c>
      <c r="BM53" t="b" cm="1">
        <f t="array" ref="BM53">IsGreen('Large Dataset'!T53)</f>
        <v>0</v>
      </c>
      <c r="BS53" t="b" cm="1">
        <f t="array" ref="BS53">IsRed('Large Dataset'!U53)</f>
        <v>1</v>
      </c>
      <c r="BT53" t="b" cm="1">
        <f t="array" ref="BT53">IsBlue('Large Dataset'!U53)</f>
        <v>0</v>
      </c>
      <c r="BU53" t="b" cm="1">
        <f t="array" ref="BU53">IsPurple('Large Dataset'!U53)</f>
        <v>0</v>
      </c>
      <c r="BV53" t="b" cm="1">
        <f t="array" ref="BV53">IsGreen('Large Dataset'!U53)</f>
        <v>0</v>
      </c>
    </row>
    <row r="54" spans="7:74">
      <c r="G54" t="b" cm="1">
        <f t="array" ref="G54">IsRed('Large Dataset'!I54)</f>
        <v>0</v>
      </c>
      <c r="H54" t="b" cm="1">
        <f t="array" ref="H54">IsBlue('Large Dataset'!I54)</f>
        <v>0</v>
      </c>
      <c r="I54" t="b" cm="1">
        <f t="array" ref="I54">IsPurple('Large Dataset'!I54)</f>
        <v>0</v>
      </c>
      <c r="J54" t="b" cm="1">
        <f t="array" ref="J54">IsGreen('Large Dataset'!G54)</f>
        <v>0</v>
      </c>
      <c r="P54" t="b" cm="1">
        <f t="array" ref="P54">IsRed('Large Dataset'!K54)</f>
        <v>0</v>
      </c>
      <c r="Q54" t="b" cm="1">
        <f t="array" ref="Q54">IsBlue('Large Dataset'!K54)</f>
        <v>0</v>
      </c>
      <c r="R54" t="b" cm="1">
        <f t="array" ref="R54">IsPurple('Large Dataset'!K54)</f>
        <v>0</v>
      </c>
      <c r="S54" t="b" cm="1">
        <f t="array" ref="S54">IsGreen('Large Dataset'!K54)</f>
        <v>0</v>
      </c>
      <c r="Y54" t="b" cm="1">
        <f t="array" ref="Y54">IsRed('Large Dataset'!M54)</f>
        <v>0</v>
      </c>
      <c r="Z54" t="b" cm="1">
        <f t="array" ref="Z54">IsBlue('Large Dataset'!M54)</f>
        <v>0</v>
      </c>
      <c r="AA54" t="b" cm="1">
        <f t="array" ref="AA54">IsPurple('Large Dataset'!M54)</f>
        <v>0</v>
      </c>
      <c r="AB54" t="b" cm="1">
        <f t="array" ref="AB54">IsGreen('Large Dataset'!M54)</f>
        <v>0</v>
      </c>
      <c r="AH54" t="b" cm="1">
        <f t="array" ref="AH54">IsRed('Large Dataset'!O54)</f>
        <v>0</v>
      </c>
      <c r="AI54" t="b" cm="1">
        <f t="array" ref="AI54">IsBlue('Large Dataset'!O54)</f>
        <v>0</v>
      </c>
      <c r="AJ54" t="b" cm="1">
        <f t="array" ref="AJ54">IsPurple('Large Dataset'!O54)</f>
        <v>0</v>
      </c>
      <c r="AK54" t="b" cm="1">
        <f t="array" ref="AK54">IsGreen('Large Dataset'!O54)</f>
        <v>0</v>
      </c>
      <c r="AR54" t="b" cm="1">
        <f t="array" ref="AR54">IsRed('Large Dataset'!Q54)</f>
        <v>0</v>
      </c>
      <c r="AS54" t="b" cm="1">
        <f t="array" ref="AS54">IsBlue('Large Dataset'!Q54)</f>
        <v>0</v>
      </c>
      <c r="AT54" t="b" cm="1">
        <f t="array" ref="AT54">IsPurple('Large Dataset'!Q54)</f>
        <v>0</v>
      </c>
      <c r="AU54" t="b" cm="1">
        <f t="array" ref="AU54">IsGreen('Large Dataset'!Q54)</f>
        <v>0</v>
      </c>
      <c r="BA54" t="b" cm="1">
        <f t="array" ref="BA54">IsRed('Large Dataset'!R54)</f>
        <v>1</v>
      </c>
      <c r="BB54" t="b" cm="1">
        <f t="array" ref="BB54">IsBlue('Large Dataset'!R54)</f>
        <v>0</v>
      </c>
      <c r="BC54" t="b" cm="1">
        <f t="array" ref="BC54">IsPurple('Large Dataset'!R54)</f>
        <v>0</v>
      </c>
      <c r="BD54" t="b" cm="1">
        <f t="array" ref="BD54">IsGreen('Large Dataset'!R54)</f>
        <v>0</v>
      </c>
      <c r="BJ54" t="b" cm="1">
        <f t="array" ref="BJ54">IsRed('Large Dataset'!T54)</f>
        <v>0</v>
      </c>
      <c r="BK54" t="b" cm="1">
        <f t="array" ref="BK54">IsBlue('Large Dataset'!T54)</f>
        <v>0</v>
      </c>
      <c r="BL54" t="b" cm="1">
        <f t="array" ref="BL54">IsPurple('Large Dataset'!T54)</f>
        <v>0</v>
      </c>
      <c r="BM54" t="b" cm="1">
        <f t="array" ref="BM54">IsGreen('Large Dataset'!T54)</f>
        <v>0</v>
      </c>
      <c r="BS54" t="b" cm="1">
        <f t="array" ref="BS54">IsRed('Large Dataset'!U54)</f>
        <v>1</v>
      </c>
      <c r="BT54" t="b" cm="1">
        <f t="array" ref="BT54">IsBlue('Large Dataset'!U54)</f>
        <v>0</v>
      </c>
      <c r="BU54" t="b" cm="1">
        <f t="array" ref="BU54">IsPurple('Large Dataset'!U54)</f>
        <v>0</v>
      </c>
      <c r="BV54" t="b" cm="1">
        <f t="array" ref="BV54">IsGreen('Large Dataset'!U54)</f>
        <v>0</v>
      </c>
    </row>
    <row r="55" spans="7:74">
      <c r="G55" t="b" cm="1">
        <f t="array" ref="G55">IsRed('Large Dataset'!I55)</f>
        <v>1</v>
      </c>
      <c r="H55" t="b" cm="1">
        <f t="array" ref="H55">IsBlue('Large Dataset'!I55)</f>
        <v>0</v>
      </c>
      <c r="I55" t="b" cm="1">
        <f t="array" ref="I55">IsPurple('Large Dataset'!I55)</f>
        <v>0</v>
      </c>
      <c r="J55" t="b" cm="1">
        <f t="array" ref="J55">IsGreen('Large Dataset'!G55)</f>
        <v>0</v>
      </c>
      <c r="P55" t="b" cm="1">
        <f t="array" ref="P55">IsRed('Large Dataset'!K55)</f>
        <v>0</v>
      </c>
      <c r="Q55" t="b" cm="1">
        <f t="array" ref="Q55">IsBlue('Large Dataset'!K55)</f>
        <v>0</v>
      </c>
      <c r="R55" t="b" cm="1">
        <f t="array" ref="R55">IsPurple('Large Dataset'!K55)</f>
        <v>0</v>
      </c>
      <c r="S55" t="b" cm="1">
        <f t="array" ref="S55">IsGreen('Large Dataset'!K55)</f>
        <v>0</v>
      </c>
      <c r="Y55" t="b" cm="1">
        <f t="array" ref="Y55">IsRed('Large Dataset'!M55)</f>
        <v>0</v>
      </c>
      <c r="Z55" t="b" cm="1">
        <f t="array" ref="Z55">IsBlue('Large Dataset'!M55)</f>
        <v>0</v>
      </c>
      <c r="AA55" t="b" cm="1">
        <f t="array" ref="AA55">IsPurple('Large Dataset'!M55)</f>
        <v>0</v>
      </c>
      <c r="AB55" t="b" cm="1">
        <f t="array" ref="AB55">IsGreen('Large Dataset'!M55)</f>
        <v>0</v>
      </c>
      <c r="AH55" t="b" cm="1">
        <f t="array" ref="AH55">IsRed('Large Dataset'!O55)</f>
        <v>0</v>
      </c>
      <c r="AI55" t="b" cm="1">
        <f t="array" ref="AI55">IsBlue('Large Dataset'!O55)</f>
        <v>0</v>
      </c>
      <c r="AJ55" t="b" cm="1">
        <f t="array" ref="AJ55">IsPurple('Large Dataset'!O55)</f>
        <v>0</v>
      </c>
      <c r="AK55" t="b" cm="1">
        <f t="array" ref="AK55">IsGreen('Large Dataset'!O55)</f>
        <v>0</v>
      </c>
      <c r="AR55" t="b" cm="1">
        <f t="array" ref="AR55">IsRed('Large Dataset'!Q55)</f>
        <v>0</v>
      </c>
      <c r="AS55" t="b" cm="1">
        <f t="array" ref="AS55">IsBlue('Large Dataset'!Q55)</f>
        <v>0</v>
      </c>
      <c r="AT55" t="b" cm="1">
        <f t="array" ref="AT55">IsPurple('Large Dataset'!Q55)</f>
        <v>0</v>
      </c>
      <c r="AU55" t="b" cm="1">
        <f t="array" ref="AU55">IsGreen('Large Dataset'!Q55)</f>
        <v>0</v>
      </c>
      <c r="BA55" t="b" cm="1">
        <f t="array" ref="BA55">IsRed('Large Dataset'!R55)</f>
        <v>1</v>
      </c>
      <c r="BB55" t="b" cm="1">
        <f t="array" ref="BB55">IsBlue('Large Dataset'!R55)</f>
        <v>0</v>
      </c>
      <c r="BC55" t="b" cm="1">
        <f t="array" ref="BC55">IsPurple('Large Dataset'!R55)</f>
        <v>0</v>
      </c>
      <c r="BD55" t="b" cm="1">
        <f t="array" ref="BD55">IsGreen('Large Dataset'!R55)</f>
        <v>0</v>
      </c>
      <c r="BJ55" t="b" cm="1">
        <f t="array" ref="BJ55">IsRed('Large Dataset'!T55)</f>
        <v>0</v>
      </c>
      <c r="BK55" t="b" cm="1">
        <f t="array" ref="BK55">IsBlue('Large Dataset'!T55)</f>
        <v>0</v>
      </c>
      <c r="BL55" t="b" cm="1">
        <f t="array" ref="BL55">IsPurple('Large Dataset'!T55)</f>
        <v>0</v>
      </c>
      <c r="BM55" t="b" cm="1">
        <f t="array" ref="BM55">IsGreen('Large Dataset'!T55)</f>
        <v>0</v>
      </c>
      <c r="BS55" t="b" cm="1">
        <f t="array" ref="BS55">IsRed('Large Dataset'!U55)</f>
        <v>1</v>
      </c>
      <c r="BT55" t="b" cm="1">
        <f t="array" ref="BT55">IsBlue('Large Dataset'!U55)</f>
        <v>0</v>
      </c>
      <c r="BU55" t="b" cm="1">
        <f t="array" ref="BU55">IsPurple('Large Dataset'!U55)</f>
        <v>0</v>
      </c>
      <c r="BV55" t="b" cm="1">
        <f t="array" ref="BV55">IsGreen('Large Dataset'!U55)</f>
        <v>0</v>
      </c>
    </row>
    <row r="56" spans="7:74">
      <c r="G56" t="b" cm="1">
        <f t="array" ref="G56">IsRed('Large Dataset'!I56)</f>
        <v>0</v>
      </c>
      <c r="H56" t="b" cm="1">
        <f t="array" ref="H56">IsBlue('Large Dataset'!I56)</f>
        <v>0</v>
      </c>
      <c r="I56" t="b" cm="1">
        <f t="array" ref="I56">IsPurple('Large Dataset'!I56)</f>
        <v>0</v>
      </c>
      <c r="J56" t="b" cm="1">
        <f t="array" ref="J56">IsGreen('Large Dataset'!G56)</f>
        <v>0</v>
      </c>
      <c r="P56" t="b" cm="1">
        <f t="array" ref="P56">IsRed('Large Dataset'!K56)</f>
        <v>0</v>
      </c>
      <c r="Q56" t="b" cm="1">
        <f t="array" ref="Q56">IsBlue('Large Dataset'!K56)</f>
        <v>0</v>
      </c>
      <c r="R56" t="b" cm="1">
        <f t="array" ref="R56">IsPurple('Large Dataset'!K56)</f>
        <v>0</v>
      </c>
      <c r="S56" t="b" cm="1">
        <f t="array" ref="S56">IsGreen('Large Dataset'!K56)</f>
        <v>0</v>
      </c>
      <c r="Y56" t="b" cm="1">
        <f t="array" ref="Y56">IsRed('Large Dataset'!M56)</f>
        <v>0</v>
      </c>
      <c r="Z56" t="b" cm="1">
        <f t="array" ref="Z56">IsBlue('Large Dataset'!M56)</f>
        <v>0</v>
      </c>
      <c r="AA56" t="b" cm="1">
        <f t="array" ref="AA56">IsPurple('Large Dataset'!M56)</f>
        <v>0</v>
      </c>
      <c r="AB56" t="b" cm="1">
        <f t="array" ref="AB56">IsGreen('Large Dataset'!M56)</f>
        <v>0</v>
      </c>
      <c r="AH56" t="b" cm="1">
        <f t="array" ref="AH56">IsRed('Large Dataset'!O56)</f>
        <v>1</v>
      </c>
      <c r="AI56" t="b" cm="1">
        <f t="array" ref="AI56">IsBlue('Large Dataset'!O56)</f>
        <v>0</v>
      </c>
      <c r="AJ56" t="b" cm="1">
        <f t="array" ref="AJ56">IsPurple('Large Dataset'!O56)</f>
        <v>0</v>
      </c>
      <c r="AK56" t="b" cm="1">
        <f t="array" ref="AK56">IsGreen('Large Dataset'!O56)</f>
        <v>0</v>
      </c>
      <c r="AR56" t="b" cm="1">
        <f t="array" ref="AR56">IsRed('Large Dataset'!Q56)</f>
        <v>0</v>
      </c>
      <c r="AS56" t="b" cm="1">
        <f t="array" ref="AS56">IsBlue('Large Dataset'!Q56)</f>
        <v>0</v>
      </c>
      <c r="AT56" t="b" cm="1">
        <f t="array" ref="AT56">IsPurple('Large Dataset'!Q56)</f>
        <v>0</v>
      </c>
      <c r="AU56" t="b" cm="1">
        <f t="array" ref="AU56">IsGreen('Large Dataset'!Q56)</f>
        <v>0</v>
      </c>
      <c r="BA56" t="b" cm="1">
        <f t="array" ref="BA56">IsRed('Large Dataset'!R56)</f>
        <v>1</v>
      </c>
      <c r="BB56" t="b" cm="1">
        <f t="array" ref="BB56">IsBlue('Large Dataset'!R56)</f>
        <v>0</v>
      </c>
      <c r="BC56" t="b" cm="1">
        <f t="array" ref="BC56">IsPurple('Large Dataset'!R56)</f>
        <v>0</v>
      </c>
      <c r="BD56" t="b" cm="1">
        <f t="array" ref="BD56">IsGreen('Large Dataset'!R56)</f>
        <v>0</v>
      </c>
      <c r="BJ56" t="b" cm="1">
        <f t="array" ref="BJ56">IsRed('Large Dataset'!T56)</f>
        <v>0</v>
      </c>
      <c r="BK56" t="b" cm="1">
        <f t="array" ref="BK56">IsBlue('Large Dataset'!T56)</f>
        <v>0</v>
      </c>
      <c r="BL56" t="b" cm="1">
        <f t="array" ref="BL56">IsPurple('Large Dataset'!T56)</f>
        <v>0</v>
      </c>
      <c r="BM56" t="b" cm="1">
        <f t="array" ref="BM56">IsGreen('Large Dataset'!T56)</f>
        <v>0</v>
      </c>
      <c r="BS56" t="b" cm="1">
        <f t="array" ref="BS56">IsRed('Large Dataset'!U56)</f>
        <v>1</v>
      </c>
      <c r="BT56" t="b" cm="1">
        <f t="array" ref="BT56">IsBlue('Large Dataset'!U56)</f>
        <v>0</v>
      </c>
      <c r="BU56" t="b" cm="1">
        <f t="array" ref="BU56">IsPurple('Large Dataset'!U56)</f>
        <v>0</v>
      </c>
      <c r="BV56" t="b" cm="1">
        <f t="array" ref="BV56">IsGreen('Large Dataset'!U56)</f>
        <v>0</v>
      </c>
    </row>
    <row r="57" spans="7:74">
      <c r="G57" t="b" cm="1">
        <f t="array" ref="G57">IsRed('Large Dataset'!I57)</f>
        <v>1</v>
      </c>
      <c r="H57" t="b" cm="1">
        <f t="array" ref="H57">IsBlue('Large Dataset'!I57)</f>
        <v>0</v>
      </c>
      <c r="I57" t="b" cm="1">
        <f t="array" ref="I57">IsPurple('Large Dataset'!I57)</f>
        <v>0</v>
      </c>
      <c r="J57" t="b" cm="1">
        <f t="array" ref="J57">IsGreen('Large Dataset'!G57)</f>
        <v>0</v>
      </c>
      <c r="P57" t="b" cm="1">
        <f t="array" ref="P57">IsRed('Large Dataset'!K57)</f>
        <v>1</v>
      </c>
      <c r="Q57" t="b" cm="1">
        <f t="array" ref="Q57">IsBlue('Large Dataset'!K57)</f>
        <v>0</v>
      </c>
      <c r="R57" t="b" cm="1">
        <f t="array" ref="R57">IsPurple('Large Dataset'!K57)</f>
        <v>0</v>
      </c>
      <c r="S57" t="b" cm="1">
        <f t="array" ref="S57">IsGreen('Large Dataset'!K57)</f>
        <v>0</v>
      </c>
      <c r="Y57" t="b" cm="1">
        <f t="array" ref="Y57">IsRed('Large Dataset'!M57)</f>
        <v>0</v>
      </c>
      <c r="Z57" t="b" cm="1">
        <f t="array" ref="Z57">IsBlue('Large Dataset'!M57)</f>
        <v>1</v>
      </c>
      <c r="AA57" t="b" cm="1">
        <f t="array" ref="AA57">IsPurple('Large Dataset'!M57)</f>
        <v>0</v>
      </c>
      <c r="AB57" t="b" cm="1">
        <f t="array" ref="AB57">IsGreen('Large Dataset'!M57)</f>
        <v>0</v>
      </c>
      <c r="AH57" t="b" cm="1">
        <f t="array" ref="AH57">IsRed('Large Dataset'!O57)</f>
        <v>0</v>
      </c>
      <c r="AI57" t="b" cm="1">
        <f t="array" ref="AI57">IsBlue('Large Dataset'!O57)</f>
        <v>1</v>
      </c>
      <c r="AJ57" t="b" cm="1">
        <f t="array" ref="AJ57">IsPurple('Large Dataset'!O57)</f>
        <v>0</v>
      </c>
      <c r="AK57" t="b" cm="1">
        <f t="array" ref="AK57">IsGreen('Large Dataset'!O57)</f>
        <v>0</v>
      </c>
      <c r="AR57" t="b" cm="1">
        <f t="array" ref="AR57">IsRed('Large Dataset'!Q57)</f>
        <v>0</v>
      </c>
      <c r="AS57" t="b" cm="1">
        <f t="array" ref="AS57">IsBlue('Large Dataset'!Q57)</f>
        <v>0</v>
      </c>
      <c r="AT57" t="b" cm="1">
        <f t="array" ref="AT57">IsPurple('Large Dataset'!Q57)</f>
        <v>1</v>
      </c>
      <c r="AU57" t="b" cm="1">
        <f t="array" ref="AU57">IsGreen('Large Dataset'!Q57)</f>
        <v>0</v>
      </c>
      <c r="BA57" t="b" cm="1">
        <f t="array" ref="BA57">IsRed('Large Dataset'!R57)</f>
        <v>1</v>
      </c>
      <c r="BB57" t="b" cm="1">
        <f t="array" ref="BB57">IsBlue('Large Dataset'!R57)</f>
        <v>0</v>
      </c>
      <c r="BC57" t="b" cm="1">
        <f t="array" ref="BC57">IsPurple('Large Dataset'!R57)</f>
        <v>0</v>
      </c>
      <c r="BD57" t="b" cm="1">
        <f t="array" ref="BD57">IsGreen('Large Dataset'!R57)</f>
        <v>0</v>
      </c>
      <c r="BJ57" t="b" cm="1">
        <f t="array" ref="BJ57">IsRed('Large Dataset'!T57)</f>
        <v>0</v>
      </c>
      <c r="BK57" t="b" cm="1">
        <f t="array" ref="BK57">IsBlue('Large Dataset'!T57)</f>
        <v>0</v>
      </c>
      <c r="BL57" t="b" cm="1">
        <f t="array" ref="BL57">IsPurple('Large Dataset'!T57)</f>
        <v>0</v>
      </c>
      <c r="BM57" t="b" cm="1">
        <f t="array" ref="BM57">IsGreen('Large Dataset'!T57)</f>
        <v>0</v>
      </c>
      <c r="BS57" t="b" cm="1">
        <f t="array" ref="BS57">IsRed('Large Dataset'!U57)</f>
        <v>0</v>
      </c>
      <c r="BT57" t="b" cm="1">
        <f t="array" ref="BT57">IsBlue('Large Dataset'!U57)</f>
        <v>0</v>
      </c>
      <c r="BU57" t="b" cm="1">
        <f t="array" ref="BU57">IsPurple('Large Dataset'!U57)</f>
        <v>0</v>
      </c>
      <c r="BV57" t="b" cm="1">
        <f t="array" ref="BV57">IsGreen('Large Dataset'!U57)</f>
        <v>0</v>
      </c>
    </row>
    <row r="58" spans="7:74">
      <c r="G58" t="b" cm="1">
        <f t="array" ref="G58">IsRed('Large Dataset'!I58)</f>
        <v>0</v>
      </c>
      <c r="H58" t="b" cm="1">
        <f t="array" ref="H58">IsBlue('Large Dataset'!I58)</f>
        <v>0</v>
      </c>
      <c r="I58" t="b" cm="1">
        <f t="array" ref="I58">IsPurple('Large Dataset'!I58)</f>
        <v>1</v>
      </c>
      <c r="J58" t="b" cm="1">
        <f t="array" ref="J58">IsGreen('Large Dataset'!G58)</f>
        <v>0</v>
      </c>
      <c r="P58" t="b" cm="1">
        <f t="array" ref="P58">IsRed('Large Dataset'!K58)</f>
        <v>1</v>
      </c>
      <c r="Q58" t="b" cm="1">
        <f t="array" ref="Q58">IsBlue('Large Dataset'!K58)</f>
        <v>0</v>
      </c>
      <c r="R58" t="b" cm="1">
        <f t="array" ref="R58">IsPurple('Large Dataset'!K58)</f>
        <v>0</v>
      </c>
      <c r="S58" t="b" cm="1">
        <f t="array" ref="S58">IsGreen('Large Dataset'!K58)</f>
        <v>0</v>
      </c>
      <c r="Y58" t="b" cm="1">
        <f t="array" ref="Y58">IsRed('Large Dataset'!M58)</f>
        <v>1</v>
      </c>
      <c r="Z58" t="b" cm="1">
        <f t="array" ref="Z58">IsBlue('Large Dataset'!M58)</f>
        <v>0</v>
      </c>
      <c r="AA58" t="b" cm="1">
        <f t="array" ref="AA58">IsPurple('Large Dataset'!M58)</f>
        <v>0</v>
      </c>
      <c r="AB58" t="b" cm="1">
        <f t="array" ref="AB58">IsGreen('Large Dataset'!M58)</f>
        <v>0</v>
      </c>
      <c r="AH58" t="b" cm="1">
        <f t="array" ref="AH58">IsRed('Large Dataset'!O58)</f>
        <v>0</v>
      </c>
      <c r="AI58" t="b" cm="1">
        <f t="array" ref="AI58">IsBlue('Large Dataset'!O58)</f>
        <v>1</v>
      </c>
      <c r="AJ58" t="b" cm="1">
        <f t="array" ref="AJ58">IsPurple('Large Dataset'!O58)</f>
        <v>0</v>
      </c>
      <c r="AK58" t="b" cm="1">
        <f t="array" ref="AK58">IsGreen('Large Dataset'!O58)</f>
        <v>0</v>
      </c>
      <c r="AR58" t="b" cm="1">
        <f t="array" ref="AR58">IsRed('Large Dataset'!Q58)</f>
        <v>0</v>
      </c>
      <c r="AS58" t="b" cm="1">
        <f t="array" ref="AS58">IsBlue('Large Dataset'!Q58)</f>
        <v>0</v>
      </c>
      <c r="AT58" t="b" cm="1">
        <f t="array" ref="AT58">IsPurple('Large Dataset'!Q58)</f>
        <v>0</v>
      </c>
      <c r="AU58" t="b" cm="1">
        <f t="array" ref="AU58">IsGreen('Large Dataset'!Q58)</f>
        <v>0</v>
      </c>
      <c r="BA58" t="b" cm="1">
        <f t="array" ref="BA58">IsRed('Large Dataset'!R58)</f>
        <v>0</v>
      </c>
      <c r="BB58" t="b" cm="1">
        <f t="array" ref="BB58">IsBlue('Large Dataset'!R58)</f>
        <v>0</v>
      </c>
      <c r="BC58" t="b" cm="1">
        <f t="array" ref="BC58">IsPurple('Large Dataset'!R58)</f>
        <v>1</v>
      </c>
      <c r="BD58" t="b" cm="1">
        <f t="array" ref="BD58">IsGreen('Large Dataset'!R58)</f>
        <v>0</v>
      </c>
      <c r="BJ58" t="b" cm="1">
        <f t="array" ref="BJ58">IsRed('Large Dataset'!T58)</f>
        <v>0</v>
      </c>
      <c r="BK58" t="b" cm="1">
        <f t="array" ref="BK58">IsBlue('Large Dataset'!T58)</f>
        <v>0</v>
      </c>
      <c r="BL58" t="b" cm="1">
        <f t="array" ref="BL58">IsPurple('Large Dataset'!T58)</f>
        <v>0</v>
      </c>
      <c r="BM58" t="b" cm="1">
        <f t="array" ref="BM58">IsGreen('Large Dataset'!T58)</f>
        <v>0</v>
      </c>
      <c r="BS58" t="b" cm="1">
        <f t="array" ref="BS58">IsRed('Large Dataset'!U58)</f>
        <v>0</v>
      </c>
      <c r="BT58" t="b" cm="1">
        <f t="array" ref="BT58">IsBlue('Large Dataset'!U58)</f>
        <v>0</v>
      </c>
      <c r="BU58" t="b" cm="1">
        <f t="array" ref="BU58">IsPurple('Large Dataset'!U58)</f>
        <v>0</v>
      </c>
      <c r="BV58" t="b" cm="1">
        <f t="array" ref="BV58">IsGreen('Large Dataset'!U58)</f>
        <v>0</v>
      </c>
    </row>
    <row r="59" spans="7:74">
      <c r="G59" t="b" cm="1">
        <f t="array" ref="G59">IsRed('Large Dataset'!I59)</f>
        <v>0</v>
      </c>
      <c r="H59" t="b" cm="1">
        <f t="array" ref="H59">IsBlue('Large Dataset'!I59)</f>
        <v>1</v>
      </c>
      <c r="I59" t="b" cm="1">
        <f t="array" ref="I59">IsPurple('Large Dataset'!I59)</f>
        <v>0</v>
      </c>
      <c r="J59" t="b" cm="1">
        <f t="array" ref="J59">IsGreen('Large Dataset'!G59)</f>
        <v>0</v>
      </c>
      <c r="P59" t="b" cm="1">
        <f t="array" ref="P59">IsRed('Large Dataset'!K59)</f>
        <v>0</v>
      </c>
      <c r="Q59" t="b" cm="1">
        <f t="array" ref="Q59">IsBlue('Large Dataset'!K59)</f>
        <v>1</v>
      </c>
      <c r="R59" t="b" cm="1">
        <f t="array" ref="R59">IsPurple('Large Dataset'!K59)</f>
        <v>0</v>
      </c>
      <c r="S59" t="b" cm="1">
        <f t="array" ref="S59">IsGreen('Large Dataset'!K59)</f>
        <v>0</v>
      </c>
      <c r="Y59" t="b" cm="1">
        <f t="array" ref="Y59">IsRed('Large Dataset'!M59)</f>
        <v>0</v>
      </c>
      <c r="Z59" t="b" cm="1">
        <f t="array" ref="Z59">IsBlue('Large Dataset'!M59)</f>
        <v>0</v>
      </c>
      <c r="AA59" t="b" cm="1">
        <f t="array" ref="AA59">IsPurple('Large Dataset'!M59)</f>
        <v>0</v>
      </c>
      <c r="AB59" t="b" cm="1">
        <f t="array" ref="AB59">IsGreen('Large Dataset'!M59)</f>
        <v>0</v>
      </c>
      <c r="AH59" t="b" cm="1">
        <f t="array" ref="AH59">IsRed('Large Dataset'!O59)</f>
        <v>1</v>
      </c>
      <c r="AI59" t="b" cm="1">
        <f t="array" ref="AI59">IsBlue('Large Dataset'!O59)</f>
        <v>0</v>
      </c>
      <c r="AJ59" t="b" cm="1">
        <f t="array" ref="AJ59">IsPurple('Large Dataset'!O59)</f>
        <v>0</v>
      </c>
      <c r="AK59" t="b" cm="1">
        <f t="array" ref="AK59">IsGreen('Large Dataset'!O59)</f>
        <v>0</v>
      </c>
      <c r="AR59" t="b" cm="1">
        <f t="array" ref="AR59">IsRed('Large Dataset'!Q59)</f>
        <v>0</v>
      </c>
      <c r="AS59" t="b" cm="1">
        <f t="array" ref="AS59">IsBlue('Large Dataset'!Q59)</f>
        <v>0</v>
      </c>
      <c r="AT59" t="b" cm="1">
        <f t="array" ref="AT59">IsPurple('Large Dataset'!Q59)</f>
        <v>0</v>
      </c>
      <c r="AU59" t="b" cm="1">
        <f t="array" ref="AU59">IsGreen('Large Dataset'!Q59)</f>
        <v>0</v>
      </c>
      <c r="BA59" t="b" cm="1">
        <f t="array" ref="BA59">IsRed('Large Dataset'!R59)</f>
        <v>0</v>
      </c>
      <c r="BB59" t="b" cm="1">
        <f t="array" ref="BB59">IsBlue('Large Dataset'!R59)</f>
        <v>0</v>
      </c>
      <c r="BC59" t="b" cm="1">
        <f t="array" ref="BC59">IsPurple('Large Dataset'!R59)</f>
        <v>0</v>
      </c>
      <c r="BD59" t="b" cm="1">
        <f t="array" ref="BD59">IsGreen('Large Dataset'!R59)</f>
        <v>0</v>
      </c>
      <c r="BJ59" t="b" cm="1">
        <f t="array" ref="BJ59">IsRed('Large Dataset'!T59)</f>
        <v>0</v>
      </c>
      <c r="BK59" t="b" cm="1">
        <f t="array" ref="BK59">IsBlue('Large Dataset'!T59)</f>
        <v>0</v>
      </c>
      <c r="BL59" t="b" cm="1">
        <f t="array" ref="BL59">IsPurple('Large Dataset'!T59)</f>
        <v>0</v>
      </c>
      <c r="BM59" t="b" cm="1">
        <f t="array" ref="BM59">IsGreen('Large Dataset'!T59)</f>
        <v>0</v>
      </c>
      <c r="BS59" t="b" cm="1">
        <f t="array" ref="BS59">IsRed('Large Dataset'!U59)</f>
        <v>0</v>
      </c>
      <c r="BT59" t="b" cm="1">
        <f t="array" ref="BT59">IsBlue('Large Dataset'!U59)</f>
        <v>0</v>
      </c>
      <c r="BU59" t="b" cm="1">
        <f t="array" ref="BU59">IsPurple('Large Dataset'!U59)</f>
        <v>0</v>
      </c>
      <c r="BV59" t="b" cm="1">
        <f t="array" ref="BV59">IsGreen('Large Dataset'!U59)</f>
        <v>0</v>
      </c>
    </row>
    <row r="60" spans="7:74">
      <c r="G60" t="b" cm="1">
        <f t="array" ref="G60">IsRed('Large Dataset'!I60)</f>
        <v>0</v>
      </c>
      <c r="H60" t="b" cm="1">
        <f t="array" ref="H60">IsBlue('Large Dataset'!I60)</f>
        <v>0</v>
      </c>
      <c r="I60" t="b" cm="1">
        <f t="array" ref="I60">IsPurple('Large Dataset'!I60)</f>
        <v>0</v>
      </c>
      <c r="J60" t="b" cm="1">
        <f t="array" ref="J60">IsGreen('Large Dataset'!G60)</f>
        <v>0</v>
      </c>
      <c r="P60" t="b" cm="1">
        <f t="array" ref="P60">IsRed('Large Dataset'!K60)</f>
        <v>1</v>
      </c>
      <c r="Q60" t="b" cm="1">
        <f t="array" ref="Q60">IsBlue('Large Dataset'!K60)</f>
        <v>0</v>
      </c>
      <c r="R60" t="b" cm="1">
        <f t="array" ref="R60">IsPurple('Large Dataset'!K60)</f>
        <v>0</v>
      </c>
      <c r="S60" t="b" cm="1">
        <f t="array" ref="S60">IsGreen('Large Dataset'!K60)</f>
        <v>0</v>
      </c>
      <c r="Y60" t="b" cm="1">
        <f t="array" ref="Y60">IsRed('Large Dataset'!M60)</f>
        <v>0</v>
      </c>
      <c r="Z60" t="b" cm="1">
        <f t="array" ref="Z60">IsBlue('Large Dataset'!M60)</f>
        <v>0</v>
      </c>
      <c r="AA60" t="b" cm="1">
        <f t="array" ref="AA60">IsPurple('Large Dataset'!M60)</f>
        <v>0</v>
      </c>
      <c r="AB60" t="b" cm="1">
        <f t="array" ref="AB60">IsGreen('Large Dataset'!M60)</f>
        <v>0</v>
      </c>
      <c r="AH60" t="b" cm="1">
        <f t="array" ref="AH60">IsRed('Large Dataset'!O60)</f>
        <v>0</v>
      </c>
      <c r="AI60" t="b" cm="1">
        <f t="array" ref="AI60">IsBlue('Large Dataset'!O60)</f>
        <v>1</v>
      </c>
      <c r="AJ60" t="b" cm="1">
        <f t="array" ref="AJ60">IsPurple('Large Dataset'!O60)</f>
        <v>0</v>
      </c>
      <c r="AK60" t="b" cm="1">
        <f t="array" ref="AK60">IsGreen('Large Dataset'!O60)</f>
        <v>0</v>
      </c>
      <c r="AR60" t="b" cm="1">
        <f t="array" ref="AR60">IsRed('Large Dataset'!Q60)</f>
        <v>0</v>
      </c>
      <c r="AS60" t="b" cm="1">
        <f t="array" ref="AS60">IsBlue('Large Dataset'!Q60)</f>
        <v>0</v>
      </c>
      <c r="AT60" t="b" cm="1">
        <f t="array" ref="AT60">IsPurple('Large Dataset'!Q60)</f>
        <v>0</v>
      </c>
      <c r="AU60" t="b" cm="1">
        <f t="array" ref="AU60">IsGreen('Large Dataset'!Q60)</f>
        <v>0</v>
      </c>
      <c r="BA60" t="b" cm="1">
        <f t="array" ref="BA60">IsRed('Large Dataset'!R60)</f>
        <v>0</v>
      </c>
      <c r="BB60" t="b" cm="1">
        <f t="array" ref="BB60">IsBlue('Large Dataset'!R60)</f>
        <v>0</v>
      </c>
      <c r="BC60" t="b" cm="1">
        <f t="array" ref="BC60">IsPurple('Large Dataset'!R60)</f>
        <v>1</v>
      </c>
      <c r="BD60" t="b" cm="1">
        <f t="array" ref="BD60">IsGreen('Large Dataset'!R60)</f>
        <v>0</v>
      </c>
      <c r="BJ60" t="b" cm="1">
        <f t="array" ref="BJ60">IsRed('Large Dataset'!T60)</f>
        <v>0</v>
      </c>
      <c r="BK60" t="b" cm="1">
        <f t="array" ref="BK60">IsBlue('Large Dataset'!T60)</f>
        <v>0</v>
      </c>
      <c r="BL60" t="b" cm="1">
        <f t="array" ref="BL60">IsPurple('Large Dataset'!T60)</f>
        <v>0</v>
      </c>
      <c r="BM60" t="b" cm="1">
        <f t="array" ref="BM60">IsGreen('Large Dataset'!T60)</f>
        <v>0</v>
      </c>
      <c r="BS60" t="b" cm="1">
        <f t="array" ref="BS60">IsRed('Large Dataset'!U60)</f>
        <v>0</v>
      </c>
      <c r="BT60" t="b" cm="1">
        <f t="array" ref="BT60">IsBlue('Large Dataset'!U60)</f>
        <v>0</v>
      </c>
      <c r="BU60" t="b" cm="1">
        <f t="array" ref="BU60">IsPurple('Large Dataset'!U60)</f>
        <v>0</v>
      </c>
      <c r="BV60" t="b" cm="1">
        <f t="array" ref="BV60">IsGreen('Large Dataset'!U60)</f>
        <v>0</v>
      </c>
    </row>
    <row r="61" spans="7:74">
      <c r="G61" t="b" cm="1">
        <f t="array" ref="G61">IsRed('Large Dataset'!I61)</f>
        <v>0</v>
      </c>
      <c r="H61" t="b" cm="1">
        <f t="array" ref="H61">IsBlue('Large Dataset'!I61)</f>
        <v>0</v>
      </c>
      <c r="I61" t="b" cm="1">
        <f t="array" ref="I61">IsPurple('Large Dataset'!I61)</f>
        <v>0</v>
      </c>
      <c r="J61" t="b" cm="1">
        <f t="array" ref="J61">IsGreen('Large Dataset'!G61)</f>
        <v>0</v>
      </c>
      <c r="P61" t="b" cm="1">
        <f t="array" ref="P61">IsRed('Large Dataset'!K61)</f>
        <v>0</v>
      </c>
      <c r="Q61" t="b" cm="1">
        <f t="array" ref="Q61">IsBlue('Large Dataset'!K61)</f>
        <v>0</v>
      </c>
      <c r="R61" t="b" cm="1">
        <f t="array" ref="R61">IsPurple('Large Dataset'!K61)</f>
        <v>0</v>
      </c>
      <c r="S61" t="b" cm="1">
        <f t="array" ref="S61">IsGreen('Large Dataset'!K61)</f>
        <v>0</v>
      </c>
      <c r="Y61" t="b" cm="1">
        <f t="array" ref="Y61">IsRed('Large Dataset'!M61)</f>
        <v>0</v>
      </c>
      <c r="Z61" t="b" cm="1">
        <f t="array" ref="Z61">IsBlue('Large Dataset'!M61)</f>
        <v>0</v>
      </c>
      <c r="AA61" t="b" cm="1">
        <f t="array" ref="AA61">IsPurple('Large Dataset'!M61)</f>
        <v>0</v>
      </c>
      <c r="AB61" t="b" cm="1">
        <f t="array" ref="AB61">IsGreen('Large Dataset'!M61)</f>
        <v>0</v>
      </c>
      <c r="AH61" t="b" cm="1">
        <f t="array" ref="AH61">IsRed('Large Dataset'!O61)</f>
        <v>0</v>
      </c>
      <c r="AI61" t="b" cm="1">
        <f t="array" ref="AI61">IsBlue('Large Dataset'!O61)</f>
        <v>1</v>
      </c>
      <c r="AJ61" t="b" cm="1">
        <f t="array" ref="AJ61">IsPurple('Large Dataset'!O61)</f>
        <v>0</v>
      </c>
      <c r="AK61" t="b" cm="1">
        <f t="array" ref="AK61">IsGreen('Large Dataset'!O61)</f>
        <v>0</v>
      </c>
      <c r="AR61" t="b" cm="1">
        <f t="array" ref="AR61">IsRed('Large Dataset'!Q61)</f>
        <v>0</v>
      </c>
      <c r="AS61" t="b" cm="1">
        <f t="array" ref="AS61">IsBlue('Large Dataset'!Q61)</f>
        <v>0</v>
      </c>
      <c r="AT61" t="b" cm="1">
        <f t="array" ref="AT61">IsPurple('Large Dataset'!Q61)</f>
        <v>0</v>
      </c>
      <c r="AU61" t="b" cm="1">
        <f t="array" ref="AU61">IsGreen('Large Dataset'!Q61)</f>
        <v>0</v>
      </c>
      <c r="BA61" t="b" cm="1">
        <f t="array" ref="BA61">IsRed('Large Dataset'!R61)</f>
        <v>1</v>
      </c>
      <c r="BB61" t="b" cm="1">
        <f t="array" ref="BB61">IsBlue('Large Dataset'!R61)</f>
        <v>0</v>
      </c>
      <c r="BC61" t="b" cm="1">
        <f t="array" ref="BC61">IsPurple('Large Dataset'!R61)</f>
        <v>0</v>
      </c>
      <c r="BD61" t="b" cm="1">
        <f t="array" ref="BD61">IsGreen('Large Dataset'!R61)</f>
        <v>0</v>
      </c>
      <c r="BJ61" t="b" cm="1">
        <f t="array" ref="BJ61">IsRed('Large Dataset'!T61)</f>
        <v>0</v>
      </c>
      <c r="BK61" t="b" cm="1">
        <f t="array" ref="BK61">IsBlue('Large Dataset'!T61)</f>
        <v>0</v>
      </c>
      <c r="BL61" t="b" cm="1">
        <f t="array" ref="BL61">IsPurple('Large Dataset'!T61)</f>
        <v>0</v>
      </c>
      <c r="BM61" t="b" cm="1">
        <f t="array" ref="BM61">IsGreen('Large Dataset'!T61)</f>
        <v>0</v>
      </c>
      <c r="BS61" t="b" cm="1">
        <f t="array" ref="BS61">IsRed('Large Dataset'!U61)</f>
        <v>0</v>
      </c>
      <c r="BT61" t="b" cm="1">
        <f t="array" ref="BT61">IsBlue('Large Dataset'!U61)</f>
        <v>0</v>
      </c>
      <c r="BU61" t="b" cm="1">
        <f t="array" ref="BU61">IsPurple('Large Dataset'!U61)</f>
        <v>0</v>
      </c>
      <c r="BV61" t="b" cm="1">
        <f t="array" ref="BV61">IsGreen('Large Dataset'!U61)</f>
        <v>0</v>
      </c>
    </row>
    <row r="62" spans="7:74">
      <c r="G62" t="b" cm="1">
        <f t="array" ref="G62">IsRed('Large Dataset'!I62)</f>
        <v>0</v>
      </c>
      <c r="H62" t="b" cm="1">
        <f t="array" ref="H62">IsBlue('Large Dataset'!I62)</f>
        <v>0</v>
      </c>
      <c r="I62" t="b" cm="1">
        <f t="array" ref="I62">IsPurple('Large Dataset'!I62)</f>
        <v>0</v>
      </c>
      <c r="J62" t="b" cm="1">
        <f t="array" ref="J62">IsGreen('Large Dataset'!G62)</f>
        <v>0</v>
      </c>
      <c r="P62" t="b" cm="1">
        <f t="array" ref="P62">IsRed('Large Dataset'!K62)</f>
        <v>0</v>
      </c>
      <c r="Q62" t="b" cm="1">
        <f t="array" ref="Q62">IsBlue('Large Dataset'!K62)</f>
        <v>1</v>
      </c>
      <c r="R62" t="b" cm="1">
        <f t="array" ref="R62">IsPurple('Large Dataset'!K62)</f>
        <v>0</v>
      </c>
      <c r="S62" t="b" cm="1">
        <f t="array" ref="S62">IsGreen('Large Dataset'!K62)</f>
        <v>0</v>
      </c>
      <c r="Y62" t="b" cm="1">
        <f t="array" ref="Y62">IsRed('Large Dataset'!M62)</f>
        <v>1</v>
      </c>
      <c r="Z62" t="b" cm="1">
        <f t="array" ref="Z62">IsBlue('Large Dataset'!M62)</f>
        <v>0</v>
      </c>
      <c r="AA62" t="b" cm="1">
        <f t="array" ref="AA62">IsPurple('Large Dataset'!M62)</f>
        <v>0</v>
      </c>
      <c r="AB62" t="b" cm="1">
        <f t="array" ref="AB62">IsGreen('Large Dataset'!M62)</f>
        <v>0</v>
      </c>
      <c r="AH62" t="b" cm="1">
        <f t="array" ref="AH62">IsRed('Large Dataset'!O62)</f>
        <v>0</v>
      </c>
      <c r="AI62" t="b" cm="1">
        <f t="array" ref="AI62">IsBlue('Large Dataset'!O62)</f>
        <v>1</v>
      </c>
      <c r="AJ62" t="b" cm="1">
        <f t="array" ref="AJ62">IsPurple('Large Dataset'!O62)</f>
        <v>0</v>
      </c>
      <c r="AK62" t="b" cm="1">
        <f t="array" ref="AK62">IsGreen('Large Dataset'!O62)</f>
        <v>0</v>
      </c>
      <c r="AR62" t="b" cm="1">
        <f t="array" ref="AR62">IsRed('Large Dataset'!Q62)</f>
        <v>0</v>
      </c>
      <c r="AS62" t="b" cm="1">
        <f t="array" ref="AS62">IsBlue('Large Dataset'!Q62)</f>
        <v>0</v>
      </c>
      <c r="AT62" t="b" cm="1">
        <f t="array" ref="AT62">IsPurple('Large Dataset'!Q62)</f>
        <v>0</v>
      </c>
      <c r="AU62" t="b" cm="1">
        <f t="array" ref="AU62">IsGreen('Large Dataset'!Q62)</f>
        <v>0</v>
      </c>
      <c r="BA62" t="b" cm="1">
        <f t="array" ref="BA62">IsRed('Large Dataset'!R62)</f>
        <v>1</v>
      </c>
      <c r="BB62" t="b" cm="1">
        <f t="array" ref="BB62">IsBlue('Large Dataset'!R62)</f>
        <v>0</v>
      </c>
      <c r="BC62" t="b" cm="1">
        <f t="array" ref="BC62">IsPurple('Large Dataset'!R62)</f>
        <v>0</v>
      </c>
      <c r="BD62" t="b" cm="1">
        <f t="array" ref="BD62">IsGreen('Large Dataset'!R62)</f>
        <v>0</v>
      </c>
      <c r="BJ62" t="b" cm="1">
        <f t="array" ref="BJ62">IsRed('Large Dataset'!T62)</f>
        <v>0</v>
      </c>
      <c r="BK62" t="b" cm="1">
        <f t="array" ref="BK62">IsBlue('Large Dataset'!T62)</f>
        <v>0</v>
      </c>
      <c r="BL62" t="b" cm="1">
        <f t="array" ref="BL62">IsPurple('Large Dataset'!T62)</f>
        <v>0</v>
      </c>
      <c r="BM62" t="b" cm="1">
        <f t="array" ref="BM62">IsGreen('Large Dataset'!T62)</f>
        <v>0</v>
      </c>
      <c r="BS62" t="b" cm="1">
        <f t="array" ref="BS62">IsRed('Large Dataset'!U62)</f>
        <v>0</v>
      </c>
      <c r="BT62" t="b" cm="1">
        <f t="array" ref="BT62">IsBlue('Large Dataset'!U62)</f>
        <v>0</v>
      </c>
      <c r="BU62" t="b" cm="1">
        <f t="array" ref="BU62">IsPurple('Large Dataset'!U62)</f>
        <v>0</v>
      </c>
      <c r="BV62" t="b" cm="1">
        <f t="array" ref="BV62">IsGreen('Large Dataset'!U62)</f>
        <v>0</v>
      </c>
    </row>
    <row r="63" spans="7:74">
      <c r="G63" t="b" cm="1">
        <f t="array" ref="G63">IsRed('Large Dataset'!I63)</f>
        <v>0</v>
      </c>
      <c r="H63" t="b" cm="1">
        <f t="array" ref="H63">IsBlue('Large Dataset'!I63)</f>
        <v>0</v>
      </c>
      <c r="I63" t="b" cm="1">
        <f t="array" ref="I63">IsPurple('Large Dataset'!I63)</f>
        <v>0</v>
      </c>
      <c r="J63" t="b" cm="1">
        <f t="array" ref="J63">IsGreen('Large Dataset'!G63)</f>
        <v>0</v>
      </c>
      <c r="P63" t="b" cm="1">
        <f t="array" ref="P63">IsRed('Large Dataset'!K63)</f>
        <v>0</v>
      </c>
      <c r="Q63" t="b" cm="1">
        <f t="array" ref="Q63">IsBlue('Large Dataset'!K63)</f>
        <v>0</v>
      </c>
      <c r="R63" t="b" cm="1">
        <f t="array" ref="R63">IsPurple('Large Dataset'!K63)</f>
        <v>0</v>
      </c>
      <c r="S63" t="b" cm="1">
        <f t="array" ref="S63">IsGreen('Large Dataset'!K63)</f>
        <v>0</v>
      </c>
      <c r="Y63" t="b" cm="1">
        <f t="array" ref="Y63">IsRed('Large Dataset'!M63)</f>
        <v>0</v>
      </c>
      <c r="Z63" t="b" cm="1">
        <f t="array" ref="Z63">IsBlue('Large Dataset'!M63)</f>
        <v>0</v>
      </c>
      <c r="AA63" t="b" cm="1">
        <f t="array" ref="AA63">IsPurple('Large Dataset'!M63)</f>
        <v>0</v>
      </c>
      <c r="AB63" t="b" cm="1">
        <f t="array" ref="AB63">IsGreen('Large Dataset'!M63)</f>
        <v>0</v>
      </c>
      <c r="AH63" t="b" cm="1">
        <f t="array" ref="AH63">IsRed('Large Dataset'!O63)</f>
        <v>0</v>
      </c>
      <c r="AI63" t="b" cm="1">
        <f t="array" ref="AI63">IsBlue('Large Dataset'!O63)</f>
        <v>0</v>
      </c>
      <c r="AJ63" t="b" cm="1">
        <f t="array" ref="AJ63">IsPurple('Large Dataset'!O63)</f>
        <v>0</v>
      </c>
      <c r="AK63" t="b" cm="1">
        <f t="array" ref="AK63">IsGreen('Large Dataset'!O63)</f>
        <v>0</v>
      </c>
      <c r="AR63" t="b" cm="1">
        <f t="array" ref="AR63">IsRed('Large Dataset'!Q63)</f>
        <v>0</v>
      </c>
      <c r="AS63" t="b" cm="1">
        <f t="array" ref="AS63">IsBlue('Large Dataset'!Q63)</f>
        <v>0</v>
      </c>
      <c r="AT63" t="b" cm="1">
        <f t="array" ref="AT63">IsPurple('Large Dataset'!Q63)</f>
        <v>0</v>
      </c>
      <c r="AU63" t="b" cm="1">
        <f t="array" ref="AU63">IsGreen('Large Dataset'!Q63)</f>
        <v>0</v>
      </c>
      <c r="BA63" t="b" cm="1">
        <f t="array" ref="BA63">IsRed('Large Dataset'!R63)</f>
        <v>0</v>
      </c>
      <c r="BB63" t="b" cm="1">
        <f t="array" ref="BB63">IsBlue('Large Dataset'!R63)</f>
        <v>0</v>
      </c>
      <c r="BC63" t="b" cm="1">
        <f t="array" ref="BC63">IsPurple('Large Dataset'!R63)</f>
        <v>0</v>
      </c>
      <c r="BD63" t="b" cm="1">
        <f t="array" ref="BD63">IsGreen('Large Dataset'!R63)</f>
        <v>0</v>
      </c>
      <c r="BJ63" t="b" cm="1">
        <f t="array" ref="BJ63">IsRed('Large Dataset'!T63)</f>
        <v>0</v>
      </c>
      <c r="BK63" t="b" cm="1">
        <f t="array" ref="BK63">IsBlue('Large Dataset'!T63)</f>
        <v>0</v>
      </c>
      <c r="BL63" t="b" cm="1">
        <f t="array" ref="BL63">IsPurple('Large Dataset'!T63)</f>
        <v>0</v>
      </c>
      <c r="BM63" t="b" cm="1">
        <f t="array" ref="BM63">IsGreen('Large Dataset'!T63)</f>
        <v>0</v>
      </c>
      <c r="BS63" t="b" cm="1">
        <f t="array" ref="BS63">IsRed('Large Dataset'!U63)</f>
        <v>0</v>
      </c>
      <c r="BT63" t="b" cm="1">
        <f t="array" ref="BT63">IsBlue('Large Dataset'!U63)</f>
        <v>0</v>
      </c>
      <c r="BU63" t="b" cm="1">
        <f t="array" ref="BU63">IsPurple('Large Dataset'!U63)</f>
        <v>0</v>
      </c>
      <c r="BV63" t="b" cm="1">
        <f t="array" ref="BV63">IsGreen('Large Dataset'!U63)</f>
        <v>0</v>
      </c>
    </row>
    <row r="64" spans="7:74">
      <c r="G64" t="b" cm="1">
        <f t="array" ref="G64">IsRed('Large Dataset'!I64)</f>
        <v>0</v>
      </c>
      <c r="H64" t="b" cm="1">
        <f t="array" ref="H64">IsBlue('Large Dataset'!I64)</f>
        <v>0</v>
      </c>
      <c r="I64" t="b" cm="1">
        <f t="array" ref="I64">IsPurple('Large Dataset'!I64)</f>
        <v>0</v>
      </c>
      <c r="J64" t="b" cm="1">
        <f t="array" ref="J64">IsGreen('Large Dataset'!G64)</f>
        <v>0</v>
      </c>
      <c r="P64" t="b" cm="1">
        <f t="array" ref="P64">IsRed('Large Dataset'!K64)</f>
        <v>0</v>
      </c>
      <c r="Q64" t="b" cm="1">
        <f t="array" ref="Q64">IsBlue('Large Dataset'!K64)</f>
        <v>0</v>
      </c>
      <c r="R64" t="b" cm="1">
        <f t="array" ref="R64">IsPurple('Large Dataset'!K64)</f>
        <v>0</v>
      </c>
      <c r="S64" t="b" cm="1">
        <f t="array" ref="S64">IsGreen('Large Dataset'!K64)</f>
        <v>0</v>
      </c>
      <c r="Y64" t="b" cm="1">
        <f t="array" ref="Y64">IsRed('Large Dataset'!M64)</f>
        <v>0</v>
      </c>
      <c r="Z64" t="b" cm="1">
        <f t="array" ref="Z64">IsBlue('Large Dataset'!M64)</f>
        <v>0</v>
      </c>
      <c r="AA64" t="b" cm="1">
        <f t="array" ref="AA64">IsPurple('Large Dataset'!M64)</f>
        <v>0</v>
      </c>
      <c r="AB64" t="b" cm="1">
        <f t="array" ref="AB64">IsGreen('Large Dataset'!M64)</f>
        <v>0</v>
      </c>
      <c r="AH64" t="b" cm="1">
        <f t="array" ref="AH64">IsRed('Large Dataset'!O64)</f>
        <v>0</v>
      </c>
      <c r="AI64" t="b" cm="1">
        <f t="array" ref="AI64">IsBlue('Large Dataset'!O64)</f>
        <v>1</v>
      </c>
      <c r="AJ64" t="b" cm="1">
        <f t="array" ref="AJ64">IsPurple('Large Dataset'!O64)</f>
        <v>0</v>
      </c>
      <c r="AK64" t="b" cm="1">
        <f t="array" ref="AK64">IsGreen('Large Dataset'!O64)</f>
        <v>0</v>
      </c>
      <c r="AR64" t="b" cm="1">
        <f t="array" ref="AR64">IsRed('Large Dataset'!Q64)</f>
        <v>0</v>
      </c>
      <c r="AS64" t="b" cm="1">
        <f t="array" ref="AS64">IsBlue('Large Dataset'!Q64)</f>
        <v>0</v>
      </c>
      <c r="AT64" t="b" cm="1">
        <f t="array" ref="AT64">IsPurple('Large Dataset'!Q64)</f>
        <v>0</v>
      </c>
      <c r="AU64" t="b" cm="1">
        <f t="array" ref="AU64">IsGreen('Large Dataset'!Q64)</f>
        <v>0</v>
      </c>
      <c r="BA64" t="b" cm="1">
        <f t="array" ref="BA64">IsRed('Large Dataset'!R64)</f>
        <v>0</v>
      </c>
      <c r="BB64" t="b" cm="1">
        <f t="array" ref="BB64">IsBlue('Large Dataset'!R64)</f>
        <v>0</v>
      </c>
      <c r="BC64" t="b" cm="1">
        <f t="array" ref="BC64">IsPurple('Large Dataset'!R64)</f>
        <v>0</v>
      </c>
      <c r="BD64" t="b" cm="1">
        <f t="array" ref="BD64">IsGreen('Large Dataset'!R64)</f>
        <v>0</v>
      </c>
      <c r="BJ64" t="b" cm="1">
        <f t="array" ref="BJ64">IsRed('Large Dataset'!T64)</f>
        <v>0</v>
      </c>
      <c r="BK64" t="b" cm="1">
        <f t="array" ref="BK64">IsBlue('Large Dataset'!T64)</f>
        <v>0</v>
      </c>
      <c r="BL64" t="b" cm="1">
        <f t="array" ref="BL64">IsPurple('Large Dataset'!T64)</f>
        <v>0</v>
      </c>
      <c r="BM64" t="b" cm="1">
        <f t="array" ref="BM64">IsGreen('Large Dataset'!T64)</f>
        <v>0</v>
      </c>
      <c r="BS64" t="b" cm="1">
        <f t="array" ref="BS64">IsRed('Large Dataset'!U64)</f>
        <v>0</v>
      </c>
      <c r="BT64" t="b" cm="1">
        <f t="array" ref="BT64">IsBlue('Large Dataset'!U64)</f>
        <v>0</v>
      </c>
      <c r="BU64" t="b" cm="1">
        <f t="array" ref="BU64">IsPurple('Large Dataset'!U64)</f>
        <v>0</v>
      </c>
      <c r="BV64" t="b" cm="1">
        <f t="array" ref="BV64">IsGreen('Large Dataset'!U64)</f>
        <v>0</v>
      </c>
    </row>
    <row r="65" spans="7:74">
      <c r="G65" t="b" cm="1">
        <f t="array" ref="G65">IsRed('Large Dataset'!I65)</f>
        <v>0</v>
      </c>
      <c r="H65" t="b" cm="1">
        <f t="array" ref="H65">IsBlue('Large Dataset'!I65)</f>
        <v>0</v>
      </c>
      <c r="I65" t="b" cm="1">
        <f t="array" ref="I65">IsPurple('Large Dataset'!I65)</f>
        <v>0</v>
      </c>
      <c r="J65" t="b" cm="1">
        <f t="array" ref="J65">IsGreen('Large Dataset'!G65)</f>
        <v>0</v>
      </c>
      <c r="P65" t="b" cm="1">
        <f t="array" ref="P65">IsRed('Large Dataset'!K65)</f>
        <v>0</v>
      </c>
      <c r="Q65" t="b" cm="1">
        <f t="array" ref="Q65">IsBlue('Large Dataset'!K65)</f>
        <v>0</v>
      </c>
      <c r="R65" t="b" cm="1">
        <f t="array" ref="R65">IsPurple('Large Dataset'!K65)</f>
        <v>0</v>
      </c>
      <c r="S65" t="b" cm="1">
        <f t="array" ref="S65">IsGreen('Large Dataset'!K65)</f>
        <v>0</v>
      </c>
      <c r="Y65" t="b" cm="1">
        <f t="array" ref="Y65">IsRed('Large Dataset'!M65)</f>
        <v>0</v>
      </c>
      <c r="Z65" t="b" cm="1">
        <f t="array" ref="Z65">IsBlue('Large Dataset'!M65)</f>
        <v>0</v>
      </c>
      <c r="AA65" t="b" cm="1">
        <f t="array" ref="AA65">IsPurple('Large Dataset'!M65)</f>
        <v>0</v>
      </c>
      <c r="AB65" t="b" cm="1">
        <f t="array" ref="AB65">IsGreen('Large Dataset'!M65)</f>
        <v>0</v>
      </c>
      <c r="AH65" t="b" cm="1">
        <f t="array" ref="AH65">IsRed('Large Dataset'!O65)</f>
        <v>0</v>
      </c>
      <c r="AI65" t="b" cm="1">
        <f t="array" ref="AI65">IsBlue('Large Dataset'!O65)</f>
        <v>0</v>
      </c>
      <c r="AJ65" t="b" cm="1">
        <f t="array" ref="AJ65">IsPurple('Large Dataset'!O65)</f>
        <v>0</v>
      </c>
      <c r="AK65" t="b" cm="1">
        <f t="array" ref="AK65">IsGreen('Large Dataset'!O65)</f>
        <v>0</v>
      </c>
      <c r="AR65" t="b" cm="1">
        <f t="array" ref="AR65">IsRed('Large Dataset'!Q65)</f>
        <v>0</v>
      </c>
      <c r="AS65" t="b" cm="1">
        <f t="array" ref="AS65">IsBlue('Large Dataset'!Q65)</f>
        <v>0</v>
      </c>
      <c r="AT65" t="b" cm="1">
        <f t="array" ref="AT65">IsPurple('Large Dataset'!Q65)</f>
        <v>0</v>
      </c>
      <c r="AU65" t="b" cm="1">
        <f t="array" ref="AU65">IsGreen('Large Dataset'!Q65)</f>
        <v>0</v>
      </c>
      <c r="BA65" t="b" cm="1">
        <f t="array" ref="BA65">IsRed('Large Dataset'!R65)</f>
        <v>0</v>
      </c>
      <c r="BB65" t="b" cm="1">
        <f t="array" ref="BB65">IsBlue('Large Dataset'!R65)</f>
        <v>0</v>
      </c>
      <c r="BC65" t="b" cm="1">
        <f t="array" ref="BC65">IsPurple('Large Dataset'!R65)</f>
        <v>0</v>
      </c>
      <c r="BD65" t="b" cm="1">
        <f t="array" ref="BD65">IsGreen('Large Dataset'!R65)</f>
        <v>0</v>
      </c>
      <c r="BJ65" t="b" cm="1">
        <f t="array" ref="BJ65">IsRed('Large Dataset'!T65)</f>
        <v>0</v>
      </c>
      <c r="BK65" t="b" cm="1">
        <f t="array" ref="BK65">IsBlue('Large Dataset'!T65)</f>
        <v>0</v>
      </c>
      <c r="BL65" t="b" cm="1">
        <f t="array" ref="BL65">IsPurple('Large Dataset'!T65)</f>
        <v>0</v>
      </c>
      <c r="BM65" t="b" cm="1">
        <f t="array" ref="BM65">IsGreen('Large Dataset'!T65)</f>
        <v>0</v>
      </c>
      <c r="BS65" t="b" cm="1">
        <f t="array" ref="BS65">IsRed('Large Dataset'!U65)</f>
        <v>0</v>
      </c>
      <c r="BT65" t="b" cm="1">
        <f t="array" ref="BT65">IsBlue('Large Dataset'!U65)</f>
        <v>0</v>
      </c>
      <c r="BU65" t="b" cm="1">
        <f t="array" ref="BU65">IsPurple('Large Dataset'!U65)</f>
        <v>0</v>
      </c>
      <c r="BV65" t="b" cm="1">
        <f t="array" ref="BV65">IsGreen('Large Dataset'!U65)</f>
        <v>0</v>
      </c>
    </row>
    <row r="66" spans="7:74">
      <c r="G66" t="b" cm="1">
        <f t="array" ref="G66">IsRed('Large Dataset'!I66)</f>
        <v>0</v>
      </c>
      <c r="H66" t="b" cm="1">
        <f t="array" ref="H66">IsBlue('Large Dataset'!I66)</f>
        <v>0</v>
      </c>
      <c r="I66" t="b" cm="1">
        <f t="array" ref="I66">IsPurple('Large Dataset'!I66)</f>
        <v>0</v>
      </c>
      <c r="J66" t="b" cm="1">
        <f t="array" ref="J66">IsGreen('Large Dataset'!G66)</f>
        <v>0</v>
      </c>
      <c r="P66" t="b" cm="1">
        <f t="array" ref="P66">IsRed('Large Dataset'!K66)</f>
        <v>0</v>
      </c>
      <c r="Q66" t="b" cm="1">
        <f t="array" ref="Q66">IsBlue('Large Dataset'!K66)</f>
        <v>0</v>
      </c>
      <c r="R66" t="b" cm="1">
        <f t="array" ref="R66">IsPurple('Large Dataset'!K66)</f>
        <v>0</v>
      </c>
      <c r="S66" t="b" cm="1">
        <f t="array" ref="S66">IsGreen('Large Dataset'!K66)</f>
        <v>0</v>
      </c>
      <c r="Y66" t="b" cm="1">
        <f t="array" ref="Y66">IsRed('Large Dataset'!M66)</f>
        <v>0</v>
      </c>
      <c r="Z66" t="b" cm="1">
        <f t="array" ref="Z66">IsBlue('Large Dataset'!M66)</f>
        <v>0</v>
      </c>
      <c r="AA66" t="b" cm="1">
        <f t="array" ref="AA66">IsPurple('Large Dataset'!M66)</f>
        <v>0</v>
      </c>
      <c r="AB66" t="b" cm="1">
        <f t="array" ref="AB66">IsGreen('Large Dataset'!M66)</f>
        <v>0</v>
      </c>
      <c r="AH66" t="b" cm="1">
        <f t="array" ref="AH66">IsRed('Large Dataset'!O66)</f>
        <v>0</v>
      </c>
      <c r="AI66" t="b" cm="1">
        <f t="array" ref="AI66">IsBlue('Large Dataset'!O66)</f>
        <v>0</v>
      </c>
      <c r="AJ66" t="b" cm="1">
        <f t="array" ref="AJ66">IsPurple('Large Dataset'!O66)</f>
        <v>0</v>
      </c>
      <c r="AK66" t="b" cm="1">
        <f t="array" ref="AK66">IsGreen('Large Dataset'!O66)</f>
        <v>0</v>
      </c>
      <c r="AR66" t="b" cm="1">
        <f t="array" ref="AR66">IsRed('Large Dataset'!Q66)</f>
        <v>0</v>
      </c>
      <c r="AS66" t="b" cm="1">
        <f t="array" ref="AS66">IsBlue('Large Dataset'!Q66)</f>
        <v>0</v>
      </c>
      <c r="AT66" t="b" cm="1">
        <f t="array" ref="AT66">IsPurple('Large Dataset'!Q66)</f>
        <v>0</v>
      </c>
      <c r="AU66" t="b" cm="1">
        <f t="array" ref="AU66">IsGreen('Large Dataset'!Q66)</f>
        <v>0</v>
      </c>
      <c r="BA66" t="b" cm="1">
        <f t="array" ref="BA66">IsRed('Large Dataset'!R66)</f>
        <v>0</v>
      </c>
      <c r="BB66" t="b" cm="1">
        <f t="array" ref="BB66">IsBlue('Large Dataset'!R66)</f>
        <v>0</v>
      </c>
      <c r="BC66" t="b" cm="1">
        <f t="array" ref="BC66">IsPurple('Large Dataset'!R66)</f>
        <v>0</v>
      </c>
      <c r="BD66" t="b" cm="1">
        <f t="array" ref="BD66">IsGreen('Large Dataset'!R66)</f>
        <v>0</v>
      </c>
      <c r="BJ66" t="b" cm="1">
        <f t="array" ref="BJ66">IsRed('Large Dataset'!T66)</f>
        <v>0</v>
      </c>
      <c r="BK66" t="b" cm="1">
        <f t="array" ref="BK66">IsBlue('Large Dataset'!T66)</f>
        <v>0</v>
      </c>
      <c r="BL66" t="b" cm="1">
        <f t="array" ref="BL66">IsPurple('Large Dataset'!T66)</f>
        <v>0</v>
      </c>
      <c r="BM66" t="b" cm="1">
        <f t="array" ref="BM66">IsGreen('Large Dataset'!T66)</f>
        <v>0</v>
      </c>
      <c r="BS66" t="b" cm="1">
        <f t="array" ref="BS66">IsRed('Large Dataset'!U66)</f>
        <v>0</v>
      </c>
      <c r="BT66" t="b" cm="1">
        <f t="array" ref="BT66">IsBlue('Large Dataset'!U66)</f>
        <v>0</v>
      </c>
      <c r="BU66" t="b" cm="1">
        <f t="array" ref="BU66">IsPurple('Large Dataset'!U66)</f>
        <v>0</v>
      </c>
      <c r="BV66" t="b" cm="1">
        <f t="array" ref="BV66">IsGreen('Large Dataset'!U66)</f>
        <v>0</v>
      </c>
    </row>
    <row r="67" spans="7:74">
      <c r="G67" t="b" cm="1">
        <f t="array" ref="G67">IsRed('Large Dataset'!I67)</f>
        <v>0</v>
      </c>
      <c r="H67" t="b" cm="1">
        <f t="array" ref="H67">IsBlue('Large Dataset'!I67)</f>
        <v>0</v>
      </c>
      <c r="I67" t="b" cm="1">
        <f t="array" ref="I67">IsPurple('Large Dataset'!I67)</f>
        <v>0</v>
      </c>
      <c r="J67" t="b" cm="1">
        <f t="array" ref="J67">IsGreen('Large Dataset'!G67)</f>
        <v>0</v>
      </c>
      <c r="P67" t="b" cm="1">
        <f t="array" ref="P67">IsRed('Large Dataset'!K67)</f>
        <v>0</v>
      </c>
      <c r="Q67" t="b" cm="1">
        <f t="array" ref="Q67">IsBlue('Large Dataset'!K67)</f>
        <v>0</v>
      </c>
      <c r="R67" t="b" cm="1">
        <f t="array" ref="R67">IsPurple('Large Dataset'!K67)</f>
        <v>0</v>
      </c>
      <c r="S67" t="b" cm="1">
        <f t="array" ref="S67">IsGreen('Large Dataset'!K67)</f>
        <v>0</v>
      </c>
      <c r="Y67" t="b" cm="1">
        <f t="array" ref="Y67">IsRed('Large Dataset'!M67)</f>
        <v>0</v>
      </c>
      <c r="Z67" t="b" cm="1">
        <f t="array" ref="Z67">IsBlue('Large Dataset'!M67)</f>
        <v>0</v>
      </c>
      <c r="AA67" t="b" cm="1">
        <f t="array" ref="AA67">IsPurple('Large Dataset'!M67)</f>
        <v>0</v>
      </c>
      <c r="AB67" t="b" cm="1">
        <f t="array" ref="AB67">IsGreen('Large Dataset'!M67)</f>
        <v>0</v>
      </c>
      <c r="AH67" t="b" cm="1">
        <f t="array" ref="AH67">IsRed('Large Dataset'!O67)</f>
        <v>0</v>
      </c>
      <c r="AI67" t="b" cm="1">
        <f t="array" ref="AI67">IsBlue('Large Dataset'!O67)</f>
        <v>0</v>
      </c>
      <c r="AJ67" t="b" cm="1">
        <f t="array" ref="AJ67">IsPurple('Large Dataset'!O67)</f>
        <v>0</v>
      </c>
      <c r="AK67" t="b" cm="1">
        <f t="array" ref="AK67">IsGreen('Large Dataset'!O67)</f>
        <v>0</v>
      </c>
      <c r="AR67" t="b" cm="1">
        <f t="array" ref="AR67">IsRed('Large Dataset'!Q67)</f>
        <v>0</v>
      </c>
      <c r="AS67" t="b" cm="1">
        <f t="array" ref="AS67">IsBlue('Large Dataset'!Q67)</f>
        <v>0</v>
      </c>
      <c r="AT67" t="b" cm="1">
        <f t="array" ref="AT67">IsPurple('Large Dataset'!Q67)</f>
        <v>0</v>
      </c>
      <c r="AU67" t="b" cm="1">
        <f t="array" ref="AU67">IsGreen('Large Dataset'!Q67)</f>
        <v>0</v>
      </c>
      <c r="BA67" t="b" cm="1">
        <f t="array" ref="BA67">IsRed('Large Dataset'!R67)</f>
        <v>0</v>
      </c>
      <c r="BB67" t="b" cm="1">
        <f t="array" ref="BB67">IsBlue('Large Dataset'!R67)</f>
        <v>0</v>
      </c>
      <c r="BC67" t="b" cm="1">
        <f t="array" ref="BC67">IsPurple('Large Dataset'!R67)</f>
        <v>0</v>
      </c>
      <c r="BD67" t="b" cm="1">
        <f t="array" ref="BD67">IsGreen('Large Dataset'!R67)</f>
        <v>0</v>
      </c>
      <c r="BJ67" t="b" cm="1">
        <f t="array" ref="BJ67">IsRed('Large Dataset'!T67)</f>
        <v>0</v>
      </c>
      <c r="BK67" t="b" cm="1">
        <f t="array" ref="BK67">IsBlue('Large Dataset'!T67)</f>
        <v>0</v>
      </c>
      <c r="BL67" t="b" cm="1">
        <f t="array" ref="BL67">IsPurple('Large Dataset'!T67)</f>
        <v>0</v>
      </c>
      <c r="BM67" t="b" cm="1">
        <f t="array" ref="BM67">IsGreen('Large Dataset'!T67)</f>
        <v>0</v>
      </c>
      <c r="BS67" t="b" cm="1">
        <f t="array" ref="BS67">IsRed('Large Dataset'!U67)</f>
        <v>0</v>
      </c>
      <c r="BT67" t="b" cm="1">
        <f t="array" ref="BT67">IsBlue('Large Dataset'!U67)</f>
        <v>0</v>
      </c>
      <c r="BU67" t="b" cm="1">
        <f t="array" ref="BU67">IsPurple('Large Dataset'!U67)</f>
        <v>0</v>
      </c>
      <c r="BV67" t="b" cm="1">
        <f t="array" ref="BV67">IsGreen('Large Dataset'!U67)</f>
        <v>0</v>
      </c>
    </row>
    <row r="68" spans="7:74">
      <c r="G68" t="b" cm="1">
        <f t="array" ref="G68">IsRed('Large Dataset'!I68)</f>
        <v>0</v>
      </c>
      <c r="H68" t="b" cm="1">
        <f t="array" ref="H68">IsBlue('Large Dataset'!I68)</f>
        <v>0</v>
      </c>
      <c r="I68" t="b" cm="1">
        <f t="array" ref="I68">IsPurple('Large Dataset'!I68)</f>
        <v>0</v>
      </c>
      <c r="J68" t="b" cm="1">
        <f t="array" ref="J68">IsGreen('Large Dataset'!G68)</f>
        <v>0</v>
      </c>
      <c r="P68" t="b" cm="1">
        <f t="array" ref="P68">IsRed('Large Dataset'!K68)</f>
        <v>0</v>
      </c>
      <c r="Q68" t="b" cm="1">
        <f t="array" ref="Q68">IsBlue('Large Dataset'!K68)</f>
        <v>0</v>
      </c>
      <c r="R68" t="b" cm="1">
        <f t="array" ref="R68">IsPurple('Large Dataset'!K68)</f>
        <v>0</v>
      </c>
      <c r="S68" t="b" cm="1">
        <f t="array" ref="S68">IsGreen('Large Dataset'!K68)</f>
        <v>0</v>
      </c>
      <c r="Y68" t="b" cm="1">
        <f t="array" ref="Y68">IsRed('Large Dataset'!M68)</f>
        <v>0</v>
      </c>
      <c r="Z68" t="b" cm="1">
        <f t="array" ref="Z68">IsBlue('Large Dataset'!M68)</f>
        <v>0</v>
      </c>
      <c r="AA68" t="b" cm="1">
        <f t="array" ref="AA68">IsPurple('Large Dataset'!M68)</f>
        <v>0</v>
      </c>
      <c r="AB68" t="b" cm="1">
        <f t="array" ref="AB68">IsGreen('Large Dataset'!M68)</f>
        <v>0</v>
      </c>
      <c r="AH68" t="b" cm="1">
        <f t="array" ref="AH68">IsRed('Large Dataset'!O68)</f>
        <v>0</v>
      </c>
      <c r="AI68" t="b" cm="1">
        <f t="array" ref="AI68">IsBlue('Large Dataset'!O68)</f>
        <v>0</v>
      </c>
      <c r="AJ68" t="b" cm="1">
        <f t="array" ref="AJ68">IsPurple('Large Dataset'!O68)</f>
        <v>0</v>
      </c>
      <c r="AK68" t="b" cm="1">
        <f t="array" ref="AK68">IsGreen('Large Dataset'!O68)</f>
        <v>0</v>
      </c>
      <c r="AR68" t="b" cm="1">
        <f t="array" ref="AR68">IsRed('Large Dataset'!Q68)</f>
        <v>0</v>
      </c>
      <c r="AS68" t="b" cm="1">
        <f t="array" ref="AS68">IsBlue('Large Dataset'!Q68)</f>
        <v>0</v>
      </c>
      <c r="AT68" t="b" cm="1">
        <f t="array" ref="AT68">IsPurple('Large Dataset'!Q68)</f>
        <v>0</v>
      </c>
      <c r="AU68" t="b" cm="1">
        <f t="array" ref="AU68">IsGreen('Large Dataset'!Q68)</f>
        <v>0</v>
      </c>
      <c r="BA68" t="b" cm="1">
        <f t="array" ref="BA68">IsRed('Large Dataset'!R68)</f>
        <v>0</v>
      </c>
      <c r="BB68" t="b" cm="1">
        <f t="array" ref="BB68">IsBlue('Large Dataset'!R68)</f>
        <v>0</v>
      </c>
      <c r="BC68" t="b" cm="1">
        <f t="array" ref="BC68">IsPurple('Large Dataset'!R68)</f>
        <v>0</v>
      </c>
      <c r="BD68" t="b" cm="1">
        <f t="array" ref="BD68">IsGreen('Large Dataset'!R68)</f>
        <v>0</v>
      </c>
      <c r="BJ68" t="b" cm="1">
        <f t="array" ref="BJ68">IsRed('Large Dataset'!T68)</f>
        <v>0</v>
      </c>
      <c r="BK68" t="b" cm="1">
        <f t="array" ref="BK68">IsBlue('Large Dataset'!T68)</f>
        <v>0</v>
      </c>
      <c r="BL68" t="b" cm="1">
        <f t="array" ref="BL68">IsPurple('Large Dataset'!T68)</f>
        <v>0</v>
      </c>
      <c r="BM68" t="b" cm="1">
        <f t="array" ref="BM68">IsGreen('Large Dataset'!T68)</f>
        <v>0</v>
      </c>
      <c r="BS68" t="b" cm="1">
        <f t="array" ref="BS68">IsRed('Large Dataset'!U68)</f>
        <v>0</v>
      </c>
      <c r="BT68" t="b" cm="1">
        <f t="array" ref="BT68">IsBlue('Large Dataset'!U68)</f>
        <v>0</v>
      </c>
      <c r="BU68" t="b" cm="1">
        <f t="array" ref="BU68">IsPurple('Large Dataset'!U68)</f>
        <v>0</v>
      </c>
      <c r="BV68" t="b" cm="1">
        <f t="array" ref="BV68">IsGreen('Large Dataset'!U68)</f>
        <v>0</v>
      </c>
    </row>
    <row r="69" spans="7:74">
      <c r="G69" t="b" cm="1">
        <f t="array" ref="G69">IsRed('Large Dataset'!I69)</f>
        <v>0</v>
      </c>
      <c r="H69" t="b" cm="1">
        <f t="array" ref="H69">IsBlue('Large Dataset'!I69)</f>
        <v>0</v>
      </c>
      <c r="I69" t="b" cm="1">
        <f t="array" ref="I69">IsPurple('Large Dataset'!I69)</f>
        <v>0</v>
      </c>
      <c r="J69" t="b" cm="1">
        <f t="array" ref="J69">IsGreen('Large Dataset'!G69)</f>
        <v>0</v>
      </c>
      <c r="P69" t="b" cm="1">
        <f t="array" ref="P69">IsRed('Large Dataset'!K69)</f>
        <v>0</v>
      </c>
      <c r="Q69" t="b" cm="1">
        <f t="array" ref="Q69">IsBlue('Large Dataset'!K69)</f>
        <v>0</v>
      </c>
      <c r="R69" t="b" cm="1">
        <f t="array" ref="R69">IsPurple('Large Dataset'!K69)</f>
        <v>0</v>
      </c>
      <c r="S69" t="b" cm="1">
        <f t="array" ref="S69">IsGreen('Large Dataset'!K69)</f>
        <v>0</v>
      </c>
      <c r="Y69" t="b" cm="1">
        <f t="array" ref="Y69">IsRed('Large Dataset'!M69)</f>
        <v>0</v>
      </c>
      <c r="Z69" t="b" cm="1">
        <f t="array" ref="Z69">IsBlue('Large Dataset'!M69)</f>
        <v>0</v>
      </c>
      <c r="AA69" t="b" cm="1">
        <f t="array" ref="AA69">IsPurple('Large Dataset'!M69)</f>
        <v>0</v>
      </c>
      <c r="AB69" t="b" cm="1">
        <f t="array" ref="AB69">IsGreen('Large Dataset'!M69)</f>
        <v>0</v>
      </c>
      <c r="AH69" t="b" cm="1">
        <f t="array" ref="AH69">IsRed('Large Dataset'!O69)</f>
        <v>0</v>
      </c>
      <c r="AI69" t="b" cm="1">
        <f t="array" ref="AI69">IsBlue('Large Dataset'!O69)</f>
        <v>1</v>
      </c>
      <c r="AJ69" t="b" cm="1">
        <f t="array" ref="AJ69">IsPurple('Large Dataset'!O69)</f>
        <v>0</v>
      </c>
      <c r="AK69" t="b" cm="1">
        <f t="array" ref="AK69">IsGreen('Large Dataset'!O69)</f>
        <v>0</v>
      </c>
      <c r="AR69" t="b" cm="1">
        <f t="array" ref="AR69">IsRed('Large Dataset'!Q69)</f>
        <v>1</v>
      </c>
      <c r="AS69" t="b" cm="1">
        <f t="array" ref="AS69">IsBlue('Large Dataset'!Q69)</f>
        <v>0</v>
      </c>
      <c r="AT69" t="b" cm="1">
        <f t="array" ref="AT69">IsPurple('Large Dataset'!Q69)</f>
        <v>0</v>
      </c>
      <c r="AU69" t="b" cm="1">
        <f t="array" ref="AU69">IsGreen('Large Dataset'!Q69)</f>
        <v>0</v>
      </c>
      <c r="BA69" t="b" cm="1">
        <f t="array" ref="BA69">IsRed('Large Dataset'!R69)</f>
        <v>1</v>
      </c>
      <c r="BB69" t="b" cm="1">
        <f t="array" ref="BB69">IsBlue('Large Dataset'!R69)</f>
        <v>0</v>
      </c>
      <c r="BC69" t="b" cm="1">
        <f t="array" ref="BC69">IsPurple('Large Dataset'!R69)</f>
        <v>0</v>
      </c>
      <c r="BD69" t="b" cm="1">
        <f t="array" ref="BD69">IsGreen('Large Dataset'!R69)</f>
        <v>0</v>
      </c>
      <c r="BJ69" t="b" cm="1">
        <f t="array" ref="BJ69">IsRed('Large Dataset'!T69)</f>
        <v>0</v>
      </c>
      <c r="BK69" t="b" cm="1">
        <f t="array" ref="BK69">IsBlue('Large Dataset'!T69)</f>
        <v>0</v>
      </c>
      <c r="BL69" t="b" cm="1">
        <f t="array" ref="BL69">IsPurple('Large Dataset'!T69)</f>
        <v>0</v>
      </c>
      <c r="BM69" t="b" cm="1">
        <f t="array" ref="BM69">IsGreen('Large Dataset'!T69)</f>
        <v>0</v>
      </c>
      <c r="BS69" t="b" cm="1">
        <f t="array" ref="BS69">IsRed('Large Dataset'!U69)</f>
        <v>1</v>
      </c>
      <c r="BT69" t="b" cm="1">
        <f t="array" ref="BT69">IsBlue('Large Dataset'!U69)</f>
        <v>0</v>
      </c>
      <c r="BU69" t="b" cm="1">
        <f t="array" ref="BU69">IsPurple('Large Dataset'!U69)</f>
        <v>0</v>
      </c>
      <c r="BV69" t="b" cm="1">
        <f t="array" ref="BV69">IsGreen('Large Dataset'!U69)</f>
        <v>0</v>
      </c>
    </row>
    <row r="70" spans="7:74">
      <c r="G70" t="b" cm="1">
        <f t="array" ref="G70">IsRed('Large Dataset'!I70)</f>
        <v>0</v>
      </c>
      <c r="H70" t="b" cm="1">
        <f t="array" ref="H70">IsBlue('Large Dataset'!I70)</f>
        <v>1</v>
      </c>
      <c r="I70" t="b" cm="1">
        <f t="array" ref="I70">IsPurple('Large Dataset'!I70)</f>
        <v>0</v>
      </c>
      <c r="J70" t="b" cm="1">
        <f t="array" ref="J70">IsGreen('Large Dataset'!G70)</f>
        <v>0</v>
      </c>
      <c r="P70" t="b" cm="1">
        <f t="array" ref="P70">IsRed('Large Dataset'!K70)</f>
        <v>0</v>
      </c>
      <c r="Q70" t="b" cm="1">
        <f t="array" ref="Q70">IsBlue('Large Dataset'!K70)</f>
        <v>0</v>
      </c>
      <c r="R70" t="b" cm="1">
        <f t="array" ref="R70">IsPurple('Large Dataset'!K70)</f>
        <v>0</v>
      </c>
      <c r="S70" t="b" cm="1">
        <f t="array" ref="S70">IsGreen('Large Dataset'!K70)</f>
        <v>0</v>
      </c>
      <c r="Y70" t="b" cm="1">
        <f t="array" ref="Y70">IsRed('Large Dataset'!M70)</f>
        <v>0</v>
      </c>
      <c r="Z70" t="b" cm="1">
        <f t="array" ref="Z70">IsBlue('Large Dataset'!M70)</f>
        <v>0</v>
      </c>
      <c r="AA70" t="b" cm="1">
        <f t="array" ref="AA70">IsPurple('Large Dataset'!M70)</f>
        <v>0</v>
      </c>
      <c r="AB70" t="b" cm="1">
        <f t="array" ref="AB70">IsGreen('Large Dataset'!M70)</f>
        <v>0</v>
      </c>
      <c r="AH70" t="b" cm="1">
        <f t="array" ref="AH70">IsRed('Large Dataset'!O70)</f>
        <v>0</v>
      </c>
      <c r="AI70" t="b" cm="1">
        <f t="array" ref="AI70">IsBlue('Large Dataset'!O70)</f>
        <v>0</v>
      </c>
      <c r="AJ70" t="b" cm="1">
        <f t="array" ref="AJ70">IsPurple('Large Dataset'!O70)</f>
        <v>0</v>
      </c>
      <c r="AK70" t="b" cm="1">
        <f t="array" ref="AK70">IsGreen('Large Dataset'!O70)</f>
        <v>0</v>
      </c>
      <c r="AR70" t="b" cm="1">
        <f t="array" ref="AR70">IsRed('Large Dataset'!Q70)</f>
        <v>1</v>
      </c>
      <c r="AS70" t="b" cm="1">
        <f t="array" ref="AS70">IsBlue('Large Dataset'!Q70)</f>
        <v>0</v>
      </c>
      <c r="AT70" t="b" cm="1">
        <f t="array" ref="AT70">IsPurple('Large Dataset'!Q70)</f>
        <v>0</v>
      </c>
      <c r="AU70" t="b" cm="1">
        <f t="array" ref="AU70">IsGreen('Large Dataset'!Q70)</f>
        <v>0</v>
      </c>
      <c r="BA70" t="b" cm="1">
        <f t="array" ref="BA70">IsRed('Large Dataset'!R70)</f>
        <v>0</v>
      </c>
      <c r="BB70" t="b" cm="1">
        <f t="array" ref="BB70">IsBlue('Large Dataset'!R70)</f>
        <v>0</v>
      </c>
      <c r="BC70" t="b" cm="1">
        <f t="array" ref="BC70">IsPurple('Large Dataset'!R70)</f>
        <v>0</v>
      </c>
      <c r="BD70" t="b" cm="1">
        <f t="array" ref="BD70">IsGreen('Large Dataset'!R70)</f>
        <v>0</v>
      </c>
      <c r="BJ70" t="b" cm="1">
        <f t="array" ref="BJ70">IsRed('Large Dataset'!T70)</f>
        <v>1</v>
      </c>
      <c r="BK70" t="b" cm="1">
        <f t="array" ref="BK70">IsBlue('Large Dataset'!T70)</f>
        <v>0</v>
      </c>
      <c r="BL70" t="b" cm="1">
        <f t="array" ref="BL70">IsPurple('Large Dataset'!T70)</f>
        <v>0</v>
      </c>
      <c r="BM70" t="b" cm="1">
        <f t="array" ref="BM70">IsGreen('Large Dataset'!T70)</f>
        <v>0</v>
      </c>
      <c r="BS70" t="b" cm="1">
        <f t="array" ref="BS70">IsRed('Large Dataset'!U70)</f>
        <v>0</v>
      </c>
      <c r="BT70" t="b" cm="1">
        <f t="array" ref="BT70">IsBlue('Large Dataset'!U70)</f>
        <v>0</v>
      </c>
      <c r="BU70" t="b" cm="1">
        <f t="array" ref="BU70">IsPurple('Large Dataset'!U70)</f>
        <v>0</v>
      </c>
      <c r="BV70" t="b" cm="1">
        <f t="array" ref="BV70">IsGreen('Large Dataset'!U70)</f>
        <v>0</v>
      </c>
    </row>
    <row r="71" spans="7:74">
      <c r="G71" t="b" cm="1">
        <f t="array" ref="G71">IsRed('Large Dataset'!I71)</f>
        <v>1</v>
      </c>
      <c r="H71" t="b" cm="1">
        <f t="array" ref="H71">IsBlue('Large Dataset'!I71)</f>
        <v>0</v>
      </c>
      <c r="I71" t="b" cm="1">
        <f t="array" ref="I71">IsPurple('Large Dataset'!I71)</f>
        <v>0</v>
      </c>
      <c r="J71" t="b" cm="1">
        <f t="array" ref="J71">IsGreen('Large Dataset'!G71)</f>
        <v>0</v>
      </c>
      <c r="P71" t="b" cm="1">
        <f t="array" ref="P71">IsRed('Large Dataset'!K71)</f>
        <v>0</v>
      </c>
      <c r="Q71" t="b" cm="1">
        <f t="array" ref="Q71">IsBlue('Large Dataset'!K71)</f>
        <v>0</v>
      </c>
      <c r="R71" t="b" cm="1">
        <f t="array" ref="R71">IsPurple('Large Dataset'!K71)</f>
        <v>0</v>
      </c>
      <c r="S71" t="b" cm="1">
        <f t="array" ref="S71">IsGreen('Large Dataset'!K71)</f>
        <v>0</v>
      </c>
      <c r="Y71" t="b" cm="1">
        <f t="array" ref="Y71">IsRed('Large Dataset'!M71)</f>
        <v>0</v>
      </c>
      <c r="Z71" t="b" cm="1">
        <f t="array" ref="Z71">IsBlue('Large Dataset'!M71)</f>
        <v>0</v>
      </c>
      <c r="AA71" t="b" cm="1">
        <f t="array" ref="AA71">IsPurple('Large Dataset'!M71)</f>
        <v>0</v>
      </c>
      <c r="AB71" t="b" cm="1">
        <f t="array" ref="AB71">IsGreen('Large Dataset'!M71)</f>
        <v>0</v>
      </c>
      <c r="AH71" t="b" cm="1">
        <f t="array" ref="AH71">IsRed('Large Dataset'!O71)</f>
        <v>0</v>
      </c>
      <c r="AI71" t="b" cm="1">
        <f t="array" ref="AI71">IsBlue('Large Dataset'!O71)</f>
        <v>1</v>
      </c>
      <c r="AJ71" t="b" cm="1">
        <f t="array" ref="AJ71">IsPurple('Large Dataset'!O71)</f>
        <v>0</v>
      </c>
      <c r="AK71" t="b" cm="1">
        <f t="array" ref="AK71">IsGreen('Large Dataset'!O71)</f>
        <v>0</v>
      </c>
      <c r="AR71" t="b" cm="1">
        <f t="array" ref="AR71">IsRed('Large Dataset'!Q71)</f>
        <v>1</v>
      </c>
      <c r="AS71" t="b" cm="1">
        <f t="array" ref="AS71">IsBlue('Large Dataset'!Q71)</f>
        <v>0</v>
      </c>
      <c r="AT71" t="b" cm="1">
        <f t="array" ref="AT71">IsPurple('Large Dataset'!Q71)</f>
        <v>0</v>
      </c>
      <c r="AU71" t="b" cm="1">
        <f t="array" ref="AU71">IsGreen('Large Dataset'!Q71)</f>
        <v>0</v>
      </c>
      <c r="BA71" t="b" cm="1">
        <f t="array" ref="BA71">IsRed('Large Dataset'!R71)</f>
        <v>1</v>
      </c>
      <c r="BB71" t="b" cm="1">
        <f t="array" ref="BB71">IsBlue('Large Dataset'!R71)</f>
        <v>0</v>
      </c>
      <c r="BC71" t="b" cm="1">
        <f t="array" ref="BC71">IsPurple('Large Dataset'!R71)</f>
        <v>0</v>
      </c>
      <c r="BD71" t="b" cm="1">
        <f t="array" ref="BD71">IsGreen('Large Dataset'!R71)</f>
        <v>0</v>
      </c>
      <c r="BJ71" t="b" cm="1">
        <f t="array" ref="BJ71">IsRed('Large Dataset'!T71)</f>
        <v>1</v>
      </c>
      <c r="BK71" t="b" cm="1">
        <f t="array" ref="BK71">IsBlue('Large Dataset'!T71)</f>
        <v>0</v>
      </c>
      <c r="BL71" t="b" cm="1">
        <f t="array" ref="BL71">IsPurple('Large Dataset'!T71)</f>
        <v>0</v>
      </c>
      <c r="BM71" t="b" cm="1">
        <f t="array" ref="BM71">IsGreen('Large Dataset'!T71)</f>
        <v>0</v>
      </c>
      <c r="BS71" t="b" cm="1">
        <f t="array" ref="BS71">IsRed('Large Dataset'!U71)</f>
        <v>0</v>
      </c>
      <c r="BT71" t="b" cm="1">
        <f t="array" ref="BT71">IsBlue('Large Dataset'!U71)</f>
        <v>0</v>
      </c>
      <c r="BU71" t="b" cm="1">
        <f t="array" ref="BU71">IsPurple('Large Dataset'!U71)</f>
        <v>0</v>
      </c>
      <c r="BV71" t="b" cm="1">
        <f t="array" ref="BV71">IsGreen('Large Dataset'!U71)</f>
        <v>0</v>
      </c>
    </row>
    <row r="72" spans="7:74">
      <c r="G72" t="b" cm="1">
        <f t="array" ref="G72">IsRed('Large Dataset'!I72)</f>
        <v>0</v>
      </c>
      <c r="H72" t="b" cm="1">
        <f t="array" ref="H72">IsBlue('Large Dataset'!I72)</f>
        <v>0</v>
      </c>
      <c r="I72" t="b" cm="1">
        <f t="array" ref="I72">IsPurple('Large Dataset'!I72)</f>
        <v>0</v>
      </c>
      <c r="J72" t="b" cm="1">
        <f t="array" ref="J72">IsGreen('Large Dataset'!G72)</f>
        <v>0</v>
      </c>
      <c r="P72" t="b" cm="1">
        <f t="array" ref="P72">IsRed('Large Dataset'!K72)</f>
        <v>0</v>
      </c>
      <c r="Q72" t="b" cm="1">
        <f t="array" ref="Q72">IsBlue('Large Dataset'!K72)</f>
        <v>0</v>
      </c>
      <c r="R72" t="b" cm="1">
        <f t="array" ref="R72">IsPurple('Large Dataset'!K72)</f>
        <v>0</v>
      </c>
      <c r="S72" t="b" cm="1">
        <f t="array" ref="S72">IsGreen('Large Dataset'!K72)</f>
        <v>0</v>
      </c>
      <c r="Y72" t="b" cm="1">
        <f t="array" ref="Y72">IsRed('Large Dataset'!M72)</f>
        <v>0</v>
      </c>
      <c r="Z72" t="b" cm="1">
        <f t="array" ref="Z72">IsBlue('Large Dataset'!M72)</f>
        <v>0</v>
      </c>
      <c r="AA72" t="b" cm="1">
        <f t="array" ref="AA72">IsPurple('Large Dataset'!M72)</f>
        <v>0</v>
      </c>
      <c r="AB72" t="b" cm="1">
        <f t="array" ref="AB72">IsGreen('Large Dataset'!M72)</f>
        <v>0</v>
      </c>
      <c r="AH72" t="b" cm="1">
        <f t="array" ref="AH72">IsRed('Large Dataset'!O72)</f>
        <v>0</v>
      </c>
      <c r="AI72" t="b" cm="1">
        <f t="array" ref="AI72">IsBlue('Large Dataset'!O72)</f>
        <v>1</v>
      </c>
      <c r="AJ72" t="b" cm="1">
        <f t="array" ref="AJ72">IsPurple('Large Dataset'!O72)</f>
        <v>0</v>
      </c>
      <c r="AK72" t="b" cm="1">
        <f t="array" ref="AK72">IsGreen('Large Dataset'!O72)</f>
        <v>0</v>
      </c>
      <c r="AR72" t="b" cm="1">
        <f t="array" ref="AR72">IsRed('Large Dataset'!Q72)</f>
        <v>0</v>
      </c>
      <c r="AS72" t="b" cm="1">
        <f t="array" ref="AS72">IsBlue('Large Dataset'!Q72)</f>
        <v>0</v>
      </c>
      <c r="AT72" t="b" cm="1">
        <f t="array" ref="AT72">IsPurple('Large Dataset'!Q72)</f>
        <v>0</v>
      </c>
      <c r="AU72" t="b" cm="1">
        <f t="array" ref="AU72">IsGreen('Large Dataset'!Q72)</f>
        <v>0</v>
      </c>
      <c r="BA72" t="b" cm="1">
        <f t="array" ref="BA72">IsRed('Large Dataset'!R72)</f>
        <v>1</v>
      </c>
      <c r="BB72" t="b" cm="1">
        <f t="array" ref="BB72">IsBlue('Large Dataset'!R72)</f>
        <v>0</v>
      </c>
      <c r="BC72" t="b" cm="1">
        <f t="array" ref="BC72">IsPurple('Large Dataset'!R72)</f>
        <v>0</v>
      </c>
      <c r="BD72" t="b" cm="1">
        <f t="array" ref="BD72">IsGreen('Large Dataset'!R72)</f>
        <v>0</v>
      </c>
      <c r="BJ72" t="b" cm="1">
        <f t="array" ref="BJ72">IsRed('Large Dataset'!T72)</f>
        <v>0</v>
      </c>
      <c r="BK72" t="b" cm="1">
        <f t="array" ref="BK72">IsBlue('Large Dataset'!T72)</f>
        <v>0</v>
      </c>
      <c r="BL72" t="b" cm="1">
        <f t="array" ref="BL72">IsPurple('Large Dataset'!T72)</f>
        <v>0</v>
      </c>
      <c r="BM72" t="b" cm="1">
        <f t="array" ref="BM72">IsGreen('Large Dataset'!T72)</f>
        <v>0</v>
      </c>
      <c r="BS72" t="b" cm="1">
        <f t="array" ref="BS72">IsRed('Large Dataset'!U72)</f>
        <v>0</v>
      </c>
      <c r="BT72" t="b" cm="1">
        <f t="array" ref="BT72">IsBlue('Large Dataset'!U72)</f>
        <v>1</v>
      </c>
      <c r="BU72" t="b" cm="1">
        <f t="array" ref="BU72">IsPurple('Large Dataset'!U72)</f>
        <v>0</v>
      </c>
      <c r="BV72" t="b" cm="1">
        <f t="array" ref="BV72">IsGreen('Large Dataset'!U72)</f>
        <v>0</v>
      </c>
    </row>
    <row r="73" spans="7:74">
      <c r="G73" t="b" cm="1">
        <f t="array" ref="G73">IsRed('Large Dataset'!I73)</f>
        <v>0</v>
      </c>
      <c r="H73" t="b" cm="1">
        <f t="array" ref="H73">IsBlue('Large Dataset'!I73)</f>
        <v>0</v>
      </c>
      <c r="I73" t="b" cm="1">
        <f t="array" ref="I73">IsPurple('Large Dataset'!I73)</f>
        <v>0</v>
      </c>
      <c r="J73" t="b" cm="1">
        <f t="array" ref="J73">IsGreen('Large Dataset'!G73)</f>
        <v>0</v>
      </c>
      <c r="P73" t="b" cm="1">
        <f t="array" ref="P73">IsRed('Large Dataset'!K73)</f>
        <v>0</v>
      </c>
      <c r="Q73" t="b" cm="1">
        <f t="array" ref="Q73">IsBlue('Large Dataset'!K73)</f>
        <v>0</v>
      </c>
      <c r="R73" t="b" cm="1">
        <f t="array" ref="R73">IsPurple('Large Dataset'!K73)</f>
        <v>0</v>
      </c>
      <c r="S73" t="b" cm="1">
        <f t="array" ref="S73">IsGreen('Large Dataset'!K73)</f>
        <v>0</v>
      </c>
      <c r="Y73" t="b" cm="1">
        <f t="array" ref="Y73">IsRed('Large Dataset'!M73)</f>
        <v>1</v>
      </c>
      <c r="Z73" t="b" cm="1">
        <f t="array" ref="Z73">IsBlue('Large Dataset'!M73)</f>
        <v>0</v>
      </c>
      <c r="AA73" t="b" cm="1">
        <f t="array" ref="AA73">IsPurple('Large Dataset'!M73)</f>
        <v>0</v>
      </c>
      <c r="AB73" t="b" cm="1">
        <f t="array" ref="AB73">IsGreen('Large Dataset'!M73)</f>
        <v>0</v>
      </c>
      <c r="AH73" t="b" cm="1">
        <f t="array" ref="AH73">IsRed('Large Dataset'!O73)</f>
        <v>0</v>
      </c>
      <c r="AI73" t="b" cm="1">
        <f t="array" ref="AI73">IsBlue('Large Dataset'!O73)</f>
        <v>1</v>
      </c>
      <c r="AJ73" t="b" cm="1">
        <f t="array" ref="AJ73">IsPurple('Large Dataset'!O73)</f>
        <v>0</v>
      </c>
      <c r="AK73" t="b" cm="1">
        <f t="array" ref="AK73">IsGreen('Large Dataset'!O73)</f>
        <v>0</v>
      </c>
      <c r="AR73" t="b" cm="1">
        <f t="array" ref="AR73">IsRed('Large Dataset'!Q73)</f>
        <v>1</v>
      </c>
      <c r="AS73" t="b" cm="1">
        <f t="array" ref="AS73">IsBlue('Large Dataset'!Q73)</f>
        <v>0</v>
      </c>
      <c r="AT73" t="b" cm="1">
        <f t="array" ref="AT73">IsPurple('Large Dataset'!Q73)</f>
        <v>0</v>
      </c>
      <c r="AU73" t="b" cm="1">
        <f t="array" ref="AU73">IsGreen('Large Dataset'!Q73)</f>
        <v>0</v>
      </c>
      <c r="BA73" t="b" cm="1">
        <f t="array" ref="BA73">IsRed('Large Dataset'!R73)</f>
        <v>1</v>
      </c>
      <c r="BB73" t="b" cm="1">
        <f t="array" ref="BB73">IsBlue('Large Dataset'!R73)</f>
        <v>0</v>
      </c>
      <c r="BC73" t="b" cm="1">
        <f t="array" ref="BC73">IsPurple('Large Dataset'!R73)</f>
        <v>0</v>
      </c>
      <c r="BD73" t="b" cm="1">
        <f t="array" ref="BD73">IsGreen('Large Dataset'!R73)</f>
        <v>0</v>
      </c>
      <c r="BJ73" t="b" cm="1">
        <f t="array" ref="BJ73">IsRed('Large Dataset'!T73)</f>
        <v>1</v>
      </c>
      <c r="BK73" t="b" cm="1">
        <f t="array" ref="BK73">IsBlue('Large Dataset'!T73)</f>
        <v>0</v>
      </c>
      <c r="BL73" t="b" cm="1">
        <f t="array" ref="BL73">IsPurple('Large Dataset'!T73)</f>
        <v>0</v>
      </c>
      <c r="BM73" t="b" cm="1">
        <f t="array" ref="BM73">IsGreen('Large Dataset'!T73)</f>
        <v>0</v>
      </c>
      <c r="BS73" t="b" cm="1">
        <f t="array" ref="BS73">IsRed('Large Dataset'!U73)</f>
        <v>1</v>
      </c>
      <c r="BT73" t="b" cm="1">
        <f t="array" ref="BT73">IsBlue('Large Dataset'!U73)</f>
        <v>0</v>
      </c>
      <c r="BU73" t="b" cm="1">
        <f t="array" ref="BU73">IsPurple('Large Dataset'!U73)</f>
        <v>0</v>
      </c>
      <c r="BV73" t="b" cm="1">
        <f t="array" ref="BV73">IsGreen('Large Dataset'!U73)</f>
        <v>0</v>
      </c>
    </row>
    <row r="74" spans="7:74">
      <c r="G74" t="b" cm="1">
        <f t="array" ref="G74">IsRed('Large Dataset'!I74)</f>
        <v>0</v>
      </c>
      <c r="H74" t="b" cm="1">
        <f t="array" ref="H74">IsBlue('Large Dataset'!I74)</f>
        <v>0</v>
      </c>
      <c r="I74" t="b" cm="1">
        <f t="array" ref="I74">IsPurple('Large Dataset'!I74)</f>
        <v>0</v>
      </c>
      <c r="J74" t="b" cm="1">
        <f t="array" ref="J74">IsGreen('Large Dataset'!G74)</f>
        <v>0</v>
      </c>
      <c r="P74" t="b" cm="1">
        <f t="array" ref="P74">IsRed('Large Dataset'!K74)</f>
        <v>0</v>
      </c>
      <c r="Q74" t="b" cm="1">
        <f t="array" ref="Q74">IsBlue('Large Dataset'!K74)</f>
        <v>0</v>
      </c>
      <c r="R74" t="b" cm="1">
        <f t="array" ref="R74">IsPurple('Large Dataset'!K74)</f>
        <v>0</v>
      </c>
      <c r="S74" t="b" cm="1">
        <f t="array" ref="S74">IsGreen('Large Dataset'!K74)</f>
        <v>0</v>
      </c>
      <c r="Y74" t="b" cm="1">
        <f t="array" ref="Y74">IsRed('Large Dataset'!M74)</f>
        <v>0</v>
      </c>
      <c r="Z74" t="b" cm="1">
        <f t="array" ref="Z74">IsBlue('Large Dataset'!M74)</f>
        <v>0</v>
      </c>
      <c r="AA74" t="b" cm="1">
        <f t="array" ref="AA74">IsPurple('Large Dataset'!M74)</f>
        <v>0</v>
      </c>
      <c r="AB74" t="b" cm="1">
        <f t="array" ref="AB74">IsGreen('Large Dataset'!M74)</f>
        <v>0</v>
      </c>
      <c r="AH74" t="b" cm="1">
        <f t="array" ref="AH74">IsRed('Large Dataset'!O74)</f>
        <v>0</v>
      </c>
      <c r="AI74" t="b" cm="1">
        <f t="array" ref="AI74">IsBlue('Large Dataset'!O74)</f>
        <v>1</v>
      </c>
      <c r="AJ74" t="b" cm="1">
        <f t="array" ref="AJ74">IsPurple('Large Dataset'!O74)</f>
        <v>0</v>
      </c>
      <c r="AK74" t="b" cm="1">
        <f t="array" ref="AK74">IsGreen('Large Dataset'!O74)</f>
        <v>0</v>
      </c>
      <c r="AR74" t="b" cm="1">
        <f t="array" ref="AR74">IsRed('Large Dataset'!Q74)</f>
        <v>0</v>
      </c>
      <c r="AS74" t="b" cm="1">
        <f t="array" ref="AS74">IsBlue('Large Dataset'!Q74)</f>
        <v>0</v>
      </c>
      <c r="AT74" t="b" cm="1">
        <f t="array" ref="AT74">IsPurple('Large Dataset'!Q74)</f>
        <v>0</v>
      </c>
      <c r="AU74" t="b" cm="1">
        <f t="array" ref="AU74">IsGreen('Large Dataset'!Q74)</f>
        <v>0</v>
      </c>
      <c r="BA74" t="b" cm="1">
        <f t="array" ref="BA74">IsRed('Large Dataset'!R74)</f>
        <v>0</v>
      </c>
      <c r="BB74" t="b" cm="1">
        <f t="array" ref="BB74">IsBlue('Large Dataset'!R74)</f>
        <v>0</v>
      </c>
      <c r="BC74" t="b" cm="1">
        <f t="array" ref="BC74">IsPurple('Large Dataset'!R74)</f>
        <v>0</v>
      </c>
      <c r="BD74" t="b" cm="1">
        <f t="array" ref="BD74">IsGreen('Large Dataset'!R74)</f>
        <v>0</v>
      </c>
      <c r="BJ74" t="b" cm="1">
        <f t="array" ref="BJ74">IsRed('Large Dataset'!T74)</f>
        <v>1</v>
      </c>
      <c r="BK74" t="b" cm="1">
        <f t="array" ref="BK74">IsBlue('Large Dataset'!T74)</f>
        <v>0</v>
      </c>
      <c r="BL74" t="b" cm="1">
        <f t="array" ref="BL74">IsPurple('Large Dataset'!T74)</f>
        <v>0</v>
      </c>
      <c r="BM74" t="b" cm="1">
        <f t="array" ref="BM74">IsGreen('Large Dataset'!T74)</f>
        <v>0</v>
      </c>
      <c r="BS74" t="b" cm="1">
        <f t="array" ref="BS74">IsRed('Large Dataset'!U74)</f>
        <v>0</v>
      </c>
      <c r="BT74" t="b" cm="1">
        <f t="array" ref="BT74">IsBlue('Large Dataset'!U74)</f>
        <v>0</v>
      </c>
      <c r="BU74" t="b" cm="1">
        <f t="array" ref="BU74">IsPurple('Large Dataset'!U74)</f>
        <v>0</v>
      </c>
      <c r="BV74" t="b" cm="1">
        <f t="array" ref="BV74">IsGreen('Large Dataset'!U74)</f>
        <v>0</v>
      </c>
    </row>
    <row r="75" spans="7:74">
      <c r="G75" t="b" cm="1">
        <f t="array" ref="G75">IsRed('Large Dataset'!I75)</f>
        <v>0</v>
      </c>
      <c r="H75" t="b" cm="1">
        <f t="array" ref="H75">IsBlue('Large Dataset'!I75)</f>
        <v>0</v>
      </c>
      <c r="I75" t="b" cm="1">
        <f t="array" ref="I75">IsPurple('Large Dataset'!I75)</f>
        <v>0</v>
      </c>
      <c r="J75" t="b" cm="1">
        <f t="array" ref="J75">IsGreen('Large Dataset'!G75)</f>
        <v>0</v>
      </c>
      <c r="P75" t="b" cm="1">
        <f t="array" ref="P75">IsRed('Large Dataset'!K75)</f>
        <v>0</v>
      </c>
      <c r="Q75" t="b" cm="1">
        <f t="array" ref="Q75">IsBlue('Large Dataset'!K75)</f>
        <v>0</v>
      </c>
      <c r="R75" t="b" cm="1">
        <f t="array" ref="R75">IsPurple('Large Dataset'!K75)</f>
        <v>0</v>
      </c>
      <c r="S75" t="b" cm="1">
        <f t="array" ref="S75">IsGreen('Large Dataset'!K75)</f>
        <v>0</v>
      </c>
      <c r="Y75" t="b" cm="1">
        <f t="array" ref="Y75">IsRed('Large Dataset'!M75)</f>
        <v>0</v>
      </c>
      <c r="Z75" t="b" cm="1">
        <f t="array" ref="Z75">IsBlue('Large Dataset'!M75)</f>
        <v>0</v>
      </c>
      <c r="AA75" t="b" cm="1">
        <f t="array" ref="AA75">IsPurple('Large Dataset'!M75)</f>
        <v>0</v>
      </c>
      <c r="AB75" t="b" cm="1">
        <f t="array" ref="AB75">IsGreen('Large Dataset'!M75)</f>
        <v>0</v>
      </c>
      <c r="AH75" t="b" cm="1">
        <f t="array" ref="AH75">IsRed('Large Dataset'!O75)</f>
        <v>0</v>
      </c>
      <c r="AI75" t="b" cm="1">
        <f t="array" ref="AI75">IsBlue('Large Dataset'!O75)</f>
        <v>0</v>
      </c>
      <c r="AJ75" t="b" cm="1">
        <f t="array" ref="AJ75">IsPurple('Large Dataset'!O75)</f>
        <v>0</v>
      </c>
      <c r="AK75" t="b" cm="1">
        <f t="array" ref="AK75">IsGreen('Large Dataset'!O75)</f>
        <v>0</v>
      </c>
      <c r="AR75" t="b" cm="1">
        <f t="array" ref="AR75">IsRed('Large Dataset'!Q75)</f>
        <v>0</v>
      </c>
      <c r="AS75" t="b" cm="1">
        <f t="array" ref="AS75">IsBlue('Large Dataset'!Q75)</f>
        <v>0</v>
      </c>
      <c r="AT75" t="b" cm="1">
        <f t="array" ref="AT75">IsPurple('Large Dataset'!Q75)</f>
        <v>0</v>
      </c>
      <c r="AU75" t="b" cm="1">
        <f t="array" ref="AU75">IsGreen('Large Dataset'!Q75)</f>
        <v>0</v>
      </c>
      <c r="BA75" t="b" cm="1">
        <f t="array" ref="BA75">IsRed('Large Dataset'!R75)</f>
        <v>0</v>
      </c>
      <c r="BB75" t="b" cm="1">
        <f t="array" ref="BB75">IsBlue('Large Dataset'!R75)</f>
        <v>0</v>
      </c>
      <c r="BC75" t="b" cm="1">
        <f t="array" ref="BC75">IsPurple('Large Dataset'!R75)</f>
        <v>0</v>
      </c>
      <c r="BD75" t="b" cm="1">
        <f t="array" ref="BD75">IsGreen('Large Dataset'!R75)</f>
        <v>0</v>
      </c>
      <c r="BJ75" t="b" cm="1">
        <f t="array" ref="BJ75">IsRed('Large Dataset'!T75)</f>
        <v>0</v>
      </c>
      <c r="BK75" t="b" cm="1">
        <f t="array" ref="BK75">IsBlue('Large Dataset'!T75)</f>
        <v>0</v>
      </c>
      <c r="BL75" t="b" cm="1">
        <f t="array" ref="BL75">IsPurple('Large Dataset'!T75)</f>
        <v>0</v>
      </c>
      <c r="BM75" t="b" cm="1">
        <f t="array" ref="BM75">IsGreen('Large Dataset'!T75)</f>
        <v>0</v>
      </c>
      <c r="BS75" t="b" cm="1">
        <f t="array" ref="BS75">IsRed('Large Dataset'!U75)</f>
        <v>0</v>
      </c>
      <c r="BT75" t="b" cm="1">
        <f t="array" ref="BT75">IsBlue('Large Dataset'!U75)</f>
        <v>0</v>
      </c>
      <c r="BU75" t="b" cm="1">
        <f t="array" ref="BU75">IsPurple('Large Dataset'!U75)</f>
        <v>0</v>
      </c>
      <c r="BV75" t="b" cm="1">
        <f t="array" ref="BV75">IsGreen('Large Dataset'!U75)</f>
        <v>0</v>
      </c>
    </row>
    <row r="76" spans="7:74">
      <c r="G76" t="b" cm="1">
        <f t="array" ref="G76">IsRed('Large Dataset'!I76)</f>
        <v>0</v>
      </c>
      <c r="H76" t="b" cm="1">
        <f t="array" ref="H76">IsBlue('Large Dataset'!I76)</f>
        <v>0</v>
      </c>
      <c r="I76" t="b" cm="1">
        <f t="array" ref="I76">IsPurple('Large Dataset'!I76)</f>
        <v>0</v>
      </c>
      <c r="J76" t="b" cm="1">
        <f t="array" ref="J76">IsGreen('Large Dataset'!G76)</f>
        <v>0</v>
      </c>
      <c r="P76" t="b" cm="1">
        <f t="array" ref="P76">IsRed('Large Dataset'!K76)</f>
        <v>0</v>
      </c>
      <c r="Q76" t="b" cm="1">
        <f t="array" ref="Q76">IsBlue('Large Dataset'!K76)</f>
        <v>0</v>
      </c>
      <c r="R76" t="b" cm="1">
        <f t="array" ref="R76">IsPurple('Large Dataset'!K76)</f>
        <v>0</v>
      </c>
      <c r="S76" t="b" cm="1">
        <f t="array" ref="S76">IsGreen('Large Dataset'!K76)</f>
        <v>0</v>
      </c>
      <c r="Y76" t="b" cm="1">
        <f t="array" ref="Y76">IsRed('Large Dataset'!M76)</f>
        <v>0</v>
      </c>
      <c r="Z76" t="b" cm="1">
        <f t="array" ref="Z76">IsBlue('Large Dataset'!M76)</f>
        <v>0</v>
      </c>
      <c r="AA76" t="b" cm="1">
        <f t="array" ref="AA76">IsPurple('Large Dataset'!M76)</f>
        <v>0</v>
      </c>
      <c r="AB76" t="b" cm="1">
        <f t="array" ref="AB76">IsGreen('Large Dataset'!M76)</f>
        <v>0</v>
      </c>
      <c r="AH76" t="b" cm="1">
        <f t="array" ref="AH76">IsRed('Large Dataset'!O76)</f>
        <v>0</v>
      </c>
      <c r="AI76" t="b" cm="1">
        <f t="array" ref="AI76">IsBlue('Large Dataset'!O76)</f>
        <v>0</v>
      </c>
      <c r="AJ76" t="b" cm="1">
        <f t="array" ref="AJ76">IsPurple('Large Dataset'!O76)</f>
        <v>0</v>
      </c>
      <c r="AK76" t="b" cm="1">
        <f t="array" ref="AK76">IsGreen('Large Dataset'!O76)</f>
        <v>0</v>
      </c>
      <c r="AR76" t="b" cm="1">
        <f t="array" ref="AR76">IsRed('Large Dataset'!Q76)</f>
        <v>0</v>
      </c>
      <c r="AS76" t="b" cm="1">
        <f t="array" ref="AS76">IsBlue('Large Dataset'!Q76)</f>
        <v>0</v>
      </c>
      <c r="AT76" t="b" cm="1">
        <f t="array" ref="AT76">IsPurple('Large Dataset'!Q76)</f>
        <v>0</v>
      </c>
      <c r="AU76" t="b" cm="1">
        <f t="array" ref="AU76">IsGreen('Large Dataset'!Q76)</f>
        <v>0</v>
      </c>
      <c r="BA76" t="b" cm="1">
        <f t="array" ref="BA76">IsRed('Large Dataset'!R76)</f>
        <v>0</v>
      </c>
      <c r="BB76" t="b" cm="1">
        <f t="array" ref="BB76">IsBlue('Large Dataset'!R76)</f>
        <v>0</v>
      </c>
      <c r="BC76" t="b" cm="1">
        <f t="array" ref="BC76">IsPurple('Large Dataset'!R76)</f>
        <v>0</v>
      </c>
      <c r="BD76" t="b" cm="1">
        <f t="array" ref="BD76">IsGreen('Large Dataset'!R76)</f>
        <v>0</v>
      </c>
      <c r="BJ76" t="b" cm="1">
        <f t="array" ref="BJ76">IsRed('Large Dataset'!T76)</f>
        <v>0</v>
      </c>
      <c r="BK76" t="b" cm="1">
        <f t="array" ref="BK76">IsBlue('Large Dataset'!T76)</f>
        <v>0</v>
      </c>
      <c r="BL76" t="b" cm="1">
        <f t="array" ref="BL76">IsPurple('Large Dataset'!T76)</f>
        <v>0</v>
      </c>
      <c r="BM76" t="b" cm="1">
        <f t="array" ref="BM76">IsGreen('Large Dataset'!T76)</f>
        <v>0</v>
      </c>
      <c r="BS76" t="b" cm="1">
        <f t="array" ref="BS76">IsRed('Large Dataset'!U76)</f>
        <v>0</v>
      </c>
      <c r="BT76" t="b" cm="1">
        <f t="array" ref="BT76">IsBlue('Large Dataset'!U76)</f>
        <v>0</v>
      </c>
      <c r="BU76" t="b" cm="1">
        <f t="array" ref="BU76">IsPurple('Large Dataset'!U76)</f>
        <v>0</v>
      </c>
      <c r="BV76" t="b" cm="1">
        <f t="array" ref="BV76">IsGreen('Large Dataset'!U76)</f>
        <v>0</v>
      </c>
    </row>
    <row r="77" spans="7:74">
      <c r="G77" t="b" cm="1">
        <f t="array" ref="G77">IsRed('Large Dataset'!I77)</f>
        <v>0</v>
      </c>
      <c r="H77" t="b" cm="1">
        <f t="array" ref="H77">IsBlue('Large Dataset'!I77)</f>
        <v>0</v>
      </c>
      <c r="I77" t="b" cm="1">
        <f t="array" ref="I77">IsPurple('Large Dataset'!I77)</f>
        <v>0</v>
      </c>
      <c r="J77" t="b" cm="1">
        <f t="array" ref="J77">IsGreen('Large Dataset'!G77)</f>
        <v>0</v>
      </c>
      <c r="P77" t="b" cm="1">
        <f t="array" ref="P77">IsRed('Large Dataset'!K77)</f>
        <v>0</v>
      </c>
      <c r="Q77" t="b" cm="1">
        <f t="array" ref="Q77">IsBlue('Large Dataset'!K77)</f>
        <v>0</v>
      </c>
      <c r="R77" t="b" cm="1">
        <f t="array" ref="R77">IsPurple('Large Dataset'!K77)</f>
        <v>0</v>
      </c>
      <c r="S77" t="b" cm="1">
        <f t="array" ref="S77">IsGreen('Large Dataset'!K77)</f>
        <v>0</v>
      </c>
      <c r="Y77" t="b" cm="1">
        <f t="array" ref="Y77">IsRed('Large Dataset'!M77)</f>
        <v>0</v>
      </c>
      <c r="Z77" t="b" cm="1">
        <f t="array" ref="Z77">IsBlue('Large Dataset'!M77)</f>
        <v>0</v>
      </c>
      <c r="AA77" t="b" cm="1">
        <f t="array" ref="AA77">IsPurple('Large Dataset'!M77)</f>
        <v>0</v>
      </c>
      <c r="AB77" t="b" cm="1">
        <f t="array" ref="AB77">IsGreen('Large Dataset'!M77)</f>
        <v>0</v>
      </c>
      <c r="AH77" t="b" cm="1">
        <f t="array" ref="AH77">IsRed('Large Dataset'!O77)</f>
        <v>0</v>
      </c>
      <c r="AI77" t="b" cm="1">
        <f t="array" ref="AI77">IsBlue('Large Dataset'!O77)</f>
        <v>0</v>
      </c>
      <c r="AJ77" t="b" cm="1">
        <f t="array" ref="AJ77">IsPurple('Large Dataset'!O77)</f>
        <v>0</v>
      </c>
      <c r="AK77" t="b" cm="1">
        <f t="array" ref="AK77">IsGreen('Large Dataset'!O77)</f>
        <v>0</v>
      </c>
      <c r="AR77" t="b" cm="1">
        <f t="array" ref="AR77">IsRed('Large Dataset'!Q77)</f>
        <v>0</v>
      </c>
      <c r="AS77" t="b" cm="1">
        <f t="array" ref="AS77">IsBlue('Large Dataset'!Q77)</f>
        <v>0</v>
      </c>
      <c r="AT77" t="b" cm="1">
        <f t="array" ref="AT77">IsPurple('Large Dataset'!Q77)</f>
        <v>0</v>
      </c>
      <c r="AU77" t="b" cm="1">
        <f t="array" ref="AU77">IsGreen('Large Dataset'!Q77)</f>
        <v>0</v>
      </c>
      <c r="BA77" t="b" cm="1">
        <f t="array" ref="BA77">IsRed('Large Dataset'!R77)</f>
        <v>0</v>
      </c>
      <c r="BB77" t="b" cm="1">
        <f t="array" ref="BB77">IsBlue('Large Dataset'!R77)</f>
        <v>0</v>
      </c>
      <c r="BC77" t="b" cm="1">
        <f t="array" ref="BC77">IsPurple('Large Dataset'!R77)</f>
        <v>0</v>
      </c>
      <c r="BD77" t="b" cm="1">
        <f t="array" ref="BD77">IsGreen('Large Dataset'!R77)</f>
        <v>0</v>
      </c>
      <c r="BJ77" t="b" cm="1">
        <f t="array" ref="BJ77">IsRed('Large Dataset'!T77)</f>
        <v>0</v>
      </c>
      <c r="BK77" t="b" cm="1">
        <f t="array" ref="BK77">IsBlue('Large Dataset'!T77)</f>
        <v>0</v>
      </c>
      <c r="BL77" t="b" cm="1">
        <f t="array" ref="BL77">IsPurple('Large Dataset'!T77)</f>
        <v>0</v>
      </c>
      <c r="BM77" t="b" cm="1">
        <f t="array" ref="BM77">IsGreen('Large Dataset'!T77)</f>
        <v>0</v>
      </c>
      <c r="BS77" t="b" cm="1">
        <f t="array" ref="BS77">IsRed('Large Dataset'!U77)</f>
        <v>0</v>
      </c>
      <c r="BT77" t="b" cm="1">
        <f t="array" ref="BT77">IsBlue('Large Dataset'!U77)</f>
        <v>0</v>
      </c>
      <c r="BU77" t="b" cm="1">
        <f t="array" ref="BU77">IsPurple('Large Dataset'!U77)</f>
        <v>0</v>
      </c>
      <c r="BV77" t="b" cm="1">
        <f t="array" ref="BV77">IsGreen('Large Dataset'!U77)</f>
        <v>0</v>
      </c>
    </row>
    <row r="78" spans="7:74">
      <c r="G78" t="b" cm="1">
        <f t="array" ref="G78">IsRed('Large Dataset'!I78)</f>
        <v>0</v>
      </c>
      <c r="H78" t="b" cm="1">
        <f t="array" ref="H78">IsBlue('Large Dataset'!I78)</f>
        <v>0</v>
      </c>
      <c r="I78" t="b" cm="1">
        <f t="array" ref="I78">IsPurple('Large Dataset'!I78)</f>
        <v>0</v>
      </c>
      <c r="J78" t="b" cm="1">
        <f t="array" ref="J78">IsGreen('Large Dataset'!G78)</f>
        <v>0</v>
      </c>
      <c r="P78" t="b" cm="1">
        <f t="array" ref="P78">IsRed('Large Dataset'!K78)</f>
        <v>0</v>
      </c>
      <c r="Q78" t="b" cm="1">
        <f t="array" ref="Q78">IsBlue('Large Dataset'!K78)</f>
        <v>0</v>
      </c>
      <c r="R78" t="b" cm="1">
        <f t="array" ref="R78">IsPurple('Large Dataset'!K78)</f>
        <v>0</v>
      </c>
      <c r="S78" t="b" cm="1">
        <f t="array" ref="S78">IsGreen('Large Dataset'!K78)</f>
        <v>0</v>
      </c>
      <c r="Y78" t="b" cm="1">
        <f t="array" ref="Y78">IsRed('Large Dataset'!M78)</f>
        <v>0</v>
      </c>
      <c r="Z78" t="b" cm="1">
        <f t="array" ref="Z78">IsBlue('Large Dataset'!M78)</f>
        <v>0</v>
      </c>
      <c r="AA78" t="b" cm="1">
        <f t="array" ref="AA78">IsPurple('Large Dataset'!M78)</f>
        <v>0</v>
      </c>
      <c r="AB78" t="b" cm="1">
        <f t="array" ref="AB78">IsGreen('Large Dataset'!M78)</f>
        <v>0</v>
      </c>
      <c r="AH78" t="b" cm="1">
        <f t="array" ref="AH78">IsRed('Large Dataset'!O78)</f>
        <v>0</v>
      </c>
      <c r="AI78" t="b" cm="1">
        <f t="array" ref="AI78">IsBlue('Large Dataset'!O78)</f>
        <v>0</v>
      </c>
      <c r="AJ78" t="b" cm="1">
        <f t="array" ref="AJ78">IsPurple('Large Dataset'!O78)</f>
        <v>0</v>
      </c>
      <c r="AK78" t="b" cm="1">
        <f t="array" ref="AK78">IsGreen('Large Dataset'!O78)</f>
        <v>0</v>
      </c>
      <c r="AR78" t="b" cm="1">
        <f t="array" ref="AR78">IsRed('Large Dataset'!Q78)</f>
        <v>0</v>
      </c>
      <c r="AS78" t="b" cm="1">
        <f t="array" ref="AS78">IsBlue('Large Dataset'!Q78)</f>
        <v>0</v>
      </c>
      <c r="AT78" t="b" cm="1">
        <f t="array" ref="AT78">IsPurple('Large Dataset'!Q78)</f>
        <v>0</v>
      </c>
      <c r="AU78" t="b" cm="1">
        <f t="array" ref="AU78">IsGreen('Large Dataset'!Q78)</f>
        <v>0</v>
      </c>
      <c r="BA78" t="b" cm="1">
        <f t="array" ref="BA78">IsRed('Large Dataset'!R78)</f>
        <v>0</v>
      </c>
      <c r="BB78" t="b" cm="1">
        <f t="array" ref="BB78">IsBlue('Large Dataset'!R78)</f>
        <v>0</v>
      </c>
      <c r="BC78" t="b" cm="1">
        <f t="array" ref="BC78">IsPurple('Large Dataset'!R78)</f>
        <v>0</v>
      </c>
      <c r="BD78" t="b" cm="1">
        <f t="array" ref="BD78">IsGreen('Large Dataset'!R78)</f>
        <v>0</v>
      </c>
      <c r="BJ78" t="b" cm="1">
        <f t="array" ref="BJ78">IsRed('Large Dataset'!T78)</f>
        <v>0</v>
      </c>
      <c r="BK78" t="b" cm="1">
        <f t="array" ref="BK78">IsBlue('Large Dataset'!T78)</f>
        <v>0</v>
      </c>
      <c r="BL78" t="b" cm="1">
        <f t="array" ref="BL78">IsPurple('Large Dataset'!T78)</f>
        <v>0</v>
      </c>
      <c r="BM78" t="b" cm="1">
        <f t="array" ref="BM78">IsGreen('Large Dataset'!T78)</f>
        <v>0</v>
      </c>
      <c r="BS78" t="b" cm="1">
        <f t="array" ref="BS78">IsRed('Large Dataset'!U78)</f>
        <v>0</v>
      </c>
      <c r="BT78" t="b" cm="1">
        <f t="array" ref="BT78">IsBlue('Large Dataset'!U78)</f>
        <v>0</v>
      </c>
      <c r="BU78" t="b" cm="1">
        <f t="array" ref="BU78">IsPurple('Large Dataset'!U78)</f>
        <v>0</v>
      </c>
      <c r="BV78" t="b" cm="1">
        <f t="array" ref="BV78">IsGreen('Large Dataset'!U78)</f>
        <v>0</v>
      </c>
    </row>
    <row r="79" spans="7:74">
      <c r="G79" t="b" cm="1">
        <f t="array" ref="G79">IsRed('Large Dataset'!I79)</f>
        <v>0</v>
      </c>
      <c r="H79" t="b" cm="1">
        <f t="array" ref="H79">IsBlue('Large Dataset'!I79)</f>
        <v>0</v>
      </c>
      <c r="I79" t="b" cm="1">
        <f t="array" ref="I79">IsPurple('Large Dataset'!I79)</f>
        <v>0</v>
      </c>
      <c r="J79" t="b" cm="1">
        <f t="array" ref="J79">IsGreen('Large Dataset'!G79)</f>
        <v>0</v>
      </c>
      <c r="P79" t="b" cm="1">
        <f t="array" ref="P79">IsRed('Large Dataset'!K79)</f>
        <v>0</v>
      </c>
      <c r="Q79" t="b" cm="1">
        <f t="array" ref="Q79">IsBlue('Large Dataset'!K79)</f>
        <v>0</v>
      </c>
      <c r="R79" t="b" cm="1">
        <f t="array" ref="R79">IsPurple('Large Dataset'!K79)</f>
        <v>0</v>
      </c>
      <c r="S79" t="b" cm="1">
        <f t="array" ref="S79">IsGreen('Large Dataset'!K79)</f>
        <v>0</v>
      </c>
      <c r="Y79" t="b" cm="1">
        <f t="array" ref="Y79">IsRed('Large Dataset'!M79)</f>
        <v>0</v>
      </c>
      <c r="Z79" t="b" cm="1">
        <f t="array" ref="Z79">IsBlue('Large Dataset'!M79)</f>
        <v>0</v>
      </c>
      <c r="AA79" t="b" cm="1">
        <f t="array" ref="AA79">IsPurple('Large Dataset'!M79)</f>
        <v>0</v>
      </c>
      <c r="AB79" t="b" cm="1">
        <f t="array" ref="AB79">IsGreen('Large Dataset'!M79)</f>
        <v>0</v>
      </c>
      <c r="AH79" t="b" cm="1">
        <f t="array" ref="AH79">IsRed('Large Dataset'!O79)</f>
        <v>0</v>
      </c>
      <c r="AI79" t="b" cm="1">
        <f t="array" ref="AI79">IsBlue('Large Dataset'!O79)</f>
        <v>0</v>
      </c>
      <c r="AJ79" t="b" cm="1">
        <f t="array" ref="AJ79">IsPurple('Large Dataset'!O79)</f>
        <v>0</v>
      </c>
      <c r="AK79" t="b" cm="1">
        <f t="array" ref="AK79">IsGreen('Large Dataset'!O79)</f>
        <v>0</v>
      </c>
      <c r="AR79" t="b" cm="1">
        <f t="array" ref="AR79">IsRed('Large Dataset'!Q79)</f>
        <v>0</v>
      </c>
      <c r="AS79" t="b" cm="1">
        <f t="array" ref="AS79">IsBlue('Large Dataset'!Q79)</f>
        <v>0</v>
      </c>
      <c r="AT79" t="b" cm="1">
        <f t="array" ref="AT79">IsPurple('Large Dataset'!Q79)</f>
        <v>0</v>
      </c>
      <c r="AU79" t="b" cm="1">
        <f t="array" ref="AU79">IsGreen('Large Dataset'!Q79)</f>
        <v>0</v>
      </c>
      <c r="BA79" t="b" cm="1">
        <f t="array" ref="BA79">IsRed('Large Dataset'!R79)</f>
        <v>0</v>
      </c>
      <c r="BB79" t="b" cm="1">
        <f t="array" ref="BB79">IsBlue('Large Dataset'!R79)</f>
        <v>0</v>
      </c>
      <c r="BC79" t="b" cm="1">
        <f t="array" ref="BC79">IsPurple('Large Dataset'!R79)</f>
        <v>0</v>
      </c>
      <c r="BD79" t="b" cm="1">
        <f t="array" ref="BD79">IsGreen('Large Dataset'!R79)</f>
        <v>0</v>
      </c>
      <c r="BJ79" t="b" cm="1">
        <f t="array" ref="BJ79">IsRed('Large Dataset'!T79)</f>
        <v>0</v>
      </c>
      <c r="BK79" t="b" cm="1">
        <f t="array" ref="BK79">IsBlue('Large Dataset'!T79)</f>
        <v>0</v>
      </c>
      <c r="BL79" t="b" cm="1">
        <f t="array" ref="BL79">IsPurple('Large Dataset'!T79)</f>
        <v>0</v>
      </c>
      <c r="BM79" t="b" cm="1">
        <f t="array" ref="BM79">IsGreen('Large Dataset'!T79)</f>
        <v>0</v>
      </c>
      <c r="BS79" t="b" cm="1">
        <f t="array" ref="BS79">IsRed('Large Dataset'!U79)</f>
        <v>0</v>
      </c>
      <c r="BT79" t="b" cm="1">
        <f t="array" ref="BT79">IsBlue('Large Dataset'!U79)</f>
        <v>0</v>
      </c>
      <c r="BU79" t="b" cm="1">
        <f t="array" ref="BU79">IsPurple('Large Dataset'!U79)</f>
        <v>0</v>
      </c>
      <c r="BV79" t="b" cm="1">
        <f t="array" ref="BV79">IsGreen('Large Dataset'!U79)</f>
        <v>0</v>
      </c>
    </row>
    <row r="80" spans="7:74">
      <c r="G80" t="b" cm="1">
        <f t="array" ref="G80">IsRed('Large Dataset'!I80)</f>
        <v>0</v>
      </c>
      <c r="H80" t="b" cm="1">
        <f t="array" ref="H80">IsBlue('Large Dataset'!I80)</f>
        <v>0</v>
      </c>
      <c r="I80" t="b" cm="1">
        <f t="array" ref="I80">IsPurple('Large Dataset'!I80)</f>
        <v>0</v>
      </c>
      <c r="J80" t="b" cm="1">
        <f t="array" ref="J80">IsGreen('Large Dataset'!G80)</f>
        <v>0</v>
      </c>
      <c r="P80" t="b" cm="1">
        <f t="array" ref="P80">IsRed('Large Dataset'!K80)</f>
        <v>0</v>
      </c>
      <c r="Q80" t="b" cm="1">
        <f t="array" ref="Q80">IsBlue('Large Dataset'!K80)</f>
        <v>0</v>
      </c>
      <c r="R80" t="b" cm="1">
        <f t="array" ref="R80">IsPurple('Large Dataset'!K80)</f>
        <v>0</v>
      </c>
      <c r="S80" t="b" cm="1">
        <f t="array" ref="S80">IsGreen('Large Dataset'!K80)</f>
        <v>0</v>
      </c>
      <c r="Y80" t="b" cm="1">
        <f t="array" ref="Y80">IsRed('Large Dataset'!M80)</f>
        <v>0</v>
      </c>
      <c r="Z80" t="b" cm="1">
        <f t="array" ref="Z80">IsBlue('Large Dataset'!M80)</f>
        <v>0</v>
      </c>
      <c r="AA80" t="b" cm="1">
        <f t="array" ref="AA80">IsPurple('Large Dataset'!M80)</f>
        <v>0</v>
      </c>
      <c r="AB80" t="b" cm="1">
        <f t="array" ref="AB80">IsGreen('Large Dataset'!M80)</f>
        <v>0</v>
      </c>
      <c r="AH80" t="b" cm="1">
        <f t="array" ref="AH80">IsRed('Large Dataset'!O80)</f>
        <v>0</v>
      </c>
      <c r="AI80" t="b" cm="1">
        <f t="array" ref="AI80">IsBlue('Large Dataset'!O80)</f>
        <v>1</v>
      </c>
      <c r="AJ80" t="b" cm="1">
        <f t="array" ref="AJ80">IsPurple('Large Dataset'!O80)</f>
        <v>0</v>
      </c>
      <c r="AK80" t="b" cm="1">
        <f t="array" ref="AK80">IsGreen('Large Dataset'!O80)</f>
        <v>0</v>
      </c>
      <c r="AR80" t="b" cm="1">
        <f t="array" ref="AR80">IsRed('Large Dataset'!Q80)</f>
        <v>0</v>
      </c>
      <c r="AS80" t="b" cm="1">
        <f t="array" ref="AS80">IsBlue('Large Dataset'!Q80)</f>
        <v>0</v>
      </c>
      <c r="AT80" t="b" cm="1">
        <f t="array" ref="AT80">IsPurple('Large Dataset'!Q80)</f>
        <v>0</v>
      </c>
      <c r="AU80" t="b" cm="1">
        <f t="array" ref="AU80">IsGreen('Large Dataset'!Q80)</f>
        <v>0</v>
      </c>
      <c r="BA80" t="b" cm="1">
        <f t="array" ref="BA80">IsRed('Large Dataset'!R80)</f>
        <v>0</v>
      </c>
      <c r="BB80" t="b" cm="1">
        <f t="array" ref="BB80">IsBlue('Large Dataset'!R80)</f>
        <v>0</v>
      </c>
      <c r="BC80" t="b" cm="1">
        <f t="array" ref="BC80">IsPurple('Large Dataset'!R80)</f>
        <v>0</v>
      </c>
      <c r="BD80" t="b" cm="1">
        <f t="array" ref="BD80">IsGreen('Large Dataset'!R80)</f>
        <v>0</v>
      </c>
      <c r="BJ80" t="b" cm="1">
        <f t="array" ref="BJ80">IsRed('Large Dataset'!T80)</f>
        <v>0</v>
      </c>
      <c r="BK80" t="b" cm="1">
        <f t="array" ref="BK80">IsBlue('Large Dataset'!T80)</f>
        <v>0</v>
      </c>
      <c r="BL80" t="b" cm="1">
        <f t="array" ref="BL80">IsPurple('Large Dataset'!T80)</f>
        <v>0</v>
      </c>
      <c r="BM80" t="b" cm="1">
        <f t="array" ref="BM80">IsGreen('Large Dataset'!T80)</f>
        <v>0</v>
      </c>
      <c r="BS80" t="b" cm="1">
        <f t="array" ref="BS80">IsRed('Large Dataset'!U80)</f>
        <v>0</v>
      </c>
      <c r="BT80" t="b" cm="1">
        <f t="array" ref="BT80">IsBlue('Large Dataset'!U80)</f>
        <v>0</v>
      </c>
      <c r="BU80" t="b" cm="1">
        <f t="array" ref="BU80">IsPurple('Large Dataset'!U80)</f>
        <v>0</v>
      </c>
      <c r="BV80" t="b" cm="1">
        <f t="array" ref="BV80">IsGreen('Large Dataset'!U80)</f>
        <v>0</v>
      </c>
    </row>
    <row r="81" spans="7:74">
      <c r="G81" t="b" cm="1">
        <f t="array" ref="G81">IsRed('Large Dataset'!I81)</f>
        <v>0</v>
      </c>
      <c r="H81" t="b" cm="1">
        <f t="array" ref="H81">IsBlue('Large Dataset'!I81)</f>
        <v>0</v>
      </c>
      <c r="I81" t="b" cm="1">
        <f t="array" ref="I81">IsPurple('Large Dataset'!I81)</f>
        <v>0</v>
      </c>
      <c r="J81" t="b" cm="1">
        <f t="array" ref="J81">IsGreen('Large Dataset'!G81)</f>
        <v>1</v>
      </c>
      <c r="P81" t="b" cm="1">
        <f t="array" ref="P81">IsRed('Large Dataset'!K81)</f>
        <v>0</v>
      </c>
      <c r="Q81" t="b" cm="1">
        <f t="array" ref="Q81">IsBlue('Large Dataset'!K81)</f>
        <v>0</v>
      </c>
      <c r="R81" t="b" cm="1">
        <f t="array" ref="R81">IsPurple('Large Dataset'!K81)</f>
        <v>0</v>
      </c>
      <c r="S81" t="b" cm="1">
        <f t="array" ref="S81">IsGreen('Large Dataset'!K81)</f>
        <v>0</v>
      </c>
      <c r="Y81" t="b" cm="1">
        <f t="array" ref="Y81">IsRed('Large Dataset'!M81)</f>
        <v>0</v>
      </c>
      <c r="Z81" t="b" cm="1">
        <f t="array" ref="Z81">IsBlue('Large Dataset'!M81)</f>
        <v>0</v>
      </c>
      <c r="AA81" t="b" cm="1">
        <f t="array" ref="AA81">IsPurple('Large Dataset'!M81)</f>
        <v>0</v>
      </c>
      <c r="AB81" t="b" cm="1">
        <f t="array" ref="AB81">IsGreen('Large Dataset'!M81)</f>
        <v>0</v>
      </c>
      <c r="AH81" t="b" cm="1">
        <f t="array" ref="AH81">IsRed('Large Dataset'!O81)</f>
        <v>0</v>
      </c>
      <c r="AI81" t="b" cm="1">
        <f t="array" ref="AI81">IsBlue('Large Dataset'!O81)</f>
        <v>0</v>
      </c>
      <c r="AJ81" t="b" cm="1">
        <f t="array" ref="AJ81">IsPurple('Large Dataset'!O81)</f>
        <v>0</v>
      </c>
      <c r="AK81" t="b" cm="1">
        <f t="array" ref="AK81">IsGreen('Large Dataset'!O81)</f>
        <v>0</v>
      </c>
      <c r="AR81" t="b" cm="1">
        <f t="array" ref="AR81">IsRed('Large Dataset'!Q81)</f>
        <v>0</v>
      </c>
      <c r="AS81" t="b" cm="1">
        <f t="array" ref="AS81">IsBlue('Large Dataset'!Q81)</f>
        <v>0</v>
      </c>
      <c r="AT81" t="b" cm="1">
        <f t="array" ref="AT81">IsPurple('Large Dataset'!Q81)</f>
        <v>0</v>
      </c>
      <c r="AU81" t="b" cm="1">
        <f t="array" ref="AU81">IsGreen('Large Dataset'!Q81)</f>
        <v>0</v>
      </c>
      <c r="BA81" t="b" cm="1">
        <f t="array" ref="BA81">IsRed('Large Dataset'!R81)</f>
        <v>0</v>
      </c>
      <c r="BB81" t="b" cm="1">
        <f t="array" ref="BB81">IsBlue('Large Dataset'!R81)</f>
        <v>0</v>
      </c>
      <c r="BC81" t="b" cm="1">
        <f t="array" ref="BC81">IsPurple('Large Dataset'!R81)</f>
        <v>0</v>
      </c>
      <c r="BD81" t="b" cm="1">
        <f t="array" ref="BD81">IsGreen('Large Dataset'!R81)</f>
        <v>0</v>
      </c>
      <c r="BJ81" t="b" cm="1">
        <f t="array" ref="BJ81">IsRed('Large Dataset'!T81)</f>
        <v>0</v>
      </c>
      <c r="BK81" t="b" cm="1">
        <f t="array" ref="BK81">IsBlue('Large Dataset'!T81)</f>
        <v>0</v>
      </c>
      <c r="BL81" t="b" cm="1">
        <f t="array" ref="BL81">IsPurple('Large Dataset'!T81)</f>
        <v>0</v>
      </c>
      <c r="BM81" t="b" cm="1">
        <f t="array" ref="BM81">IsGreen('Large Dataset'!T81)</f>
        <v>0</v>
      </c>
      <c r="BS81" t="b" cm="1">
        <f t="array" ref="BS81">IsRed('Large Dataset'!U81)</f>
        <v>0</v>
      </c>
      <c r="BT81" t="b" cm="1">
        <f t="array" ref="BT81">IsBlue('Large Dataset'!U81)</f>
        <v>0</v>
      </c>
      <c r="BU81" t="b" cm="1">
        <f t="array" ref="BU81">IsPurple('Large Dataset'!U81)</f>
        <v>0</v>
      </c>
      <c r="BV81" t="b" cm="1">
        <f t="array" ref="BV81">IsGreen('Large Dataset'!U81)</f>
        <v>0</v>
      </c>
    </row>
    <row r="82" spans="7:74">
      <c r="G82" t="b" cm="1">
        <f t="array" ref="G82">IsRed('Large Dataset'!I82)</f>
        <v>0</v>
      </c>
      <c r="H82" t="b" cm="1">
        <f t="array" ref="H82">IsBlue('Large Dataset'!I82)</f>
        <v>0</v>
      </c>
      <c r="I82" t="b" cm="1">
        <f t="array" ref="I82">IsPurple('Large Dataset'!I82)</f>
        <v>0</v>
      </c>
      <c r="J82" t="b" cm="1">
        <f t="array" ref="J82">IsGreen('Large Dataset'!G82)</f>
        <v>1</v>
      </c>
      <c r="P82" t="b" cm="1">
        <f t="array" ref="P82">IsRed('Large Dataset'!K82)</f>
        <v>0</v>
      </c>
      <c r="Q82" t="b" cm="1">
        <f t="array" ref="Q82">IsBlue('Large Dataset'!K82)</f>
        <v>0</v>
      </c>
      <c r="R82" t="b" cm="1">
        <f t="array" ref="R82">IsPurple('Large Dataset'!K82)</f>
        <v>0</v>
      </c>
      <c r="S82" t="b" cm="1">
        <f t="array" ref="S82">IsGreen('Large Dataset'!K82)</f>
        <v>0</v>
      </c>
      <c r="Y82" t="b" cm="1">
        <f t="array" ref="Y82">IsRed('Large Dataset'!M82)</f>
        <v>0</v>
      </c>
      <c r="Z82" t="b" cm="1">
        <f t="array" ref="Z82">IsBlue('Large Dataset'!M82)</f>
        <v>0</v>
      </c>
      <c r="AA82" t="b" cm="1">
        <f t="array" ref="AA82">IsPurple('Large Dataset'!M82)</f>
        <v>0</v>
      </c>
      <c r="AB82" t="b" cm="1">
        <f t="array" ref="AB82">IsGreen('Large Dataset'!M82)</f>
        <v>0</v>
      </c>
      <c r="AH82" t="b" cm="1">
        <f t="array" ref="AH82">IsRed('Large Dataset'!O82)</f>
        <v>0</v>
      </c>
      <c r="AI82" t="b" cm="1">
        <f t="array" ref="AI82">IsBlue('Large Dataset'!O82)</f>
        <v>0</v>
      </c>
      <c r="AJ82" t="b" cm="1">
        <f t="array" ref="AJ82">IsPurple('Large Dataset'!O82)</f>
        <v>0</v>
      </c>
      <c r="AK82" t="b" cm="1">
        <f t="array" ref="AK82">IsGreen('Large Dataset'!O82)</f>
        <v>0</v>
      </c>
      <c r="AR82" t="b" cm="1">
        <f t="array" ref="AR82">IsRed('Large Dataset'!Q82)</f>
        <v>0</v>
      </c>
      <c r="AS82" t="b" cm="1">
        <f t="array" ref="AS82">IsBlue('Large Dataset'!Q82)</f>
        <v>0</v>
      </c>
      <c r="AT82" t="b" cm="1">
        <f t="array" ref="AT82">IsPurple('Large Dataset'!Q82)</f>
        <v>0</v>
      </c>
      <c r="AU82" t="b" cm="1">
        <f t="array" ref="AU82">IsGreen('Large Dataset'!Q82)</f>
        <v>0</v>
      </c>
      <c r="BA82" t="b" cm="1">
        <f t="array" ref="BA82">IsRed('Large Dataset'!R82)</f>
        <v>0</v>
      </c>
      <c r="BB82" t="b" cm="1">
        <f t="array" ref="BB82">IsBlue('Large Dataset'!R82)</f>
        <v>0</v>
      </c>
      <c r="BC82" t="b" cm="1">
        <f t="array" ref="BC82">IsPurple('Large Dataset'!R82)</f>
        <v>0</v>
      </c>
      <c r="BD82" t="b" cm="1">
        <f t="array" ref="BD82">IsGreen('Large Dataset'!R82)</f>
        <v>0</v>
      </c>
      <c r="BJ82" t="b" cm="1">
        <f t="array" ref="BJ82">IsRed('Large Dataset'!T82)</f>
        <v>0</v>
      </c>
      <c r="BK82" t="b" cm="1">
        <f t="array" ref="BK82">IsBlue('Large Dataset'!T82)</f>
        <v>0</v>
      </c>
      <c r="BL82" t="b" cm="1">
        <f t="array" ref="BL82">IsPurple('Large Dataset'!T82)</f>
        <v>0</v>
      </c>
      <c r="BM82" t="b" cm="1">
        <f t="array" ref="BM82">IsGreen('Large Dataset'!T82)</f>
        <v>0</v>
      </c>
      <c r="BS82" t="b" cm="1">
        <f t="array" ref="BS82">IsRed('Large Dataset'!U82)</f>
        <v>0</v>
      </c>
      <c r="BT82" t="b" cm="1">
        <f t="array" ref="BT82">IsBlue('Large Dataset'!U82)</f>
        <v>0</v>
      </c>
      <c r="BU82" t="b" cm="1">
        <f t="array" ref="BU82">IsPurple('Large Dataset'!U82)</f>
        <v>0</v>
      </c>
      <c r="BV82" t="b" cm="1">
        <f t="array" ref="BV82">IsGreen('Large Dataset'!U82)</f>
        <v>0</v>
      </c>
    </row>
    <row r="83" spans="7:74">
      <c r="G83" t="b" cm="1">
        <f t="array" ref="G83">IsRed('Large Dataset'!I83)</f>
        <v>0</v>
      </c>
      <c r="H83" t="b" cm="1">
        <f t="array" ref="H83">IsBlue('Large Dataset'!I83)</f>
        <v>0</v>
      </c>
      <c r="I83" t="b" cm="1">
        <f t="array" ref="I83">IsPurple('Large Dataset'!I83)</f>
        <v>0</v>
      </c>
      <c r="J83" t="b" cm="1">
        <f t="array" ref="J83">IsGreen('Large Dataset'!G83)</f>
        <v>1</v>
      </c>
      <c r="P83" t="b" cm="1">
        <f t="array" ref="P83">IsRed('Large Dataset'!K83)</f>
        <v>0</v>
      </c>
      <c r="Q83" t="b" cm="1">
        <f t="array" ref="Q83">IsBlue('Large Dataset'!K83)</f>
        <v>0</v>
      </c>
      <c r="R83" t="b" cm="1">
        <f t="array" ref="R83">IsPurple('Large Dataset'!K83)</f>
        <v>0</v>
      </c>
      <c r="S83" t="b" cm="1">
        <f t="array" ref="S83">IsGreen('Large Dataset'!K83)</f>
        <v>0</v>
      </c>
      <c r="Y83" t="b" cm="1">
        <f t="array" ref="Y83">IsRed('Large Dataset'!M83)</f>
        <v>0</v>
      </c>
      <c r="Z83" t="b" cm="1">
        <f t="array" ref="Z83">IsBlue('Large Dataset'!M83)</f>
        <v>0</v>
      </c>
      <c r="AA83" t="b" cm="1">
        <f t="array" ref="AA83">IsPurple('Large Dataset'!M83)</f>
        <v>0</v>
      </c>
      <c r="AB83" t="b" cm="1">
        <f t="array" ref="AB83">IsGreen('Large Dataset'!M83)</f>
        <v>0</v>
      </c>
      <c r="AH83" t="b" cm="1">
        <f t="array" ref="AH83">IsRed('Large Dataset'!O83)</f>
        <v>0</v>
      </c>
      <c r="AI83" t="b" cm="1">
        <f t="array" ref="AI83">IsBlue('Large Dataset'!O83)</f>
        <v>0</v>
      </c>
      <c r="AJ83" t="b" cm="1">
        <f t="array" ref="AJ83">IsPurple('Large Dataset'!O83)</f>
        <v>0</v>
      </c>
      <c r="AK83" t="b" cm="1">
        <f t="array" ref="AK83">IsGreen('Large Dataset'!O83)</f>
        <v>0</v>
      </c>
      <c r="AR83" t="b" cm="1">
        <f t="array" ref="AR83">IsRed('Large Dataset'!Q83)</f>
        <v>0</v>
      </c>
      <c r="AS83" t="b" cm="1">
        <f t="array" ref="AS83">IsBlue('Large Dataset'!Q83)</f>
        <v>0</v>
      </c>
      <c r="AT83" t="b" cm="1">
        <f t="array" ref="AT83">IsPurple('Large Dataset'!Q83)</f>
        <v>0</v>
      </c>
      <c r="AU83" t="b" cm="1">
        <f t="array" ref="AU83">IsGreen('Large Dataset'!Q83)</f>
        <v>0</v>
      </c>
      <c r="BA83" t="b" cm="1">
        <f t="array" ref="BA83">IsRed('Large Dataset'!R83)</f>
        <v>0</v>
      </c>
      <c r="BB83" t="b" cm="1">
        <f t="array" ref="BB83">IsBlue('Large Dataset'!R83)</f>
        <v>0</v>
      </c>
      <c r="BC83" t="b" cm="1">
        <f t="array" ref="BC83">IsPurple('Large Dataset'!R83)</f>
        <v>0</v>
      </c>
      <c r="BD83" t="b" cm="1">
        <f t="array" ref="BD83">IsGreen('Large Dataset'!R83)</f>
        <v>0</v>
      </c>
      <c r="BJ83" t="b" cm="1">
        <f t="array" ref="BJ83">IsRed('Large Dataset'!T83)</f>
        <v>0</v>
      </c>
      <c r="BK83" t="b" cm="1">
        <f t="array" ref="BK83">IsBlue('Large Dataset'!T83)</f>
        <v>0</v>
      </c>
      <c r="BL83" t="b" cm="1">
        <f t="array" ref="BL83">IsPurple('Large Dataset'!T83)</f>
        <v>0</v>
      </c>
      <c r="BM83" t="b" cm="1">
        <f t="array" ref="BM83">IsGreen('Large Dataset'!T83)</f>
        <v>0</v>
      </c>
      <c r="BS83" t="b" cm="1">
        <f t="array" ref="BS83">IsRed('Large Dataset'!U83)</f>
        <v>0</v>
      </c>
      <c r="BT83" t="b" cm="1">
        <f t="array" ref="BT83">IsBlue('Large Dataset'!U83)</f>
        <v>0</v>
      </c>
      <c r="BU83" t="b" cm="1">
        <f t="array" ref="BU83">IsPurple('Large Dataset'!U83)</f>
        <v>0</v>
      </c>
      <c r="BV83" t="b" cm="1">
        <f t="array" ref="BV83">IsGreen('Large Dataset'!U83)</f>
        <v>0</v>
      </c>
    </row>
    <row r="84" spans="7:74">
      <c r="G84" t="b" cm="1">
        <f t="array" ref="G84">IsRed('Large Dataset'!I84)</f>
        <v>0</v>
      </c>
      <c r="H84" t="b" cm="1">
        <f t="array" ref="H84">IsBlue('Large Dataset'!I84)</f>
        <v>0</v>
      </c>
      <c r="I84" t="b" cm="1">
        <f t="array" ref="I84">IsPurple('Large Dataset'!I84)</f>
        <v>0</v>
      </c>
      <c r="J84" t="b" cm="1">
        <f t="array" ref="J84">IsGreen('Large Dataset'!G84)</f>
        <v>1</v>
      </c>
      <c r="P84" t="b" cm="1">
        <f t="array" ref="P84">IsRed('Large Dataset'!K84)</f>
        <v>0</v>
      </c>
      <c r="Q84" t="b" cm="1">
        <f t="array" ref="Q84">IsBlue('Large Dataset'!K84)</f>
        <v>0</v>
      </c>
      <c r="R84" t="b" cm="1">
        <f t="array" ref="R84">IsPurple('Large Dataset'!K84)</f>
        <v>0</v>
      </c>
      <c r="S84" t="b" cm="1">
        <f t="array" ref="S84">IsGreen('Large Dataset'!K84)</f>
        <v>0</v>
      </c>
      <c r="Y84" t="b" cm="1">
        <f t="array" ref="Y84">IsRed('Large Dataset'!M84)</f>
        <v>0</v>
      </c>
      <c r="Z84" t="b" cm="1">
        <f t="array" ref="Z84">IsBlue('Large Dataset'!M84)</f>
        <v>0</v>
      </c>
      <c r="AA84" t="b" cm="1">
        <f t="array" ref="AA84">IsPurple('Large Dataset'!M84)</f>
        <v>0</v>
      </c>
      <c r="AB84" t="b" cm="1">
        <f t="array" ref="AB84">IsGreen('Large Dataset'!M84)</f>
        <v>0</v>
      </c>
      <c r="AH84" t="b" cm="1">
        <f t="array" ref="AH84">IsRed('Large Dataset'!O84)</f>
        <v>0</v>
      </c>
      <c r="AI84" t="b" cm="1">
        <f t="array" ref="AI84">IsBlue('Large Dataset'!O84)</f>
        <v>0</v>
      </c>
      <c r="AJ84" t="b" cm="1">
        <f t="array" ref="AJ84">IsPurple('Large Dataset'!O84)</f>
        <v>0</v>
      </c>
      <c r="AK84" t="b" cm="1">
        <f t="array" ref="AK84">IsGreen('Large Dataset'!O84)</f>
        <v>0</v>
      </c>
      <c r="AR84" t="b" cm="1">
        <f t="array" ref="AR84">IsRed('Large Dataset'!Q84)</f>
        <v>0</v>
      </c>
      <c r="AS84" t="b" cm="1">
        <f t="array" ref="AS84">IsBlue('Large Dataset'!Q84)</f>
        <v>0</v>
      </c>
      <c r="AT84" t="b" cm="1">
        <f t="array" ref="AT84">IsPurple('Large Dataset'!Q84)</f>
        <v>0</v>
      </c>
      <c r="AU84" t="b" cm="1">
        <f t="array" ref="AU84">IsGreen('Large Dataset'!Q84)</f>
        <v>0</v>
      </c>
      <c r="BA84" t="b" cm="1">
        <f t="array" ref="BA84">IsRed('Large Dataset'!R84)</f>
        <v>0</v>
      </c>
      <c r="BB84" t="b" cm="1">
        <f t="array" ref="BB84">IsBlue('Large Dataset'!R84)</f>
        <v>0</v>
      </c>
      <c r="BC84" t="b" cm="1">
        <f t="array" ref="BC84">IsPurple('Large Dataset'!R84)</f>
        <v>0</v>
      </c>
      <c r="BD84" t="b" cm="1">
        <f t="array" ref="BD84">IsGreen('Large Dataset'!R84)</f>
        <v>0</v>
      </c>
      <c r="BJ84" t="b" cm="1">
        <f t="array" ref="BJ84">IsRed('Large Dataset'!T84)</f>
        <v>0</v>
      </c>
      <c r="BK84" t="b" cm="1">
        <f t="array" ref="BK84">IsBlue('Large Dataset'!T84)</f>
        <v>0</v>
      </c>
      <c r="BL84" t="b" cm="1">
        <f t="array" ref="BL84">IsPurple('Large Dataset'!T84)</f>
        <v>0</v>
      </c>
      <c r="BM84" t="b" cm="1">
        <f t="array" ref="BM84">IsGreen('Large Dataset'!T84)</f>
        <v>0</v>
      </c>
      <c r="BS84" t="b" cm="1">
        <f t="array" ref="BS84">IsRed('Large Dataset'!U84)</f>
        <v>0</v>
      </c>
      <c r="BT84" t="b" cm="1">
        <f t="array" ref="BT84">IsBlue('Large Dataset'!U84)</f>
        <v>0</v>
      </c>
      <c r="BU84" t="b" cm="1">
        <f t="array" ref="BU84">IsPurple('Large Dataset'!U84)</f>
        <v>0</v>
      </c>
      <c r="BV84" t="b" cm="1">
        <f t="array" ref="BV84">IsGreen('Large Dataset'!U84)</f>
        <v>0</v>
      </c>
    </row>
    <row r="85" spans="7:74">
      <c r="G85" t="b" cm="1">
        <f t="array" ref="G85">IsRed('Large Dataset'!I85)</f>
        <v>0</v>
      </c>
      <c r="H85" t="b" cm="1">
        <f t="array" ref="H85">IsBlue('Large Dataset'!I85)</f>
        <v>0</v>
      </c>
      <c r="I85" t="b" cm="1">
        <f t="array" ref="I85">IsPurple('Large Dataset'!I85)</f>
        <v>0</v>
      </c>
      <c r="J85" t="b" cm="1">
        <f t="array" ref="J85">IsGreen('Large Dataset'!G85)</f>
        <v>1</v>
      </c>
      <c r="P85" t="b" cm="1">
        <f t="array" ref="P85">IsRed('Large Dataset'!K85)</f>
        <v>0</v>
      </c>
      <c r="Q85" t="b" cm="1">
        <f t="array" ref="Q85">IsBlue('Large Dataset'!K85)</f>
        <v>0</v>
      </c>
      <c r="R85" t="b" cm="1">
        <f t="array" ref="R85">IsPurple('Large Dataset'!K85)</f>
        <v>0</v>
      </c>
      <c r="S85" t="b" cm="1">
        <f t="array" ref="S85">IsGreen('Large Dataset'!K85)</f>
        <v>0</v>
      </c>
      <c r="Y85" t="b" cm="1">
        <f t="array" ref="Y85">IsRed('Large Dataset'!M85)</f>
        <v>0</v>
      </c>
      <c r="Z85" t="b" cm="1">
        <f t="array" ref="Z85">IsBlue('Large Dataset'!M85)</f>
        <v>0</v>
      </c>
      <c r="AA85" t="b" cm="1">
        <f t="array" ref="AA85">IsPurple('Large Dataset'!M85)</f>
        <v>0</v>
      </c>
      <c r="AB85" t="b" cm="1">
        <f t="array" ref="AB85">IsGreen('Large Dataset'!M85)</f>
        <v>0</v>
      </c>
      <c r="AH85" t="b" cm="1">
        <f t="array" ref="AH85">IsRed('Large Dataset'!O85)</f>
        <v>0</v>
      </c>
      <c r="AI85" t="b" cm="1">
        <f t="array" ref="AI85">IsBlue('Large Dataset'!O85)</f>
        <v>0</v>
      </c>
      <c r="AJ85" t="b" cm="1">
        <f t="array" ref="AJ85">IsPurple('Large Dataset'!O85)</f>
        <v>0</v>
      </c>
      <c r="AK85" t="b" cm="1">
        <f t="array" ref="AK85">IsGreen('Large Dataset'!O85)</f>
        <v>0</v>
      </c>
      <c r="AR85" t="b" cm="1">
        <f t="array" ref="AR85">IsRed('Large Dataset'!Q85)</f>
        <v>0</v>
      </c>
      <c r="AS85" t="b" cm="1">
        <f t="array" ref="AS85">IsBlue('Large Dataset'!Q85)</f>
        <v>0</v>
      </c>
      <c r="AT85" t="b" cm="1">
        <f t="array" ref="AT85">IsPurple('Large Dataset'!Q85)</f>
        <v>0</v>
      </c>
      <c r="AU85" t="b" cm="1">
        <f t="array" ref="AU85">IsGreen('Large Dataset'!Q85)</f>
        <v>0</v>
      </c>
      <c r="BA85" t="b" cm="1">
        <f t="array" ref="BA85">IsRed('Large Dataset'!R85)</f>
        <v>0</v>
      </c>
      <c r="BB85" t="b" cm="1">
        <f t="array" ref="BB85">IsBlue('Large Dataset'!R85)</f>
        <v>0</v>
      </c>
      <c r="BC85" t="b" cm="1">
        <f t="array" ref="BC85">IsPurple('Large Dataset'!R85)</f>
        <v>0</v>
      </c>
      <c r="BD85" t="b" cm="1">
        <f t="array" ref="BD85">IsGreen('Large Dataset'!R85)</f>
        <v>0</v>
      </c>
      <c r="BJ85" t="b" cm="1">
        <f t="array" ref="BJ85">IsRed('Large Dataset'!T85)</f>
        <v>0</v>
      </c>
      <c r="BK85" t="b" cm="1">
        <f t="array" ref="BK85">IsBlue('Large Dataset'!T85)</f>
        <v>0</v>
      </c>
      <c r="BL85" t="b" cm="1">
        <f t="array" ref="BL85">IsPurple('Large Dataset'!T85)</f>
        <v>0</v>
      </c>
      <c r="BM85" t="b" cm="1">
        <f t="array" ref="BM85">IsGreen('Large Dataset'!T85)</f>
        <v>0</v>
      </c>
      <c r="BS85" t="b" cm="1">
        <f t="array" ref="BS85">IsRed('Large Dataset'!U85)</f>
        <v>0</v>
      </c>
      <c r="BT85" t="b" cm="1">
        <f t="array" ref="BT85">IsBlue('Large Dataset'!U85)</f>
        <v>0</v>
      </c>
      <c r="BU85" t="b" cm="1">
        <f t="array" ref="BU85">IsPurple('Large Dataset'!U85)</f>
        <v>0</v>
      </c>
      <c r="BV85" t="b" cm="1">
        <f t="array" ref="BV85">IsGreen('Large Dataset'!U85)</f>
        <v>0</v>
      </c>
    </row>
    <row r="86" spans="7:74">
      <c r="G86" t="b" cm="1">
        <f t="array" ref="G86">IsRed('Large Dataset'!I86)</f>
        <v>0</v>
      </c>
      <c r="H86" t="b" cm="1">
        <f t="array" ref="H86">IsBlue('Large Dataset'!I86)</f>
        <v>0</v>
      </c>
      <c r="I86" t="b" cm="1">
        <f t="array" ref="I86">IsPurple('Large Dataset'!I86)</f>
        <v>0</v>
      </c>
      <c r="J86" t="b" cm="1">
        <f t="array" ref="J86">IsGreen('Large Dataset'!G86)</f>
        <v>1</v>
      </c>
      <c r="P86" t="b" cm="1">
        <f t="array" ref="P86">IsRed('Large Dataset'!K86)</f>
        <v>0</v>
      </c>
      <c r="Q86" t="b" cm="1">
        <f t="array" ref="Q86">IsBlue('Large Dataset'!K86)</f>
        <v>0</v>
      </c>
      <c r="R86" t="b" cm="1">
        <f t="array" ref="R86">IsPurple('Large Dataset'!K86)</f>
        <v>0</v>
      </c>
      <c r="S86" t="b" cm="1">
        <f t="array" ref="S86">IsGreen('Large Dataset'!K86)</f>
        <v>0</v>
      </c>
      <c r="Y86" t="b" cm="1">
        <f t="array" ref="Y86">IsRed('Large Dataset'!M86)</f>
        <v>0</v>
      </c>
      <c r="Z86" t="b" cm="1">
        <f t="array" ref="Z86">IsBlue('Large Dataset'!M86)</f>
        <v>0</v>
      </c>
      <c r="AA86" t="b" cm="1">
        <f t="array" ref="AA86">IsPurple('Large Dataset'!M86)</f>
        <v>0</v>
      </c>
      <c r="AB86" t="b" cm="1">
        <f t="array" ref="AB86">IsGreen('Large Dataset'!M86)</f>
        <v>0</v>
      </c>
      <c r="AH86" t="b" cm="1">
        <f t="array" ref="AH86">IsRed('Large Dataset'!O86)</f>
        <v>0</v>
      </c>
      <c r="AI86" t="b" cm="1">
        <f t="array" ref="AI86">IsBlue('Large Dataset'!O86)</f>
        <v>0</v>
      </c>
      <c r="AJ86" t="b" cm="1">
        <f t="array" ref="AJ86">IsPurple('Large Dataset'!O86)</f>
        <v>0</v>
      </c>
      <c r="AK86" t="b" cm="1">
        <f t="array" ref="AK86">IsGreen('Large Dataset'!O86)</f>
        <v>0</v>
      </c>
      <c r="AR86" t="b" cm="1">
        <f t="array" ref="AR86">IsRed('Large Dataset'!Q86)</f>
        <v>0</v>
      </c>
      <c r="AS86" t="b" cm="1">
        <f t="array" ref="AS86">IsBlue('Large Dataset'!Q86)</f>
        <v>0</v>
      </c>
      <c r="AT86" t="b" cm="1">
        <f t="array" ref="AT86">IsPurple('Large Dataset'!Q86)</f>
        <v>0</v>
      </c>
      <c r="AU86" t="b" cm="1">
        <f t="array" ref="AU86">IsGreen('Large Dataset'!Q86)</f>
        <v>0</v>
      </c>
      <c r="BA86" t="b" cm="1">
        <f t="array" ref="BA86">IsRed('Large Dataset'!R86)</f>
        <v>0</v>
      </c>
      <c r="BB86" t="b" cm="1">
        <f t="array" ref="BB86">IsBlue('Large Dataset'!R86)</f>
        <v>0</v>
      </c>
      <c r="BC86" t="b" cm="1">
        <f t="array" ref="BC86">IsPurple('Large Dataset'!R86)</f>
        <v>0</v>
      </c>
      <c r="BD86" t="b" cm="1">
        <f t="array" ref="BD86">IsGreen('Large Dataset'!R86)</f>
        <v>0</v>
      </c>
      <c r="BJ86" t="b" cm="1">
        <f t="array" ref="BJ86">IsRed('Large Dataset'!T86)</f>
        <v>0</v>
      </c>
      <c r="BK86" t="b" cm="1">
        <f t="array" ref="BK86">IsBlue('Large Dataset'!T86)</f>
        <v>0</v>
      </c>
      <c r="BL86" t="b" cm="1">
        <f t="array" ref="BL86">IsPurple('Large Dataset'!T86)</f>
        <v>0</v>
      </c>
      <c r="BM86" t="b" cm="1">
        <f t="array" ref="BM86">IsGreen('Large Dataset'!T86)</f>
        <v>0</v>
      </c>
      <c r="BS86" t="b" cm="1">
        <f t="array" ref="BS86">IsRed('Large Dataset'!U86)</f>
        <v>0</v>
      </c>
      <c r="BT86" t="b" cm="1">
        <f t="array" ref="BT86">IsBlue('Large Dataset'!U86)</f>
        <v>0</v>
      </c>
      <c r="BU86" t="b" cm="1">
        <f t="array" ref="BU86">IsPurple('Large Dataset'!U86)</f>
        <v>0</v>
      </c>
      <c r="BV86" t="b" cm="1">
        <f t="array" ref="BV86">IsGreen('Large Dataset'!U86)</f>
        <v>0</v>
      </c>
    </row>
    <row r="87" spans="7:74">
      <c r="G87" t="b" cm="1">
        <f t="array" ref="G87">IsRed('Large Dataset'!I87)</f>
        <v>0</v>
      </c>
      <c r="H87" t="b" cm="1">
        <f t="array" ref="H87">IsBlue('Large Dataset'!I87)</f>
        <v>0</v>
      </c>
      <c r="I87" t="b" cm="1">
        <f t="array" ref="I87">IsPurple('Large Dataset'!I87)</f>
        <v>0</v>
      </c>
      <c r="J87" t="b" cm="1">
        <f t="array" ref="J87">IsGreen('Large Dataset'!G87)</f>
        <v>0</v>
      </c>
      <c r="P87" t="b" cm="1">
        <f t="array" ref="P87">IsRed('Large Dataset'!K87)</f>
        <v>0</v>
      </c>
      <c r="Q87" t="b" cm="1">
        <f t="array" ref="Q87">IsBlue('Large Dataset'!K87)</f>
        <v>0</v>
      </c>
      <c r="R87" t="b" cm="1">
        <f t="array" ref="R87">IsPurple('Large Dataset'!K87)</f>
        <v>0</v>
      </c>
      <c r="S87" t="b" cm="1">
        <f t="array" ref="S87">IsGreen('Large Dataset'!K87)</f>
        <v>0</v>
      </c>
      <c r="Y87" t="b" cm="1">
        <f t="array" ref="Y87">IsRed('Large Dataset'!M87)</f>
        <v>0</v>
      </c>
      <c r="Z87" t="b" cm="1">
        <f t="array" ref="Z87">IsBlue('Large Dataset'!M87)</f>
        <v>0</v>
      </c>
      <c r="AA87" t="b" cm="1">
        <f t="array" ref="AA87">IsPurple('Large Dataset'!M87)</f>
        <v>0</v>
      </c>
      <c r="AB87" t="b" cm="1">
        <f t="array" ref="AB87">IsGreen('Large Dataset'!M87)</f>
        <v>0</v>
      </c>
      <c r="AH87" t="b" cm="1">
        <f t="array" ref="AH87">IsRed('Large Dataset'!O87)</f>
        <v>0</v>
      </c>
      <c r="AI87" t="b" cm="1">
        <f t="array" ref="AI87">IsBlue('Large Dataset'!O87)</f>
        <v>0</v>
      </c>
      <c r="AJ87" t="b" cm="1">
        <f t="array" ref="AJ87">IsPurple('Large Dataset'!O87)</f>
        <v>0</v>
      </c>
      <c r="AK87" t="b" cm="1">
        <f t="array" ref="AK87">IsGreen('Large Dataset'!O87)</f>
        <v>0</v>
      </c>
      <c r="AR87" t="b" cm="1">
        <f t="array" ref="AR87">IsRed('Large Dataset'!Q87)</f>
        <v>0</v>
      </c>
      <c r="AS87" t="b" cm="1">
        <f t="array" ref="AS87">IsBlue('Large Dataset'!Q87)</f>
        <v>0</v>
      </c>
      <c r="AT87" t="b" cm="1">
        <f t="array" ref="AT87">IsPurple('Large Dataset'!Q87)</f>
        <v>0</v>
      </c>
      <c r="AU87" t="b" cm="1">
        <f t="array" ref="AU87">IsGreen('Large Dataset'!Q87)</f>
        <v>0</v>
      </c>
      <c r="BA87" t="b" cm="1">
        <f t="array" ref="BA87">IsRed('Large Dataset'!R87)</f>
        <v>1</v>
      </c>
      <c r="BB87" t="b" cm="1">
        <f t="array" ref="BB87">IsBlue('Large Dataset'!R87)</f>
        <v>0</v>
      </c>
      <c r="BC87" t="b" cm="1">
        <f t="array" ref="BC87">IsPurple('Large Dataset'!R87)</f>
        <v>0</v>
      </c>
      <c r="BD87" t="b" cm="1">
        <f t="array" ref="BD87">IsGreen('Large Dataset'!R87)</f>
        <v>0</v>
      </c>
      <c r="BJ87" t="b" cm="1">
        <f t="array" ref="BJ87">IsRed('Large Dataset'!T87)</f>
        <v>0</v>
      </c>
      <c r="BK87" t="b" cm="1">
        <f t="array" ref="BK87">IsBlue('Large Dataset'!T87)</f>
        <v>0</v>
      </c>
      <c r="BL87" t="b" cm="1">
        <f t="array" ref="BL87">IsPurple('Large Dataset'!T87)</f>
        <v>0</v>
      </c>
      <c r="BM87" t="b" cm="1">
        <f t="array" ref="BM87">IsGreen('Large Dataset'!T87)</f>
        <v>0</v>
      </c>
      <c r="BS87" t="b" cm="1">
        <f t="array" ref="BS87">IsRed('Large Dataset'!U87)</f>
        <v>1</v>
      </c>
      <c r="BT87" t="b" cm="1">
        <f t="array" ref="BT87">IsBlue('Large Dataset'!U87)</f>
        <v>0</v>
      </c>
      <c r="BU87" t="b" cm="1">
        <f t="array" ref="BU87">IsPurple('Large Dataset'!U87)</f>
        <v>0</v>
      </c>
      <c r="BV87" t="b" cm="1">
        <f t="array" ref="BV87">IsGreen('Large Dataset'!U87)</f>
        <v>0</v>
      </c>
    </row>
    <row r="88" spans="7:74">
      <c r="G88" t="b" cm="1">
        <f t="array" ref="G88">IsRed('Large Dataset'!I88)</f>
        <v>0</v>
      </c>
      <c r="H88" t="b" cm="1">
        <f t="array" ref="H88">IsBlue('Large Dataset'!I88)</f>
        <v>0</v>
      </c>
      <c r="I88" t="b" cm="1">
        <f t="array" ref="I88">IsPurple('Large Dataset'!I88)</f>
        <v>0</v>
      </c>
      <c r="J88" t="b" cm="1">
        <f t="array" ref="J88">IsGreen('Large Dataset'!G88)</f>
        <v>0</v>
      </c>
      <c r="P88" t="b" cm="1">
        <f t="array" ref="P88">IsRed('Large Dataset'!K88)</f>
        <v>0</v>
      </c>
      <c r="Q88" t="b" cm="1">
        <f t="array" ref="Q88">IsBlue('Large Dataset'!K88)</f>
        <v>0</v>
      </c>
      <c r="R88" t="b" cm="1">
        <f t="array" ref="R88">IsPurple('Large Dataset'!K88)</f>
        <v>0</v>
      </c>
      <c r="S88" t="b" cm="1">
        <f t="array" ref="S88">IsGreen('Large Dataset'!K88)</f>
        <v>0</v>
      </c>
      <c r="Y88" t="b" cm="1">
        <f t="array" ref="Y88">IsRed('Large Dataset'!M88)</f>
        <v>0</v>
      </c>
      <c r="Z88" t="b" cm="1">
        <f t="array" ref="Z88">IsBlue('Large Dataset'!M88)</f>
        <v>0</v>
      </c>
      <c r="AA88" t="b" cm="1">
        <f t="array" ref="AA88">IsPurple('Large Dataset'!M88)</f>
        <v>0</v>
      </c>
      <c r="AB88" t="b" cm="1">
        <f t="array" ref="AB88">IsGreen('Large Dataset'!M88)</f>
        <v>0</v>
      </c>
      <c r="AH88" t="b" cm="1">
        <f t="array" ref="AH88">IsRed('Large Dataset'!O88)</f>
        <v>0</v>
      </c>
      <c r="AI88" t="b" cm="1">
        <f t="array" ref="AI88">IsBlue('Large Dataset'!O88)</f>
        <v>0</v>
      </c>
      <c r="AJ88" t="b" cm="1">
        <f t="array" ref="AJ88">IsPurple('Large Dataset'!O88)</f>
        <v>0</v>
      </c>
      <c r="AK88" t="b" cm="1">
        <f t="array" ref="AK88">IsGreen('Large Dataset'!O88)</f>
        <v>0</v>
      </c>
      <c r="AR88" t="b" cm="1">
        <f t="array" ref="AR88">IsRed('Large Dataset'!Q88)</f>
        <v>0</v>
      </c>
      <c r="AS88" t="b" cm="1">
        <f t="array" ref="AS88">IsBlue('Large Dataset'!Q88)</f>
        <v>0</v>
      </c>
      <c r="AT88" t="b" cm="1">
        <f t="array" ref="AT88">IsPurple('Large Dataset'!Q88)</f>
        <v>0</v>
      </c>
      <c r="AU88" t="b" cm="1">
        <f t="array" ref="AU88">IsGreen('Large Dataset'!Q88)</f>
        <v>0</v>
      </c>
      <c r="BA88" t="b" cm="1">
        <f t="array" ref="BA88">IsRed('Large Dataset'!R88)</f>
        <v>1</v>
      </c>
      <c r="BB88" t="b" cm="1">
        <f t="array" ref="BB88">IsBlue('Large Dataset'!R88)</f>
        <v>0</v>
      </c>
      <c r="BC88" t="b" cm="1">
        <f t="array" ref="BC88">IsPurple('Large Dataset'!R88)</f>
        <v>0</v>
      </c>
      <c r="BD88" t="b" cm="1">
        <f t="array" ref="BD88">IsGreen('Large Dataset'!R88)</f>
        <v>0</v>
      </c>
      <c r="BJ88" t="b" cm="1">
        <f t="array" ref="BJ88">IsRed('Large Dataset'!T88)</f>
        <v>0</v>
      </c>
      <c r="BK88" t="b" cm="1">
        <f t="array" ref="BK88">IsBlue('Large Dataset'!T88)</f>
        <v>0</v>
      </c>
      <c r="BL88" t="b" cm="1">
        <f t="array" ref="BL88">IsPurple('Large Dataset'!T88)</f>
        <v>0</v>
      </c>
      <c r="BM88" t="b" cm="1">
        <f t="array" ref="BM88">IsGreen('Large Dataset'!T88)</f>
        <v>0</v>
      </c>
      <c r="BS88" t="b" cm="1">
        <f t="array" ref="BS88">IsRed('Large Dataset'!U88)</f>
        <v>1</v>
      </c>
      <c r="BT88" t="b" cm="1">
        <f t="array" ref="BT88">IsBlue('Large Dataset'!U88)</f>
        <v>0</v>
      </c>
      <c r="BU88" t="b" cm="1">
        <f t="array" ref="BU88">IsPurple('Large Dataset'!U88)</f>
        <v>0</v>
      </c>
      <c r="BV88" t="b" cm="1">
        <f t="array" ref="BV88">IsGreen('Large Dataset'!U88)</f>
        <v>0</v>
      </c>
    </row>
    <row r="89" spans="7:74">
      <c r="G89" t="b" cm="1">
        <f t="array" ref="G89">IsRed('Large Dataset'!I89)</f>
        <v>0</v>
      </c>
      <c r="H89" t="b" cm="1">
        <f t="array" ref="H89">IsBlue('Large Dataset'!I89)</f>
        <v>0</v>
      </c>
      <c r="I89" t="b" cm="1">
        <f t="array" ref="I89">IsPurple('Large Dataset'!I89)</f>
        <v>0</v>
      </c>
      <c r="J89" t="b" cm="1">
        <f t="array" ref="J89">IsGreen('Large Dataset'!G89)</f>
        <v>0</v>
      </c>
      <c r="P89" t="b" cm="1">
        <f t="array" ref="P89">IsRed('Large Dataset'!K89)</f>
        <v>0</v>
      </c>
      <c r="Q89" t="b" cm="1">
        <f t="array" ref="Q89">IsBlue('Large Dataset'!K89)</f>
        <v>0</v>
      </c>
      <c r="R89" t="b" cm="1">
        <f t="array" ref="R89">IsPurple('Large Dataset'!K89)</f>
        <v>0</v>
      </c>
      <c r="S89" t="b" cm="1">
        <f t="array" ref="S89">IsGreen('Large Dataset'!K89)</f>
        <v>0</v>
      </c>
      <c r="Y89" t="b" cm="1">
        <f t="array" ref="Y89">IsRed('Large Dataset'!M89)</f>
        <v>0</v>
      </c>
      <c r="Z89" t="b" cm="1">
        <f t="array" ref="Z89">IsBlue('Large Dataset'!M89)</f>
        <v>0</v>
      </c>
      <c r="AA89" t="b" cm="1">
        <f t="array" ref="AA89">IsPurple('Large Dataset'!M89)</f>
        <v>0</v>
      </c>
      <c r="AB89" t="b" cm="1">
        <f t="array" ref="AB89">IsGreen('Large Dataset'!M89)</f>
        <v>0</v>
      </c>
      <c r="AH89" t="b" cm="1">
        <f t="array" ref="AH89">IsRed('Large Dataset'!O89)</f>
        <v>0</v>
      </c>
      <c r="AI89" t="b" cm="1">
        <f t="array" ref="AI89">IsBlue('Large Dataset'!O89)</f>
        <v>0</v>
      </c>
      <c r="AJ89" t="b" cm="1">
        <f t="array" ref="AJ89">IsPurple('Large Dataset'!O89)</f>
        <v>0</v>
      </c>
      <c r="AK89" t="b" cm="1">
        <f t="array" ref="AK89">IsGreen('Large Dataset'!O89)</f>
        <v>0</v>
      </c>
      <c r="AR89" t="b" cm="1">
        <f t="array" ref="AR89">IsRed('Large Dataset'!Q89)</f>
        <v>0</v>
      </c>
      <c r="AS89" t="b" cm="1">
        <f t="array" ref="AS89">IsBlue('Large Dataset'!Q89)</f>
        <v>0</v>
      </c>
      <c r="AT89" t="b" cm="1">
        <f t="array" ref="AT89">IsPurple('Large Dataset'!Q89)</f>
        <v>0</v>
      </c>
      <c r="AU89" t="b" cm="1">
        <f t="array" ref="AU89">IsGreen('Large Dataset'!Q89)</f>
        <v>0</v>
      </c>
      <c r="BA89" t="b" cm="1">
        <f t="array" ref="BA89">IsRed('Large Dataset'!R89)</f>
        <v>1</v>
      </c>
      <c r="BB89" t="b" cm="1">
        <f t="array" ref="BB89">IsBlue('Large Dataset'!R89)</f>
        <v>0</v>
      </c>
      <c r="BC89" t="b" cm="1">
        <f t="array" ref="BC89">IsPurple('Large Dataset'!R89)</f>
        <v>0</v>
      </c>
      <c r="BD89" t="b" cm="1">
        <f t="array" ref="BD89">IsGreen('Large Dataset'!R89)</f>
        <v>0</v>
      </c>
      <c r="BJ89" t="b" cm="1">
        <f t="array" ref="BJ89">IsRed('Large Dataset'!T89)</f>
        <v>0</v>
      </c>
      <c r="BK89" t="b" cm="1">
        <f t="array" ref="BK89">IsBlue('Large Dataset'!T89)</f>
        <v>0</v>
      </c>
      <c r="BL89" t="b" cm="1">
        <f t="array" ref="BL89">IsPurple('Large Dataset'!T89)</f>
        <v>0</v>
      </c>
      <c r="BM89" t="b" cm="1">
        <f t="array" ref="BM89">IsGreen('Large Dataset'!T89)</f>
        <v>0</v>
      </c>
      <c r="BS89" t="b" cm="1">
        <f t="array" ref="BS89">IsRed('Large Dataset'!U89)</f>
        <v>1</v>
      </c>
      <c r="BT89" t="b" cm="1">
        <f t="array" ref="BT89">IsBlue('Large Dataset'!U89)</f>
        <v>0</v>
      </c>
      <c r="BU89" t="b" cm="1">
        <f t="array" ref="BU89">IsPurple('Large Dataset'!U89)</f>
        <v>0</v>
      </c>
      <c r="BV89" t="b" cm="1">
        <f t="array" ref="BV89">IsGreen('Large Dataset'!U89)</f>
        <v>0</v>
      </c>
    </row>
    <row r="90" spans="7:74">
      <c r="G90" t="b" cm="1">
        <f t="array" ref="G90">IsRed('Large Dataset'!I90)</f>
        <v>0</v>
      </c>
      <c r="H90" t="b" cm="1">
        <f t="array" ref="H90">IsBlue('Large Dataset'!I90)</f>
        <v>0</v>
      </c>
      <c r="I90" t="b" cm="1">
        <f t="array" ref="I90">IsPurple('Large Dataset'!I90)</f>
        <v>0</v>
      </c>
      <c r="J90" t="b" cm="1">
        <f t="array" ref="J90">IsGreen('Large Dataset'!G90)</f>
        <v>0</v>
      </c>
      <c r="P90" t="b" cm="1">
        <f t="array" ref="P90">IsRed('Large Dataset'!K90)</f>
        <v>0</v>
      </c>
      <c r="Q90" t="b" cm="1">
        <f t="array" ref="Q90">IsBlue('Large Dataset'!K90)</f>
        <v>0</v>
      </c>
      <c r="R90" t="b" cm="1">
        <f t="array" ref="R90">IsPurple('Large Dataset'!K90)</f>
        <v>0</v>
      </c>
      <c r="S90" t="b" cm="1">
        <f t="array" ref="S90">IsGreen('Large Dataset'!K90)</f>
        <v>0</v>
      </c>
      <c r="Y90" t="b" cm="1">
        <f t="array" ref="Y90">IsRed('Large Dataset'!M90)</f>
        <v>0</v>
      </c>
      <c r="Z90" t="b" cm="1">
        <f t="array" ref="Z90">IsBlue('Large Dataset'!M90)</f>
        <v>0</v>
      </c>
      <c r="AA90" t="b" cm="1">
        <f t="array" ref="AA90">IsPurple('Large Dataset'!M90)</f>
        <v>0</v>
      </c>
      <c r="AB90" t="b" cm="1">
        <f t="array" ref="AB90">IsGreen('Large Dataset'!M90)</f>
        <v>0</v>
      </c>
      <c r="AH90" t="b" cm="1">
        <f t="array" ref="AH90">IsRed('Large Dataset'!O90)</f>
        <v>0</v>
      </c>
      <c r="AI90" t="b" cm="1">
        <f t="array" ref="AI90">IsBlue('Large Dataset'!O90)</f>
        <v>0</v>
      </c>
      <c r="AJ90" t="b" cm="1">
        <f t="array" ref="AJ90">IsPurple('Large Dataset'!O90)</f>
        <v>0</v>
      </c>
      <c r="AK90" t="b" cm="1">
        <f t="array" ref="AK90">IsGreen('Large Dataset'!O90)</f>
        <v>0</v>
      </c>
      <c r="AR90" t="b" cm="1">
        <f t="array" ref="AR90">IsRed('Large Dataset'!Q90)</f>
        <v>0</v>
      </c>
      <c r="AS90" t="b" cm="1">
        <f t="array" ref="AS90">IsBlue('Large Dataset'!Q90)</f>
        <v>0</v>
      </c>
      <c r="AT90" t="b" cm="1">
        <f t="array" ref="AT90">IsPurple('Large Dataset'!Q90)</f>
        <v>0</v>
      </c>
      <c r="AU90" t="b" cm="1">
        <f t="array" ref="AU90">IsGreen('Large Dataset'!Q90)</f>
        <v>0</v>
      </c>
      <c r="BA90" t="b" cm="1">
        <f t="array" ref="BA90">IsRed('Large Dataset'!R90)</f>
        <v>1</v>
      </c>
      <c r="BB90" t="b" cm="1">
        <f t="array" ref="BB90">IsBlue('Large Dataset'!R90)</f>
        <v>0</v>
      </c>
      <c r="BC90" t="b" cm="1">
        <f t="array" ref="BC90">IsPurple('Large Dataset'!R90)</f>
        <v>0</v>
      </c>
      <c r="BD90" t="b" cm="1">
        <f t="array" ref="BD90">IsGreen('Large Dataset'!R90)</f>
        <v>0</v>
      </c>
      <c r="BJ90" t="b" cm="1">
        <f t="array" ref="BJ90">IsRed('Large Dataset'!T90)</f>
        <v>0</v>
      </c>
      <c r="BK90" t="b" cm="1">
        <f t="array" ref="BK90">IsBlue('Large Dataset'!T90)</f>
        <v>0</v>
      </c>
      <c r="BL90" t="b" cm="1">
        <f t="array" ref="BL90">IsPurple('Large Dataset'!T90)</f>
        <v>0</v>
      </c>
      <c r="BM90" t="b" cm="1">
        <f t="array" ref="BM90">IsGreen('Large Dataset'!T90)</f>
        <v>0</v>
      </c>
      <c r="BS90" t="b" cm="1">
        <f t="array" ref="BS90">IsRed('Large Dataset'!U90)</f>
        <v>0</v>
      </c>
      <c r="BT90" t="b" cm="1">
        <f t="array" ref="BT90">IsBlue('Large Dataset'!U90)</f>
        <v>0</v>
      </c>
      <c r="BU90" t="b" cm="1">
        <f t="array" ref="BU90">IsPurple('Large Dataset'!U90)</f>
        <v>0</v>
      </c>
      <c r="BV90" t="b" cm="1">
        <f t="array" ref="BV90">IsGreen('Large Dataset'!U90)</f>
        <v>0</v>
      </c>
    </row>
    <row r="91" spans="7:74">
      <c r="G91" t="b" cm="1">
        <f t="array" ref="G91">IsRed('Large Dataset'!I91)</f>
        <v>0</v>
      </c>
      <c r="H91" t="b" cm="1">
        <f t="array" ref="H91">IsBlue('Large Dataset'!I91)</f>
        <v>0</v>
      </c>
      <c r="I91" t="b" cm="1">
        <f t="array" ref="I91">IsPurple('Large Dataset'!I91)</f>
        <v>0</v>
      </c>
      <c r="J91" t="b" cm="1">
        <f t="array" ref="J91">IsGreen('Large Dataset'!G91)</f>
        <v>0</v>
      </c>
      <c r="P91" t="b" cm="1">
        <f t="array" ref="P91">IsRed('Large Dataset'!K91)</f>
        <v>0</v>
      </c>
      <c r="Q91" t="b" cm="1">
        <f t="array" ref="Q91">IsBlue('Large Dataset'!K91)</f>
        <v>0</v>
      </c>
      <c r="R91" t="b" cm="1">
        <f t="array" ref="R91">IsPurple('Large Dataset'!K91)</f>
        <v>0</v>
      </c>
      <c r="S91" t="b" cm="1">
        <f t="array" ref="S91">IsGreen('Large Dataset'!K91)</f>
        <v>0</v>
      </c>
      <c r="Y91" t="b" cm="1">
        <f t="array" ref="Y91">IsRed('Large Dataset'!M91)</f>
        <v>0</v>
      </c>
      <c r="Z91" t="b" cm="1">
        <f t="array" ref="Z91">IsBlue('Large Dataset'!M91)</f>
        <v>0</v>
      </c>
      <c r="AA91" t="b" cm="1">
        <f t="array" ref="AA91">IsPurple('Large Dataset'!M91)</f>
        <v>0</v>
      </c>
      <c r="AB91" t="b" cm="1">
        <f t="array" ref="AB91">IsGreen('Large Dataset'!M91)</f>
        <v>0</v>
      </c>
      <c r="AH91" t="b" cm="1">
        <f t="array" ref="AH91">IsRed('Large Dataset'!O91)</f>
        <v>0</v>
      </c>
      <c r="AI91" t="b" cm="1">
        <f t="array" ref="AI91">IsBlue('Large Dataset'!O91)</f>
        <v>0</v>
      </c>
      <c r="AJ91" t="b" cm="1">
        <f t="array" ref="AJ91">IsPurple('Large Dataset'!O91)</f>
        <v>0</v>
      </c>
      <c r="AK91" t="b" cm="1">
        <f t="array" ref="AK91">IsGreen('Large Dataset'!O91)</f>
        <v>0</v>
      </c>
      <c r="AR91" t="b" cm="1">
        <f t="array" ref="AR91">IsRed('Large Dataset'!Q91)</f>
        <v>0</v>
      </c>
      <c r="AS91" t="b" cm="1">
        <f t="array" ref="AS91">IsBlue('Large Dataset'!Q91)</f>
        <v>0</v>
      </c>
      <c r="AT91" t="b" cm="1">
        <f t="array" ref="AT91">IsPurple('Large Dataset'!Q91)</f>
        <v>0</v>
      </c>
      <c r="AU91" t="b" cm="1">
        <f t="array" ref="AU91">IsGreen('Large Dataset'!Q91)</f>
        <v>0</v>
      </c>
      <c r="BA91" t="b" cm="1">
        <f t="array" ref="BA91">IsRed('Large Dataset'!R91)</f>
        <v>1</v>
      </c>
      <c r="BB91" t="b" cm="1">
        <f t="array" ref="BB91">IsBlue('Large Dataset'!R91)</f>
        <v>0</v>
      </c>
      <c r="BC91" t="b" cm="1">
        <f t="array" ref="BC91">IsPurple('Large Dataset'!R91)</f>
        <v>0</v>
      </c>
      <c r="BD91" t="b" cm="1">
        <f t="array" ref="BD91">IsGreen('Large Dataset'!R91)</f>
        <v>0</v>
      </c>
      <c r="BJ91" t="b" cm="1">
        <f t="array" ref="BJ91">IsRed('Large Dataset'!T91)</f>
        <v>0</v>
      </c>
      <c r="BK91" t="b" cm="1">
        <f t="array" ref="BK91">IsBlue('Large Dataset'!T91)</f>
        <v>0</v>
      </c>
      <c r="BL91" t="b" cm="1">
        <f t="array" ref="BL91">IsPurple('Large Dataset'!T91)</f>
        <v>0</v>
      </c>
      <c r="BM91" t="b" cm="1">
        <f t="array" ref="BM91">IsGreen('Large Dataset'!T91)</f>
        <v>0</v>
      </c>
      <c r="BS91" t="b" cm="1">
        <f t="array" ref="BS91">IsRed('Large Dataset'!U91)</f>
        <v>1</v>
      </c>
      <c r="BT91" t="b" cm="1">
        <f t="array" ref="BT91">IsBlue('Large Dataset'!U91)</f>
        <v>0</v>
      </c>
      <c r="BU91" t="b" cm="1">
        <f t="array" ref="BU91">IsPurple('Large Dataset'!U91)</f>
        <v>0</v>
      </c>
      <c r="BV91" t="b" cm="1">
        <f t="array" ref="BV91">IsGreen('Large Dataset'!U91)</f>
        <v>0</v>
      </c>
    </row>
    <row r="92" spans="7:74">
      <c r="G92" t="b" cm="1">
        <f t="array" ref="G92">IsRed('Large Dataset'!I92)</f>
        <v>0</v>
      </c>
      <c r="H92" t="b" cm="1">
        <f t="array" ref="H92">IsBlue('Large Dataset'!I92)</f>
        <v>0</v>
      </c>
      <c r="I92" t="b" cm="1">
        <f t="array" ref="I92">IsPurple('Large Dataset'!I92)</f>
        <v>0</v>
      </c>
      <c r="J92" t="b" cm="1">
        <f t="array" ref="J92">IsGreen('Large Dataset'!G92)</f>
        <v>0</v>
      </c>
      <c r="P92" t="b" cm="1">
        <f t="array" ref="P92">IsRed('Large Dataset'!K92)</f>
        <v>0</v>
      </c>
      <c r="Q92" t="b" cm="1">
        <f t="array" ref="Q92">IsBlue('Large Dataset'!K92)</f>
        <v>0</v>
      </c>
      <c r="R92" t="b" cm="1">
        <f t="array" ref="R92">IsPurple('Large Dataset'!K92)</f>
        <v>0</v>
      </c>
      <c r="S92" t="b" cm="1">
        <f t="array" ref="S92">IsGreen('Large Dataset'!K92)</f>
        <v>0</v>
      </c>
      <c r="Y92" t="b" cm="1">
        <f t="array" ref="Y92">IsRed('Large Dataset'!M92)</f>
        <v>0</v>
      </c>
      <c r="Z92" t="b" cm="1">
        <f t="array" ref="Z92">IsBlue('Large Dataset'!M92)</f>
        <v>0</v>
      </c>
      <c r="AA92" t="b" cm="1">
        <f t="array" ref="AA92">IsPurple('Large Dataset'!M92)</f>
        <v>0</v>
      </c>
      <c r="AB92" t="b" cm="1">
        <f t="array" ref="AB92">IsGreen('Large Dataset'!M92)</f>
        <v>0</v>
      </c>
      <c r="AH92" t="b" cm="1">
        <f t="array" ref="AH92">IsRed('Large Dataset'!O92)</f>
        <v>0</v>
      </c>
      <c r="AI92" t="b" cm="1">
        <f t="array" ref="AI92">IsBlue('Large Dataset'!O92)</f>
        <v>0</v>
      </c>
      <c r="AJ92" t="b" cm="1">
        <f t="array" ref="AJ92">IsPurple('Large Dataset'!O92)</f>
        <v>0</v>
      </c>
      <c r="AK92" t="b" cm="1">
        <f t="array" ref="AK92">IsGreen('Large Dataset'!O92)</f>
        <v>0</v>
      </c>
      <c r="AR92" t="b" cm="1">
        <f t="array" ref="AR92">IsRed('Large Dataset'!Q92)</f>
        <v>0</v>
      </c>
      <c r="AS92" t="b" cm="1">
        <f t="array" ref="AS92">IsBlue('Large Dataset'!Q92)</f>
        <v>0</v>
      </c>
      <c r="AT92" t="b" cm="1">
        <f t="array" ref="AT92">IsPurple('Large Dataset'!Q92)</f>
        <v>0</v>
      </c>
      <c r="AU92" t="b" cm="1">
        <f t="array" ref="AU92">IsGreen('Large Dataset'!Q92)</f>
        <v>0</v>
      </c>
      <c r="BA92" t="b" cm="1">
        <f t="array" ref="BA92">IsRed('Large Dataset'!R92)</f>
        <v>1</v>
      </c>
      <c r="BB92" t="b" cm="1">
        <f t="array" ref="BB92">IsBlue('Large Dataset'!R92)</f>
        <v>0</v>
      </c>
      <c r="BC92" t="b" cm="1">
        <f t="array" ref="BC92">IsPurple('Large Dataset'!R92)</f>
        <v>0</v>
      </c>
      <c r="BD92" t="b" cm="1">
        <f t="array" ref="BD92">IsGreen('Large Dataset'!R92)</f>
        <v>0</v>
      </c>
      <c r="BJ92" t="b" cm="1">
        <f t="array" ref="BJ92">IsRed('Large Dataset'!T92)</f>
        <v>0</v>
      </c>
      <c r="BK92" t="b" cm="1">
        <f t="array" ref="BK92">IsBlue('Large Dataset'!T92)</f>
        <v>0</v>
      </c>
      <c r="BL92" t="b" cm="1">
        <f t="array" ref="BL92">IsPurple('Large Dataset'!T92)</f>
        <v>0</v>
      </c>
      <c r="BM92" t="b" cm="1">
        <f t="array" ref="BM92">IsGreen('Large Dataset'!T92)</f>
        <v>0</v>
      </c>
      <c r="BS92" t="b" cm="1">
        <f t="array" ref="BS92">IsRed('Large Dataset'!U92)</f>
        <v>1</v>
      </c>
      <c r="BT92" t="b" cm="1">
        <f t="array" ref="BT92">IsBlue('Large Dataset'!U92)</f>
        <v>0</v>
      </c>
      <c r="BU92" t="b" cm="1">
        <f t="array" ref="BU92">IsPurple('Large Dataset'!U92)</f>
        <v>0</v>
      </c>
      <c r="BV92" t="b" cm="1">
        <f t="array" ref="BV92">IsGreen('Large Dataset'!U92)</f>
        <v>0</v>
      </c>
    </row>
    <row r="93" spans="7:74">
      <c r="G93" t="b" cm="1">
        <f t="array" ref="G93">IsRed('Large Dataset'!I93)</f>
        <v>0</v>
      </c>
      <c r="H93" t="b" cm="1">
        <f t="array" ref="H93">IsBlue('Large Dataset'!I93)</f>
        <v>0</v>
      </c>
      <c r="I93" t="b" cm="1">
        <f t="array" ref="I93">IsPurple('Large Dataset'!I93)</f>
        <v>0</v>
      </c>
      <c r="J93" t="b" cm="1">
        <f t="array" ref="J93">IsGreen('Large Dataset'!G93)</f>
        <v>1</v>
      </c>
      <c r="P93" t="b" cm="1">
        <f t="array" ref="P93">IsRed('Large Dataset'!K93)</f>
        <v>0</v>
      </c>
      <c r="Q93" t="b" cm="1">
        <f t="array" ref="Q93">IsBlue('Large Dataset'!K93)</f>
        <v>0</v>
      </c>
      <c r="R93" t="b" cm="1">
        <f t="array" ref="R93">IsPurple('Large Dataset'!K93)</f>
        <v>0</v>
      </c>
      <c r="S93" t="b" cm="1">
        <f t="array" ref="S93">IsGreen('Large Dataset'!K93)</f>
        <v>0</v>
      </c>
      <c r="Y93" t="b" cm="1">
        <f t="array" ref="Y93">IsRed('Large Dataset'!M93)</f>
        <v>0</v>
      </c>
      <c r="Z93" t="b" cm="1">
        <f t="array" ref="Z93">IsBlue('Large Dataset'!M93)</f>
        <v>0</v>
      </c>
      <c r="AA93" t="b" cm="1">
        <f t="array" ref="AA93">IsPurple('Large Dataset'!M93)</f>
        <v>0</v>
      </c>
      <c r="AB93" t="b" cm="1">
        <f t="array" ref="AB93">IsGreen('Large Dataset'!M93)</f>
        <v>0</v>
      </c>
      <c r="AH93" t="b" cm="1">
        <f t="array" ref="AH93">IsRed('Large Dataset'!O93)</f>
        <v>0</v>
      </c>
      <c r="AI93" t="b" cm="1">
        <f t="array" ref="AI93">IsBlue('Large Dataset'!O93)</f>
        <v>0</v>
      </c>
      <c r="AJ93" t="b" cm="1">
        <f t="array" ref="AJ93">IsPurple('Large Dataset'!O93)</f>
        <v>0</v>
      </c>
      <c r="AK93" t="b" cm="1">
        <f t="array" ref="AK93">IsGreen('Large Dataset'!O93)</f>
        <v>0</v>
      </c>
      <c r="AR93" t="b" cm="1">
        <f t="array" ref="AR93">IsRed('Large Dataset'!Q93)</f>
        <v>0</v>
      </c>
      <c r="AS93" t="b" cm="1">
        <f t="array" ref="AS93">IsBlue('Large Dataset'!Q93)</f>
        <v>0</v>
      </c>
      <c r="AT93" t="b" cm="1">
        <f t="array" ref="AT93">IsPurple('Large Dataset'!Q93)</f>
        <v>0</v>
      </c>
      <c r="AU93" t="b" cm="1">
        <f t="array" ref="AU93">IsGreen('Large Dataset'!Q93)</f>
        <v>0</v>
      </c>
      <c r="BA93" t="b" cm="1">
        <f t="array" ref="BA93">IsRed('Large Dataset'!R93)</f>
        <v>0</v>
      </c>
      <c r="BB93" t="b" cm="1">
        <f t="array" ref="BB93">IsBlue('Large Dataset'!R93)</f>
        <v>0</v>
      </c>
      <c r="BC93" t="b" cm="1">
        <f t="array" ref="BC93">IsPurple('Large Dataset'!R93)</f>
        <v>0</v>
      </c>
      <c r="BD93" t="b" cm="1">
        <f t="array" ref="BD93">IsGreen('Large Dataset'!R93)</f>
        <v>0</v>
      </c>
      <c r="BJ93" t="b" cm="1">
        <f t="array" ref="BJ93">IsRed('Large Dataset'!T93)</f>
        <v>0</v>
      </c>
      <c r="BK93" t="b" cm="1">
        <f t="array" ref="BK93">IsBlue('Large Dataset'!T93)</f>
        <v>0</v>
      </c>
      <c r="BL93" t="b" cm="1">
        <f t="array" ref="BL93">IsPurple('Large Dataset'!T93)</f>
        <v>0</v>
      </c>
      <c r="BM93" t="b" cm="1">
        <f t="array" ref="BM93">IsGreen('Large Dataset'!T93)</f>
        <v>0</v>
      </c>
      <c r="BS93" t="b" cm="1">
        <f t="array" ref="BS93">IsRed('Large Dataset'!U93)</f>
        <v>0</v>
      </c>
      <c r="BT93" t="b" cm="1">
        <f t="array" ref="BT93">IsBlue('Large Dataset'!U93)</f>
        <v>0</v>
      </c>
      <c r="BU93" t="b" cm="1">
        <f t="array" ref="BU93">IsPurple('Large Dataset'!U93)</f>
        <v>0</v>
      </c>
      <c r="BV93" t="b" cm="1">
        <f t="array" ref="BV93">IsGreen('Large Dataset'!U93)</f>
        <v>0</v>
      </c>
    </row>
    <row r="94" spans="7:74">
      <c r="G94" t="b" cm="1">
        <f t="array" ref="G94">IsRed('Large Dataset'!I94)</f>
        <v>0</v>
      </c>
      <c r="H94" t="b" cm="1">
        <f t="array" ref="H94">IsBlue('Large Dataset'!I94)</f>
        <v>0</v>
      </c>
      <c r="I94" t="b" cm="1">
        <f t="array" ref="I94">IsPurple('Large Dataset'!I94)</f>
        <v>0</v>
      </c>
      <c r="J94" t="b" cm="1">
        <f t="array" ref="J94">IsGreen('Large Dataset'!G94)</f>
        <v>1</v>
      </c>
      <c r="P94" t="b" cm="1">
        <f t="array" ref="P94">IsRed('Large Dataset'!K94)</f>
        <v>0</v>
      </c>
      <c r="Q94" t="b" cm="1">
        <f t="array" ref="Q94">IsBlue('Large Dataset'!K94)</f>
        <v>0</v>
      </c>
      <c r="R94" t="b" cm="1">
        <f t="array" ref="R94">IsPurple('Large Dataset'!K94)</f>
        <v>0</v>
      </c>
      <c r="S94" t="b" cm="1">
        <f t="array" ref="S94">IsGreen('Large Dataset'!K94)</f>
        <v>0</v>
      </c>
      <c r="Y94" t="b" cm="1">
        <f t="array" ref="Y94">IsRed('Large Dataset'!M94)</f>
        <v>0</v>
      </c>
      <c r="Z94" t="b" cm="1">
        <f t="array" ref="Z94">IsBlue('Large Dataset'!M94)</f>
        <v>0</v>
      </c>
      <c r="AA94" t="b" cm="1">
        <f t="array" ref="AA94">IsPurple('Large Dataset'!M94)</f>
        <v>0</v>
      </c>
      <c r="AB94" t="b" cm="1">
        <f t="array" ref="AB94">IsGreen('Large Dataset'!M94)</f>
        <v>0</v>
      </c>
      <c r="AH94" t="b" cm="1">
        <f t="array" ref="AH94">IsRed('Large Dataset'!O94)</f>
        <v>0</v>
      </c>
      <c r="AI94" t="b" cm="1">
        <f t="array" ref="AI94">IsBlue('Large Dataset'!O94)</f>
        <v>0</v>
      </c>
      <c r="AJ94" t="b" cm="1">
        <f t="array" ref="AJ94">IsPurple('Large Dataset'!O94)</f>
        <v>0</v>
      </c>
      <c r="AK94" t="b" cm="1">
        <f t="array" ref="AK94">IsGreen('Large Dataset'!O94)</f>
        <v>0</v>
      </c>
      <c r="AR94" t="b" cm="1">
        <f t="array" ref="AR94">IsRed('Large Dataset'!Q94)</f>
        <v>0</v>
      </c>
      <c r="AS94" t="b" cm="1">
        <f t="array" ref="AS94">IsBlue('Large Dataset'!Q94)</f>
        <v>0</v>
      </c>
      <c r="AT94" t="b" cm="1">
        <f t="array" ref="AT94">IsPurple('Large Dataset'!Q94)</f>
        <v>0</v>
      </c>
      <c r="AU94" t="b" cm="1">
        <f t="array" ref="AU94">IsGreen('Large Dataset'!Q94)</f>
        <v>0</v>
      </c>
      <c r="BA94" t="b" cm="1">
        <f t="array" ref="BA94">IsRed('Large Dataset'!R94)</f>
        <v>0</v>
      </c>
      <c r="BB94" t="b" cm="1">
        <f t="array" ref="BB94">IsBlue('Large Dataset'!R94)</f>
        <v>0</v>
      </c>
      <c r="BC94" t="b" cm="1">
        <f t="array" ref="BC94">IsPurple('Large Dataset'!R94)</f>
        <v>0</v>
      </c>
      <c r="BD94" t="b" cm="1">
        <f t="array" ref="BD94">IsGreen('Large Dataset'!R94)</f>
        <v>0</v>
      </c>
      <c r="BJ94" t="b" cm="1">
        <f t="array" ref="BJ94">IsRed('Large Dataset'!T94)</f>
        <v>0</v>
      </c>
      <c r="BK94" t="b" cm="1">
        <f t="array" ref="BK94">IsBlue('Large Dataset'!T94)</f>
        <v>0</v>
      </c>
      <c r="BL94" t="b" cm="1">
        <f t="array" ref="BL94">IsPurple('Large Dataset'!T94)</f>
        <v>0</v>
      </c>
      <c r="BM94" t="b" cm="1">
        <f t="array" ref="BM94">IsGreen('Large Dataset'!T94)</f>
        <v>0</v>
      </c>
      <c r="BS94" t="b" cm="1">
        <f t="array" ref="BS94">IsRed('Large Dataset'!U94)</f>
        <v>0</v>
      </c>
      <c r="BT94" t="b" cm="1">
        <f t="array" ref="BT94">IsBlue('Large Dataset'!U94)</f>
        <v>0</v>
      </c>
      <c r="BU94" t="b" cm="1">
        <f t="array" ref="BU94">IsPurple('Large Dataset'!U94)</f>
        <v>0</v>
      </c>
      <c r="BV94" t="b" cm="1">
        <f t="array" ref="BV94">IsGreen('Large Dataset'!U94)</f>
        <v>0</v>
      </c>
    </row>
    <row r="95" spans="7:74">
      <c r="G95" t="b" cm="1">
        <f t="array" ref="G95">IsRed('Large Dataset'!I95)</f>
        <v>0</v>
      </c>
      <c r="H95" t="b" cm="1">
        <f t="array" ref="H95">IsBlue('Large Dataset'!I95)</f>
        <v>0</v>
      </c>
      <c r="I95" t="b" cm="1">
        <f t="array" ref="I95">IsPurple('Large Dataset'!I95)</f>
        <v>0</v>
      </c>
      <c r="J95" t="b" cm="1">
        <f t="array" ref="J95">IsGreen('Large Dataset'!G95)</f>
        <v>1</v>
      </c>
      <c r="P95" t="b" cm="1">
        <f t="array" ref="P95">IsRed('Large Dataset'!K95)</f>
        <v>0</v>
      </c>
      <c r="Q95" t="b" cm="1">
        <f t="array" ref="Q95">IsBlue('Large Dataset'!K95)</f>
        <v>0</v>
      </c>
      <c r="R95" t="b" cm="1">
        <f t="array" ref="R95">IsPurple('Large Dataset'!K95)</f>
        <v>0</v>
      </c>
      <c r="S95" t="b" cm="1">
        <f t="array" ref="S95">IsGreen('Large Dataset'!K95)</f>
        <v>0</v>
      </c>
      <c r="Y95" t="b" cm="1">
        <f t="array" ref="Y95">IsRed('Large Dataset'!M95)</f>
        <v>0</v>
      </c>
      <c r="Z95" t="b" cm="1">
        <f t="array" ref="Z95">IsBlue('Large Dataset'!M95)</f>
        <v>0</v>
      </c>
      <c r="AA95" t="b" cm="1">
        <f t="array" ref="AA95">IsPurple('Large Dataset'!M95)</f>
        <v>0</v>
      </c>
      <c r="AB95" t="b" cm="1">
        <f t="array" ref="AB95">IsGreen('Large Dataset'!M95)</f>
        <v>0</v>
      </c>
      <c r="AH95" t="b" cm="1">
        <f t="array" ref="AH95">IsRed('Large Dataset'!O95)</f>
        <v>0</v>
      </c>
      <c r="AI95" t="b" cm="1">
        <f t="array" ref="AI95">IsBlue('Large Dataset'!O95)</f>
        <v>0</v>
      </c>
      <c r="AJ95" t="b" cm="1">
        <f t="array" ref="AJ95">IsPurple('Large Dataset'!O95)</f>
        <v>0</v>
      </c>
      <c r="AK95" t="b" cm="1">
        <f t="array" ref="AK95">IsGreen('Large Dataset'!O95)</f>
        <v>0</v>
      </c>
      <c r="AR95" t="b" cm="1">
        <f t="array" ref="AR95">IsRed('Large Dataset'!Q95)</f>
        <v>0</v>
      </c>
      <c r="AS95" t="b" cm="1">
        <f t="array" ref="AS95">IsBlue('Large Dataset'!Q95)</f>
        <v>0</v>
      </c>
      <c r="AT95" t="b" cm="1">
        <f t="array" ref="AT95">IsPurple('Large Dataset'!Q95)</f>
        <v>0</v>
      </c>
      <c r="AU95" t="b" cm="1">
        <f t="array" ref="AU95">IsGreen('Large Dataset'!Q95)</f>
        <v>0</v>
      </c>
      <c r="BA95" t="b" cm="1">
        <f t="array" ref="BA95">IsRed('Large Dataset'!R95)</f>
        <v>0</v>
      </c>
      <c r="BB95" t="b" cm="1">
        <f t="array" ref="BB95">IsBlue('Large Dataset'!R95)</f>
        <v>0</v>
      </c>
      <c r="BC95" t="b" cm="1">
        <f t="array" ref="BC95">IsPurple('Large Dataset'!R95)</f>
        <v>0</v>
      </c>
      <c r="BD95" t="b" cm="1">
        <f t="array" ref="BD95">IsGreen('Large Dataset'!R95)</f>
        <v>0</v>
      </c>
      <c r="BJ95" t="b" cm="1">
        <f t="array" ref="BJ95">IsRed('Large Dataset'!T95)</f>
        <v>0</v>
      </c>
      <c r="BK95" t="b" cm="1">
        <f t="array" ref="BK95">IsBlue('Large Dataset'!T95)</f>
        <v>0</v>
      </c>
      <c r="BL95" t="b" cm="1">
        <f t="array" ref="BL95">IsPurple('Large Dataset'!T95)</f>
        <v>0</v>
      </c>
      <c r="BM95" t="b" cm="1">
        <f t="array" ref="BM95">IsGreen('Large Dataset'!T95)</f>
        <v>0</v>
      </c>
      <c r="BS95" t="b" cm="1">
        <f t="array" ref="BS95">IsRed('Large Dataset'!U95)</f>
        <v>0</v>
      </c>
      <c r="BT95" t="b" cm="1">
        <f t="array" ref="BT95">IsBlue('Large Dataset'!U95)</f>
        <v>0</v>
      </c>
      <c r="BU95" t="b" cm="1">
        <f t="array" ref="BU95">IsPurple('Large Dataset'!U95)</f>
        <v>0</v>
      </c>
      <c r="BV95" t="b" cm="1">
        <f t="array" ref="BV95">IsGreen('Large Dataset'!U95)</f>
        <v>0</v>
      </c>
    </row>
    <row r="96" spans="7:74">
      <c r="G96" t="b" cm="1">
        <f t="array" ref="G96">IsRed('Large Dataset'!I96)</f>
        <v>0</v>
      </c>
      <c r="H96" t="b" cm="1">
        <f t="array" ref="H96">IsBlue('Large Dataset'!I96)</f>
        <v>0</v>
      </c>
      <c r="I96" t="b" cm="1">
        <f t="array" ref="I96">IsPurple('Large Dataset'!I96)</f>
        <v>0</v>
      </c>
      <c r="J96" t="b" cm="1">
        <f t="array" ref="J96">IsGreen('Large Dataset'!G96)</f>
        <v>1</v>
      </c>
      <c r="P96" t="b" cm="1">
        <f t="array" ref="P96">IsRed('Large Dataset'!K96)</f>
        <v>0</v>
      </c>
      <c r="Q96" t="b" cm="1">
        <f t="array" ref="Q96">IsBlue('Large Dataset'!K96)</f>
        <v>0</v>
      </c>
      <c r="R96" t="b" cm="1">
        <f t="array" ref="R96">IsPurple('Large Dataset'!K96)</f>
        <v>0</v>
      </c>
      <c r="S96" t="b" cm="1">
        <f t="array" ref="S96">IsGreen('Large Dataset'!K96)</f>
        <v>0</v>
      </c>
      <c r="Y96" t="b" cm="1">
        <f t="array" ref="Y96">IsRed('Large Dataset'!M96)</f>
        <v>0</v>
      </c>
      <c r="Z96" t="b" cm="1">
        <f t="array" ref="Z96">IsBlue('Large Dataset'!M96)</f>
        <v>0</v>
      </c>
      <c r="AA96" t="b" cm="1">
        <f t="array" ref="AA96">IsPurple('Large Dataset'!M96)</f>
        <v>0</v>
      </c>
      <c r="AB96" t="b" cm="1">
        <f t="array" ref="AB96">IsGreen('Large Dataset'!M96)</f>
        <v>0</v>
      </c>
      <c r="AH96" t="b" cm="1">
        <f t="array" ref="AH96">IsRed('Large Dataset'!O96)</f>
        <v>0</v>
      </c>
      <c r="AI96" t="b" cm="1">
        <f t="array" ref="AI96">IsBlue('Large Dataset'!O96)</f>
        <v>0</v>
      </c>
      <c r="AJ96" t="b" cm="1">
        <f t="array" ref="AJ96">IsPurple('Large Dataset'!O96)</f>
        <v>0</v>
      </c>
      <c r="AK96" t="b" cm="1">
        <f t="array" ref="AK96">IsGreen('Large Dataset'!O96)</f>
        <v>0</v>
      </c>
      <c r="AR96" t="b" cm="1">
        <f t="array" ref="AR96">IsRed('Large Dataset'!Q96)</f>
        <v>0</v>
      </c>
      <c r="AS96" t="b" cm="1">
        <f t="array" ref="AS96">IsBlue('Large Dataset'!Q96)</f>
        <v>0</v>
      </c>
      <c r="AT96" t="b" cm="1">
        <f t="array" ref="AT96">IsPurple('Large Dataset'!Q96)</f>
        <v>0</v>
      </c>
      <c r="AU96" t="b" cm="1">
        <f t="array" ref="AU96">IsGreen('Large Dataset'!Q96)</f>
        <v>0</v>
      </c>
      <c r="BA96" t="b" cm="1">
        <f t="array" ref="BA96">IsRed('Large Dataset'!R96)</f>
        <v>0</v>
      </c>
      <c r="BB96" t="b" cm="1">
        <f t="array" ref="BB96">IsBlue('Large Dataset'!R96)</f>
        <v>0</v>
      </c>
      <c r="BC96" t="b" cm="1">
        <f t="array" ref="BC96">IsPurple('Large Dataset'!R96)</f>
        <v>0</v>
      </c>
      <c r="BD96" t="b" cm="1">
        <f t="array" ref="BD96">IsGreen('Large Dataset'!R96)</f>
        <v>0</v>
      </c>
      <c r="BJ96" t="b" cm="1">
        <f t="array" ref="BJ96">IsRed('Large Dataset'!T96)</f>
        <v>0</v>
      </c>
      <c r="BK96" t="b" cm="1">
        <f t="array" ref="BK96">IsBlue('Large Dataset'!T96)</f>
        <v>0</v>
      </c>
      <c r="BL96" t="b" cm="1">
        <f t="array" ref="BL96">IsPurple('Large Dataset'!T96)</f>
        <v>0</v>
      </c>
      <c r="BM96" t="b" cm="1">
        <f t="array" ref="BM96">IsGreen('Large Dataset'!T96)</f>
        <v>0</v>
      </c>
      <c r="BS96" t="b" cm="1">
        <f t="array" ref="BS96">IsRed('Large Dataset'!U96)</f>
        <v>0</v>
      </c>
      <c r="BT96" t="b" cm="1">
        <f t="array" ref="BT96">IsBlue('Large Dataset'!U96)</f>
        <v>0</v>
      </c>
      <c r="BU96" t="b" cm="1">
        <f t="array" ref="BU96">IsPurple('Large Dataset'!U96)</f>
        <v>0</v>
      </c>
      <c r="BV96" t="b" cm="1">
        <f t="array" ref="BV96">IsGreen('Large Dataset'!U96)</f>
        <v>0</v>
      </c>
    </row>
    <row r="97" spans="7:74">
      <c r="G97" t="b" cm="1">
        <f t="array" ref="G97">IsRed('Large Dataset'!I97)</f>
        <v>0</v>
      </c>
      <c r="H97" t="b" cm="1">
        <f t="array" ref="H97">IsBlue('Large Dataset'!I97)</f>
        <v>0</v>
      </c>
      <c r="I97" t="b" cm="1">
        <f t="array" ref="I97">IsPurple('Large Dataset'!I97)</f>
        <v>0</v>
      </c>
      <c r="J97" t="b" cm="1">
        <f t="array" ref="J97">IsGreen('Large Dataset'!G97)</f>
        <v>1</v>
      </c>
      <c r="P97" t="b" cm="1">
        <f t="array" ref="P97">IsRed('Large Dataset'!K97)</f>
        <v>0</v>
      </c>
      <c r="Q97" t="b" cm="1">
        <f t="array" ref="Q97">IsBlue('Large Dataset'!K97)</f>
        <v>0</v>
      </c>
      <c r="R97" t="b" cm="1">
        <f t="array" ref="R97">IsPurple('Large Dataset'!K97)</f>
        <v>0</v>
      </c>
      <c r="S97" t="b" cm="1">
        <f t="array" ref="S97">IsGreen('Large Dataset'!K97)</f>
        <v>0</v>
      </c>
      <c r="Y97" t="b" cm="1">
        <f t="array" ref="Y97">IsRed('Large Dataset'!M97)</f>
        <v>0</v>
      </c>
      <c r="Z97" t="b" cm="1">
        <f t="array" ref="Z97">IsBlue('Large Dataset'!M97)</f>
        <v>0</v>
      </c>
      <c r="AA97" t="b" cm="1">
        <f t="array" ref="AA97">IsPurple('Large Dataset'!M97)</f>
        <v>0</v>
      </c>
      <c r="AB97" t="b" cm="1">
        <f t="array" ref="AB97">IsGreen('Large Dataset'!M97)</f>
        <v>0</v>
      </c>
      <c r="AH97" t="b" cm="1">
        <f t="array" ref="AH97">IsRed('Large Dataset'!O97)</f>
        <v>0</v>
      </c>
      <c r="AI97" t="b" cm="1">
        <f t="array" ref="AI97">IsBlue('Large Dataset'!O97)</f>
        <v>0</v>
      </c>
      <c r="AJ97" t="b" cm="1">
        <f t="array" ref="AJ97">IsPurple('Large Dataset'!O97)</f>
        <v>0</v>
      </c>
      <c r="AK97" t="b" cm="1">
        <f t="array" ref="AK97">IsGreen('Large Dataset'!O97)</f>
        <v>0</v>
      </c>
      <c r="AR97" t="b" cm="1">
        <f t="array" ref="AR97">IsRed('Large Dataset'!Q97)</f>
        <v>0</v>
      </c>
      <c r="AS97" t="b" cm="1">
        <f t="array" ref="AS97">IsBlue('Large Dataset'!Q97)</f>
        <v>0</v>
      </c>
      <c r="AT97" t="b" cm="1">
        <f t="array" ref="AT97">IsPurple('Large Dataset'!Q97)</f>
        <v>0</v>
      </c>
      <c r="AU97" t="b" cm="1">
        <f t="array" ref="AU97">IsGreen('Large Dataset'!Q97)</f>
        <v>0</v>
      </c>
      <c r="BA97" t="b" cm="1">
        <f t="array" ref="BA97">IsRed('Large Dataset'!R97)</f>
        <v>0</v>
      </c>
      <c r="BB97" t="b" cm="1">
        <f t="array" ref="BB97">IsBlue('Large Dataset'!R97)</f>
        <v>0</v>
      </c>
      <c r="BC97" t="b" cm="1">
        <f t="array" ref="BC97">IsPurple('Large Dataset'!R97)</f>
        <v>0</v>
      </c>
      <c r="BD97" t="b" cm="1">
        <f t="array" ref="BD97">IsGreen('Large Dataset'!R97)</f>
        <v>0</v>
      </c>
      <c r="BJ97" t="b" cm="1">
        <f t="array" ref="BJ97">IsRed('Large Dataset'!T97)</f>
        <v>0</v>
      </c>
      <c r="BK97" t="b" cm="1">
        <f t="array" ref="BK97">IsBlue('Large Dataset'!T97)</f>
        <v>0</v>
      </c>
      <c r="BL97" t="b" cm="1">
        <f t="array" ref="BL97">IsPurple('Large Dataset'!T97)</f>
        <v>0</v>
      </c>
      <c r="BM97" t="b" cm="1">
        <f t="array" ref="BM97">IsGreen('Large Dataset'!T97)</f>
        <v>0</v>
      </c>
      <c r="BS97" t="b" cm="1">
        <f t="array" ref="BS97">IsRed('Large Dataset'!U97)</f>
        <v>0</v>
      </c>
      <c r="BT97" t="b" cm="1">
        <f t="array" ref="BT97">IsBlue('Large Dataset'!U97)</f>
        <v>0</v>
      </c>
      <c r="BU97" t="b" cm="1">
        <f t="array" ref="BU97">IsPurple('Large Dataset'!U97)</f>
        <v>0</v>
      </c>
      <c r="BV97" t="b" cm="1">
        <f t="array" ref="BV97">IsGreen('Large Dataset'!U97)</f>
        <v>0</v>
      </c>
    </row>
    <row r="98" spans="7:74">
      <c r="G98" t="b" cm="1">
        <f t="array" ref="G98">IsRed('Large Dataset'!I98)</f>
        <v>0</v>
      </c>
      <c r="H98" t="b" cm="1">
        <f t="array" ref="H98">IsBlue('Large Dataset'!I98)</f>
        <v>0</v>
      </c>
      <c r="I98" t="b" cm="1">
        <f t="array" ref="I98">IsPurple('Large Dataset'!I98)</f>
        <v>0</v>
      </c>
      <c r="J98" t="b" cm="1">
        <f t="array" ref="J98">IsGreen('Large Dataset'!G98)</f>
        <v>1</v>
      </c>
      <c r="P98" t="b" cm="1">
        <f t="array" ref="P98">IsRed('Large Dataset'!K98)</f>
        <v>0</v>
      </c>
      <c r="Q98" t="b" cm="1">
        <f t="array" ref="Q98">IsBlue('Large Dataset'!K98)</f>
        <v>0</v>
      </c>
      <c r="R98" t="b" cm="1">
        <f t="array" ref="R98">IsPurple('Large Dataset'!K98)</f>
        <v>0</v>
      </c>
      <c r="S98" t="b" cm="1">
        <f t="array" ref="S98">IsGreen('Large Dataset'!K98)</f>
        <v>0</v>
      </c>
      <c r="Y98" t="b" cm="1">
        <f t="array" ref="Y98">IsRed('Large Dataset'!M98)</f>
        <v>0</v>
      </c>
      <c r="Z98" t="b" cm="1">
        <f t="array" ref="Z98">IsBlue('Large Dataset'!M98)</f>
        <v>1</v>
      </c>
      <c r="AA98" t="b" cm="1">
        <f t="array" ref="AA98">IsPurple('Large Dataset'!M98)</f>
        <v>0</v>
      </c>
      <c r="AB98" t="b" cm="1">
        <f t="array" ref="AB98">IsGreen('Large Dataset'!M98)</f>
        <v>0</v>
      </c>
      <c r="AH98" t="b" cm="1">
        <f t="array" ref="AH98">IsRed('Large Dataset'!O98)</f>
        <v>0</v>
      </c>
      <c r="AI98" t="b" cm="1">
        <f t="array" ref="AI98">IsBlue('Large Dataset'!O98)</f>
        <v>0</v>
      </c>
      <c r="AJ98" t="b" cm="1">
        <f t="array" ref="AJ98">IsPurple('Large Dataset'!O98)</f>
        <v>0</v>
      </c>
      <c r="AK98" t="b" cm="1">
        <f t="array" ref="AK98">IsGreen('Large Dataset'!O98)</f>
        <v>0</v>
      </c>
      <c r="AR98" t="b" cm="1">
        <f t="array" ref="AR98">IsRed('Large Dataset'!Q98)</f>
        <v>0</v>
      </c>
      <c r="AS98" t="b" cm="1">
        <f t="array" ref="AS98">IsBlue('Large Dataset'!Q98)</f>
        <v>0</v>
      </c>
      <c r="AT98" t="b" cm="1">
        <f t="array" ref="AT98">IsPurple('Large Dataset'!Q98)</f>
        <v>0</v>
      </c>
      <c r="AU98" t="b" cm="1">
        <f t="array" ref="AU98">IsGreen('Large Dataset'!Q98)</f>
        <v>0</v>
      </c>
      <c r="BA98" t="b" cm="1">
        <f t="array" ref="BA98">IsRed('Large Dataset'!R98)</f>
        <v>0</v>
      </c>
      <c r="BB98" t="b" cm="1">
        <f t="array" ref="BB98">IsBlue('Large Dataset'!R98)</f>
        <v>0</v>
      </c>
      <c r="BC98" t="b" cm="1">
        <f t="array" ref="BC98">IsPurple('Large Dataset'!R98)</f>
        <v>0</v>
      </c>
      <c r="BD98" t="b" cm="1">
        <f t="array" ref="BD98">IsGreen('Large Dataset'!R98)</f>
        <v>0</v>
      </c>
      <c r="BJ98" t="b" cm="1">
        <f t="array" ref="BJ98">IsRed('Large Dataset'!T98)</f>
        <v>0</v>
      </c>
      <c r="BK98" t="b" cm="1">
        <f t="array" ref="BK98">IsBlue('Large Dataset'!T98)</f>
        <v>0</v>
      </c>
      <c r="BL98" t="b" cm="1">
        <f t="array" ref="BL98">IsPurple('Large Dataset'!T98)</f>
        <v>0</v>
      </c>
      <c r="BM98" t="b" cm="1">
        <f t="array" ref="BM98">IsGreen('Large Dataset'!T98)</f>
        <v>0</v>
      </c>
      <c r="BS98" t="b" cm="1">
        <f t="array" ref="BS98">IsRed('Large Dataset'!U98)</f>
        <v>0</v>
      </c>
      <c r="BT98" t="b" cm="1">
        <f t="array" ref="BT98">IsBlue('Large Dataset'!U98)</f>
        <v>0</v>
      </c>
      <c r="BU98" t="b" cm="1">
        <f t="array" ref="BU98">IsPurple('Large Dataset'!U98)</f>
        <v>0</v>
      </c>
      <c r="BV98" t="b" cm="1">
        <f t="array" ref="BV98">IsGreen('Large Dataset'!U98)</f>
        <v>0</v>
      </c>
    </row>
    <row r="99" spans="7:74">
      <c r="G99" t="b" cm="1">
        <f t="array" ref="G99">IsRed('Large Dataset'!I99)</f>
        <v>0</v>
      </c>
      <c r="H99" t="b" cm="1">
        <f t="array" ref="H99">IsBlue('Large Dataset'!I99)</f>
        <v>0</v>
      </c>
      <c r="I99" t="b" cm="1">
        <f t="array" ref="I99">IsPurple('Large Dataset'!I99)</f>
        <v>0</v>
      </c>
      <c r="J99" t="b" cm="1">
        <f t="array" ref="J99">IsGreen('Large Dataset'!G99)</f>
        <v>1</v>
      </c>
      <c r="P99" t="b" cm="1">
        <f t="array" ref="P99">IsRed('Large Dataset'!K99)</f>
        <v>0</v>
      </c>
      <c r="Q99" t="b" cm="1">
        <f t="array" ref="Q99">IsBlue('Large Dataset'!K99)</f>
        <v>0</v>
      </c>
      <c r="R99" t="b" cm="1">
        <f t="array" ref="R99">IsPurple('Large Dataset'!K99)</f>
        <v>0</v>
      </c>
      <c r="S99" t="b" cm="1">
        <f t="array" ref="S99">IsGreen('Large Dataset'!K99)</f>
        <v>0</v>
      </c>
      <c r="Y99" t="b" cm="1">
        <f t="array" ref="Y99">IsRed('Large Dataset'!M99)</f>
        <v>0</v>
      </c>
      <c r="Z99" t="b" cm="1">
        <f t="array" ref="Z99">IsBlue('Large Dataset'!M99)</f>
        <v>0</v>
      </c>
      <c r="AA99" t="b" cm="1">
        <f t="array" ref="AA99">IsPurple('Large Dataset'!M99)</f>
        <v>0</v>
      </c>
      <c r="AB99" t="b" cm="1">
        <f t="array" ref="AB99">IsGreen('Large Dataset'!M99)</f>
        <v>0</v>
      </c>
      <c r="AH99" t="b" cm="1">
        <f t="array" ref="AH99">IsRed('Large Dataset'!O99)</f>
        <v>0</v>
      </c>
      <c r="AI99" t="b" cm="1">
        <f t="array" ref="AI99">IsBlue('Large Dataset'!O99)</f>
        <v>0</v>
      </c>
      <c r="AJ99" t="b" cm="1">
        <f t="array" ref="AJ99">IsPurple('Large Dataset'!O99)</f>
        <v>0</v>
      </c>
      <c r="AK99" t="b" cm="1">
        <f t="array" ref="AK99">IsGreen('Large Dataset'!O99)</f>
        <v>0</v>
      </c>
      <c r="AR99" t="b" cm="1">
        <f t="array" ref="AR99">IsRed('Large Dataset'!Q99)</f>
        <v>0</v>
      </c>
      <c r="AS99" t="b" cm="1">
        <f t="array" ref="AS99">IsBlue('Large Dataset'!Q99)</f>
        <v>0</v>
      </c>
      <c r="AT99" t="b" cm="1">
        <f t="array" ref="AT99">IsPurple('Large Dataset'!Q99)</f>
        <v>0</v>
      </c>
      <c r="AU99" t="b" cm="1">
        <f t="array" ref="AU99">IsGreen('Large Dataset'!Q99)</f>
        <v>0</v>
      </c>
      <c r="BA99" t="b" cm="1">
        <f t="array" ref="BA99">IsRed('Large Dataset'!R99)</f>
        <v>0</v>
      </c>
      <c r="BB99" t="b" cm="1">
        <f t="array" ref="BB99">IsBlue('Large Dataset'!R99)</f>
        <v>0</v>
      </c>
      <c r="BC99" t="b" cm="1">
        <f t="array" ref="BC99">IsPurple('Large Dataset'!R99)</f>
        <v>0</v>
      </c>
      <c r="BD99" t="b" cm="1">
        <f t="array" ref="BD99">IsGreen('Large Dataset'!R99)</f>
        <v>0</v>
      </c>
      <c r="BJ99" t="b" cm="1">
        <f t="array" ref="BJ99">IsRed('Large Dataset'!T99)</f>
        <v>0</v>
      </c>
      <c r="BK99" t="b" cm="1">
        <f t="array" ref="BK99">IsBlue('Large Dataset'!T99)</f>
        <v>0</v>
      </c>
      <c r="BL99" t="b" cm="1">
        <f t="array" ref="BL99">IsPurple('Large Dataset'!T99)</f>
        <v>0</v>
      </c>
      <c r="BM99" t="b" cm="1">
        <f t="array" ref="BM99">IsGreen('Large Dataset'!T99)</f>
        <v>0</v>
      </c>
      <c r="BS99" t="b" cm="1">
        <f t="array" ref="BS99">IsRed('Large Dataset'!U99)</f>
        <v>0</v>
      </c>
      <c r="BT99" t="b" cm="1">
        <f t="array" ref="BT99">IsBlue('Large Dataset'!U99)</f>
        <v>0</v>
      </c>
      <c r="BU99" t="b" cm="1">
        <f t="array" ref="BU99">IsPurple('Large Dataset'!U99)</f>
        <v>0</v>
      </c>
      <c r="BV99" t="b" cm="1">
        <f t="array" ref="BV99">IsGreen('Large Dataset'!U99)</f>
        <v>0</v>
      </c>
    </row>
    <row r="100" spans="7:74">
      <c r="G100" t="b" cm="1">
        <f t="array" ref="G100">IsRed('Large Dataset'!I100)</f>
        <v>0</v>
      </c>
      <c r="H100" t="b" cm="1">
        <f t="array" ref="H100">IsBlue('Large Dataset'!I100)</f>
        <v>0</v>
      </c>
      <c r="I100" t="b" cm="1">
        <f t="array" ref="I100">IsPurple('Large Dataset'!I100)</f>
        <v>0</v>
      </c>
      <c r="J100" t="b" cm="1">
        <f t="array" ref="J100">IsGreen('Large Dataset'!G100)</f>
        <v>1</v>
      </c>
      <c r="P100" t="b" cm="1">
        <f t="array" ref="P100">IsRed('Large Dataset'!K100)</f>
        <v>0</v>
      </c>
      <c r="Q100" t="b" cm="1">
        <f t="array" ref="Q100">IsBlue('Large Dataset'!K100)</f>
        <v>0</v>
      </c>
      <c r="R100" t="b" cm="1">
        <f t="array" ref="R100">IsPurple('Large Dataset'!K100)</f>
        <v>0</v>
      </c>
      <c r="S100" t="b" cm="1">
        <f t="array" ref="S100">IsGreen('Large Dataset'!K100)</f>
        <v>0</v>
      </c>
      <c r="Y100" t="b" cm="1">
        <f t="array" ref="Y100">IsRed('Large Dataset'!M100)</f>
        <v>0</v>
      </c>
      <c r="Z100" t="b" cm="1">
        <f t="array" ref="Z100">IsBlue('Large Dataset'!M100)</f>
        <v>0</v>
      </c>
      <c r="AA100" t="b" cm="1">
        <f t="array" ref="AA100">IsPurple('Large Dataset'!M100)</f>
        <v>0</v>
      </c>
      <c r="AB100" t="b" cm="1">
        <f t="array" ref="AB100">IsGreen('Large Dataset'!M100)</f>
        <v>0</v>
      </c>
      <c r="AH100" t="b" cm="1">
        <f t="array" ref="AH100">IsRed('Large Dataset'!O100)</f>
        <v>0</v>
      </c>
      <c r="AI100" t="b" cm="1">
        <f t="array" ref="AI100">IsBlue('Large Dataset'!O100)</f>
        <v>0</v>
      </c>
      <c r="AJ100" t="b" cm="1">
        <f t="array" ref="AJ100">IsPurple('Large Dataset'!O100)</f>
        <v>0</v>
      </c>
      <c r="AK100" t="b" cm="1">
        <f t="array" ref="AK100">IsGreen('Large Dataset'!O100)</f>
        <v>0</v>
      </c>
      <c r="AR100" t="b" cm="1">
        <f t="array" ref="AR100">IsRed('Large Dataset'!Q100)</f>
        <v>0</v>
      </c>
      <c r="AS100" t="b" cm="1">
        <f t="array" ref="AS100">IsBlue('Large Dataset'!Q100)</f>
        <v>0</v>
      </c>
      <c r="AT100" t="b" cm="1">
        <f t="array" ref="AT100">IsPurple('Large Dataset'!Q100)</f>
        <v>0</v>
      </c>
      <c r="AU100" t="b" cm="1">
        <f t="array" ref="AU100">IsGreen('Large Dataset'!Q100)</f>
        <v>0</v>
      </c>
      <c r="BA100" t="b" cm="1">
        <f t="array" ref="BA100">IsRed('Large Dataset'!R100)</f>
        <v>0</v>
      </c>
      <c r="BB100" t="b" cm="1">
        <f t="array" ref="BB100">IsBlue('Large Dataset'!R100)</f>
        <v>0</v>
      </c>
      <c r="BC100" t="b" cm="1">
        <f t="array" ref="BC100">IsPurple('Large Dataset'!R100)</f>
        <v>0</v>
      </c>
      <c r="BD100" t="b" cm="1">
        <f t="array" ref="BD100">IsGreen('Large Dataset'!R100)</f>
        <v>0</v>
      </c>
      <c r="BJ100" t="b" cm="1">
        <f t="array" ref="BJ100">IsRed('Large Dataset'!T100)</f>
        <v>0</v>
      </c>
      <c r="BK100" t="b" cm="1">
        <f t="array" ref="BK100">IsBlue('Large Dataset'!T100)</f>
        <v>0</v>
      </c>
      <c r="BL100" t="b" cm="1">
        <f t="array" ref="BL100">IsPurple('Large Dataset'!T100)</f>
        <v>0</v>
      </c>
      <c r="BM100" t="b" cm="1">
        <f t="array" ref="BM100">IsGreen('Large Dataset'!T100)</f>
        <v>0</v>
      </c>
      <c r="BS100" t="b" cm="1">
        <f t="array" ref="BS100">IsRed('Large Dataset'!U100)</f>
        <v>0</v>
      </c>
      <c r="BT100" t="b" cm="1">
        <f t="array" ref="BT100">IsBlue('Large Dataset'!U100)</f>
        <v>0</v>
      </c>
      <c r="BU100" t="b" cm="1">
        <f t="array" ref="BU100">IsPurple('Large Dataset'!U100)</f>
        <v>0</v>
      </c>
      <c r="BV100" t="b" cm="1">
        <f t="array" ref="BV100">IsGreen('Large Dataset'!U100)</f>
        <v>0</v>
      </c>
    </row>
    <row r="101" spans="7:74">
      <c r="G101" t="b" cm="1">
        <f t="array" ref="G101">IsRed('Large Dataset'!I101)</f>
        <v>0</v>
      </c>
      <c r="H101" t="b" cm="1">
        <f t="array" ref="H101">IsBlue('Large Dataset'!I101)</f>
        <v>0</v>
      </c>
      <c r="I101" t="b" cm="1">
        <f t="array" ref="I101">IsPurple('Large Dataset'!I101)</f>
        <v>0</v>
      </c>
      <c r="J101" t="b" cm="1">
        <f t="array" ref="J101">IsGreen('Large Dataset'!G101)</f>
        <v>1</v>
      </c>
      <c r="P101" t="b" cm="1">
        <f t="array" ref="P101">IsRed('Large Dataset'!K101)</f>
        <v>0</v>
      </c>
      <c r="Q101" t="b" cm="1">
        <f t="array" ref="Q101">IsBlue('Large Dataset'!K101)</f>
        <v>0</v>
      </c>
      <c r="R101" t="b" cm="1">
        <f t="array" ref="R101">IsPurple('Large Dataset'!K101)</f>
        <v>0</v>
      </c>
      <c r="S101" t="b" cm="1">
        <f t="array" ref="S101">IsGreen('Large Dataset'!K101)</f>
        <v>0</v>
      </c>
      <c r="Y101" t="b" cm="1">
        <f t="array" ref="Y101">IsRed('Large Dataset'!M101)</f>
        <v>0</v>
      </c>
      <c r="Z101" t="b" cm="1">
        <f t="array" ref="Z101">IsBlue('Large Dataset'!M101)</f>
        <v>0</v>
      </c>
      <c r="AA101" t="b" cm="1">
        <f t="array" ref="AA101">IsPurple('Large Dataset'!M101)</f>
        <v>0</v>
      </c>
      <c r="AB101" t="b" cm="1">
        <f t="array" ref="AB101">IsGreen('Large Dataset'!M101)</f>
        <v>0</v>
      </c>
      <c r="AH101" t="b" cm="1">
        <f t="array" ref="AH101">IsRed('Large Dataset'!O101)</f>
        <v>0</v>
      </c>
      <c r="AI101" t="b" cm="1">
        <f t="array" ref="AI101">IsBlue('Large Dataset'!O101)</f>
        <v>0</v>
      </c>
      <c r="AJ101" t="b" cm="1">
        <f t="array" ref="AJ101">IsPurple('Large Dataset'!O101)</f>
        <v>0</v>
      </c>
      <c r="AK101" t="b" cm="1">
        <f t="array" ref="AK101">IsGreen('Large Dataset'!O101)</f>
        <v>0</v>
      </c>
      <c r="AR101" t="b" cm="1">
        <f t="array" ref="AR101">IsRed('Large Dataset'!Q101)</f>
        <v>0</v>
      </c>
      <c r="AS101" t="b" cm="1">
        <f t="array" ref="AS101">IsBlue('Large Dataset'!Q101)</f>
        <v>0</v>
      </c>
      <c r="AT101" t="b" cm="1">
        <f t="array" ref="AT101">IsPurple('Large Dataset'!Q101)</f>
        <v>0</v>
      </c>
      <c r="AU101" t="b" cm="1">
        <f t="array" ref="AU101">IsGreen('Large Dataset'!Q101)</f>
        <v>0</v>
      </c>
      <c r="BA101" t="b" cm="1">
        <f t="array" ref="BA101">IsRed('Large Dataset'!R101)</f>
        <v>0</v>
      </c>
      <c r="BB101" t="b" cm="1">
        <f t="array" ref="BB101">IsBlue('Large Dataset'!R101)</f>
        <v>0</v>
      </c>
      <c r="BC101" t="b" cm="1">
        <f t="array" ref="BC101">IsPurple('Large Dataset'!R101)</f>
        <v>0</v>
      </c>
      <c r="BD101" t="b" cm="1">
        <f t="array" ref="BD101">IsGreen('Large Dataset'!R101)</f>
        <v>0</v>
      </c>
      <c r="BJ101" t="b" cm="1">
        <f t="array" ref="BJ101">IsRed('Large Dataset'!T101)</f>
        <v>0</v>
      </c>
      <c r="BK101" t="b" cm="1">
        <f t="array" ref="BK101">IsBlue('Large Dataset'!T101)</f>
        <v>0</v>
      </c>
      <c r="BL101" t="b" cm="1">
        <f t="array" ref="BL101">IsPurple('Large Dataset'!T101)</f>
        <v>0</v>
      </c>
      <c r="BM101" t="b" cm="1">
        <f t="array" ref="BM101">IsGreen('Large Dataset'!T101)</f>
        <v>0</v>
      </c>
      <c r="BS101" t="b" cm="1">
        <f t="array" ref="BS101">IsRed('Large Dataset'!U101)</f>
        <v>0</v>
      </c>
      <c r="BT101" t="b" cm="1">
        <f t="array" ref="BT101">IsBlue('Large Dataset'!U101)</f>
        <v>0</v>
      </c>
      <c r="BU101" t="b" cm="1">
        <f t="array" ref="BU101">IsPurple('Large Dataset'!U101)</f>
        <v>0</v>
      </c>
      <c r="BV101" t="b" cm="1">
        <f t="array" ref="BV101">IsGreen('Large Dataset'!U101)</f>
        <v>0</v>
      </c>
    </row>
    <row r="102" spans="7:74">
      <c r="G102" t="b" cm="1">
        <f t="array" ref="G102">IsRed('Large Dataset'!I102)</f>
        <v>0</v>
      </c>
      <c r="H102" t="b" cm="1">
        <f t="array" ref="H102">IsBlue('Large Dataset'!I102)</f>
        <v>0</v>
      </c>
      <c r="I102" t="b" cm="1">
        <f t="array" ref="I102">IsPurple('Large Dataset'!I102)</f>
        <v>0</v>
      </c>
      <c r="J102" t="b" cm="1">
        <f t="array" ref="J102">IsGreen('Large Dataset'!G102)</f>
        <v>1</v>
      </c>
      <c r="P102" t="b" cm="1">
        <f t="array" ref="P102">IsRed('Large Dataset'!K102)</f>
        <v>0</v>
      </c>
      <c r="Q102" t="b" cm="1">
        <f t="array" ref="Q102">IsBlue('Large Dataset'!K102)</f>
        <v>0</v>
      </c>
      <c r="R102" t="b" cm="1">
        <f t="array" ref="R102">IsPurple('Large Dataset'!K102)</f>
        <v>0</v>
      </c>
      <c r="S102" t="b" cm="1">
        <f t="array" ref="S102">IsGreen('Large Dataset'!K102)</f>
        <v>0</v>
      </c>
      <c r="Y102" t="b" cm="1">
        <f t="array" ref="Y102">IsRed('Large Dataset'!M102)</f>
        <v>0</v>
      </c>
      <c r="Z102" t="b" cm="1">
        <f t="array" ref="Z102">IsBlue('Large Dataset'!M102)</f>
        <v>0</v>
      </c>
      <c r="AA102" t="b" cm="1">
        <f t="array" ref="AA102">IsPurple('Large Dataset'!M102)</f>
        <v>0</v>
      </c>
      <c r="AB102" t="b" cm="1">
        <f t="array" ref="AB102">IsGreen('Large Dataset'!M102)</f>
        <v>0</v>
      </c>
      <c r="AH102" t="b" cm="1">
        <f t="array" ref="AH102">IsRed('Large Dataset'!O102)</f>
        <v>0</v>
      </c>
      <c r="AI102" t="b" cm="1">
        <f t="array" ref="AI102">IsBlue('Large Dataset'!O102)</f>
        <v>0</v>
      </c>
      <c r="AJ102" t="b" cm="1">
        <f t="array" ref="AJ102">IsPurple('Large Dataset'!O102)</f>
        <v>0</v>
      </c>
      <c r="AK102" t="b" cm="1">
        <f t="array" ref="AK102">IsGreen('Large Dataset'!O102)</f>
        <v>0</v>
      </c>
      <c r="AR102" t="b" cm="1">
        <f t="array" ref="AR102">IsRed('Large Dataset'!Q102)</f>
        <v>0</v>
      </c>
      <c r="AS102" t="b" cm="1">
        <f t="array" ref="AS102">IsBlue('Large Dataset'!Q102)</f>
        <v>0</v>
      </c>
      <c r="AT102" t="b" cm="1">
        <f t="array" ref="AT102">IsPurple('Large Dataset'!Q102)</f>
        <v>0</v>
      </c>
      <c r="AU102" t="b" cm="1">
        <f t="array" ref="AU102">IsGreen('Large Dataset'!Q102)</f>
        <v>0</v>
      </c>
      <c r="BA102" t="b" cm="1">
        <f t="array" ref="BA102">IsRed('Large Dataset'!R102)</f>
        <v>0</v>
      </c>
      <c r="BB102" t="b" cm="1">
        <f t="array" ref="BB102">IsBlue('Large Dataset'!R102)</f>
        <v>0</v>
      </c>
      <c r="BC102" t="b" cm="1">
        <f t="array" ref="BC102">IsPurple('Large Dataset'!R102)</f>
        <v>0</v>
      </c>
      <c r="BD102" t="b" cm="1">
        <f t="array" ref="BD102">IsGreen('Large Dataset'!R102)</f>
        <v>0</v>
      </c>
      <c r="BJ102" t="b" cm="1">
        <f t="array" ref="BJ102">IsRed('Large Dataset'!T102)</f>
        <v>0</v>
      </c>
      <c r="BK102" t="b" cm="1">
        <f t="array" ref="BK102">IsBlue('Large Dataset'!T102)</f>
        <v>0</v>
      </c>
      <c r="BL102" t="b" cm="1">
        <f t="array" ref="BL102">IsPurple('Large Dataset'!T102)</f>
        <v>0</v>
      </c>
      <c r="BM102" t="b" cm="1">
        <f t="array" ref="BM102">IsGreen('Large Dataset'!T102)</f>
        <v>0</v>
      </c>
      <c r="BS102" t="b" cm="1">
        <f t="array" ref="BS102">IsRed('Large Dataset'!U102)</f>
        <v>0</v>
      </c>
      <c r="BT102" t="b" cm="1">
        <f t="array" ref="BT102">IsBlue('Large Dataset'!U102)</f>
        <v>0</v>
      </c>
      <c r="BU102" t="b" cm="1">
        <f t="array" ref="BU102">IsPurple('Large Dataset'!U102)</f>
        <v>0</v>
      </c>
      <c r="BV102" t="b" cm="1">
        <f t="array" ref="BV102">IsGreen('Large Dataset'!U102)</f>
        <v>0</v>
      </c>
    </row>
    <row r="103" spans="7:74">
      <c r="G103" t="b" cm="1">
        <f t="array" ref="G103">IsRed('Large Dataset'!I103)</f>
        <v>0</v>
      </c>
      <c r="H103" t="b" cm="1">
        <f t="array" ref="H103">IsBlue('Large Dataset'!I103)</f>
        <v>0</v>
      </c>
      <c r="I103" t="b" cm="1">
        <f t="array" ref="I103">IsPurple('Large Dataset'!I103)</f>
        <v>0</v>
      </c>
      <c r="J103" t="b" cm="1">
        <f t="array" ref="J103">IsGreen('Large Dataset'!G103)</f>
        <v>1</v>
      </c>
      <c r="P103" t="b" cm="1">
        <f t="array" ref="P103">IsRed('Large Dataset'!K103)</f>
        <v>0</v>
      </c>
      <c r="Q103" t="b" cm="1">
        <f t="array" ref="Q103">IsBlue('Large Dataset'!K103)</f>
        <v>0</v>
      </c>
      <c r="R103" t="b" cm="1">
        <f t="array" ref="R103">IsPurple('Large Dataset'!K103)</f>
        <v>0</v>
      </c>
      <c r="S103" t="b" cm="1">
        <f t="array" ref="S103">IsGreen('Large Dataset'!K103)</f>
        <v>0</v>
      </c>
      <c r="Y103" t="b" cm="1">
        <f t="array" ref="Y103">IsRed('Large Dataset'!M103)</f>
        <v>0</v>
      </c>
      <c r="Z103" t="b" cm="1">
        <f t="array" ref="Z103">IsBlue('Large Dataset'!M103)</f>
        <v>0</v>
      </c>
      <c r="AA103" t="b" cm="1">
        <f t="array" ref="AA103">IsPurple('Large Dataset'!M103)</f>
        <v>0</v>
      </c>
      <c r="AB103" t="b" cm="1">
        <f t="array" ref="AB103">IsGreen('Large Dataset'!M103)</f>
        <v>0</v>
      </c>
      <c r="AH103" t="b" cm="1">
        <f t="array" ref="AH103">IsRed('Large Dataset'!O103)</f>
        <v>0</v>
      </c>
      <c r="AI103" t="b" cm="1">
        <f t="array" ref="AI103">IsBlue('Large Dataset'!O103)</f>
        <v>0</v>
      </c>
      <c r="AJ103" t="b" cm="1">
        <f t="array" ref="AJ103">IsPurple('Large Dataset'!O103)</f>
        <v>0</v>
      </c>
      <c r="AK103" t="b" cm="1">
        <f t="array" ref="AK103">IsGreen('Large Dataset'!O103)</f>
        <v>0</v>
      </c>
      <c r="AR103" t="b" cm="1">
        <f t="array" ref="AR103">IsRed('Large Dataset'!Q103)</f>
        <v>0</v>
      </c>
      <c r="AS103" t="b" cm="1">
        <f t="array" ref="AS103">IsBlue('Large Dataset'!Q103)</f>
        <v>0</v>
      </c>
      <c r="AT103" t="b" cm="1">
        <f t="array" ref="AT103">IsPurple('Large Dataset'!Q103)</f>
        <v>0</v>
      </c>
      <c r="AU103" t="b" cm="1">
        <f t="array" ref="AU103">IsGreen('Large Dataset'!Q103)</f>
        <v>0</v>
      </c>
      <c r="BA103" t="b" cm="1">
        <f t="array" ref="BA103">IsRed('Large Dataset'!R103)</f>
        <v>0</v>
      </c>
      <c r="BB103" t="b" cm="1">
        <f t="array" ref="BB103">IsBlue('Large Dataset'!R103)</f>
        <v>0</v>
      </c>
      <c r="BC103" t="b" cm="1">
        <f t="array" ref="BC103">IsPurple('Large Dataset'!R103)</f>
        <v>0</v>
      </c>
      <c r="BD103" t="b" cm="1">
        <f t="array" ref="BD103">IsGreen('Large Dataset'!R103)</f>
        <v>0</v>
      </c>
      <c r="BJ103" t="b" cm="1">
        <f t="array" ref="BJ103">IsRed('Large Dataset'!T103)</f>
        <v>0</v>
      </c>
      <c r="BK103" t="b" cm="1">
        <f t="array" ref="BK103">IsBlue('Large Dataset'!T103)</f>
        <v>0</v>
      </c>
      <c r="BL103" t="b" cm="1">
        <f t="array" ref="BL103">IsPurple('Large Dataset'!T103)</f>
        <v>0</v>
      </c>
      <c r="BM103" t="b" cm="1">
        <f t="array" ref="BM103">IsGreen('Large Dataset'!T103)</f>
        <v>0</v>
      </c>
      <c r="BS103" t="b" cm="1">
        <f t="array" ref="BS103">IsRed('Large Dataset'!U103)</f>
        <v>0</v>
      </c>
      <c r="BT103" t="b" cm="1">
        <f t="array" ref="BT103">IsBlue('Large Dataset'!U103)</f>
        <v>0</v>
      </c>
      <c r="BU103" t="b" cm="1">
        <f t="array" ref="BU103">IsPurple('Large Dataset'!U103)</f>
        <v>0</v>
      </c>
      <c r="BV103" t="b" cm="1">
        <f t="array" ref="BV103">IsGreen('Large Dataset'!U103)</f>
        <v>0</v>
      </c>
    </row>
    <row r="104" spans="7:74">
      <c r="G104" t="b" cm="1">
        <f t="array" ref="G104">IsRed('Large Dataset'!I104)</f>
        <v>0</v>
      </c>
      <c r="H104" t="b" cm="1">
        <f t="array" ref="H104">IsBlue('Large Dataset'!I104)</f>
        <v>0</v>
      </c>
      <c r="I104" t="b" cm="1">
        <f t="array" ref="I104">IsPurple('Large Dataset'!I104)</f>
        <v>0</v>
      </c>
      <c r="J104" t="b" cm="1">
        <f t="array" ref="J104">IsGreen('Large Dataset'!G104)</f>
        <v>1</v>
      </c>
      <c r="P104" t="b" cm="1">
        <f t="array" ref="P104">IsRed('Large Dataset'!K104)</f>
        <v>0</v>
      </c>
      <c r="Q104" t="b" cm="1">
        <f t="array" ref="Q104">IsBlue('Large Dataset'!K104)</f>
        <v>0</v>
      </c>
      <c r="R104" t="b" cm="1">
        <f t="array" ref="R104">IsPurple('Large Dataset'!K104)</f>
        <v>0</v>
      </c>
      <c r="S104" t="b" cm="1">
        <f t="array" ref="S104">IsGreen('Large Dataset'!K104)</f>
        <v>0</v>
      </c>
      <c r="Y104" t="b" cm="1">
        <f t="array" ref="Y104">IsRed('Large Dataset'!M104)</f>
        <v>0</v>
      </c>
      <c r="Z104" t="b" cm="1">
        <f t="array" ref="Z104">IsBlue('Large Dataset'!M104)</f>
        <v>0</v>
      </c>
      <c r="AA104" t="b" cm="1">
        <f t="array" ref="AA104">IsPurple('Large Dataset'!M104)</f>
        <v>0</v>
      </c>
      <c r="AB104" t="b" cm="1">
        <f t="array" ref="AB104">IsGreen('Large Dataset'!M104)</f>
        <v>0</v>
      </c>
      <c r="AH104" t="b" cm="1">
        <f t="array" ref="AH104">IsRed('Large Dataset'!O104)</f>
        <v>0</v>
      </c>
      <c r="AI104" t="b" cm="1">
        <f t="array" ref="AI104">IsBlue('Large Dataset'!O104)</f>
        <v>0</v>
      </c>
      <c r="AJ104" t="b" cm="1">
        <f t="array" ref="AJ104">IsPurple('Large Dataset'!O104)</f>
        <v>0</v>
      </c>
      <c r="AK104" t="b" cm="1">
        <f t="array" ref="AK104">IsGreen('Large Dataset'!O104)</f>
        <v>0</v>
      </c>
      <c r="AR104" t="b" cm="1">
        <f t="array" ref="AR104">IsRed('Large Dataset'!Q104)</f>
        <v>0</v>
      </c>
      <c r="AS104" t="b" cm="1">
        <f t="array" ref="AS104">IsBlue('Large Dataset'!Q104)</f>
        <v>0</v>
      </c>
      <c r="AT104" t="b" cm="1">
        <f t="array" ref="AT104">IsPurple('Large Dataset'!Q104)</f>
        <v>0</v>
      </c>
      <c r="AU104" t="b" cm="1">
        <f t="array" ref="AU104">IsGreen('Large Dataset'!Q104)</f>
        <v>0</v>
      </c>
      <c r="BA104" t="b" cm="1">
        <f t="array" ref="BA104">IsRed('Large Dataset'!R104)</f>
        <v>0</v>
      </c>
      <c r="BB104" t="b" cm="1">
        <f t="array" ref="BB104">IsBlue('Large Dataset'!R104)</f>
        <v>0</v>
      </c>
      <c r="BC104" t="b" cm="1">
        <f t="array" ref="BC104">IsPurple('Large Dataset'!R104)</f>
        <v>0</v>
      </c>
      <c r="BD104" t="b" cm="1">
        <f t="array" ref="BD104">IsGreen('Large Dataset'!R104)</f>
        <v>0</v>
      </c>
      <c r="BJ104" t="b" cm="1">
        <f t="array" ref="BJ104">IsRed('Large Dataset'!T104)</f>
        <v>0</v>
      </c>
      <c r="BK104" t="b" cm="1">
        <f t="array" ref="BK104">IsBlue('Large Dataset'!T104)</f>
        <v>0</v>
      </c>
      <c r="BL104" t="b" cm="1">
        <f t="array" ref="BL104">IsPurple('Large Dataset'!T104)</f>
        <v>0</v>
      </c>
      <c r="BM104" t="b" cm="1">
        <f t="array" ref="BM104">IsGreen('Large Dataset'!T104)</f>
        <v>0</v>
      </c>
      <c r="BS104" t="b" cm="1">
        <f t="array" ref="BS104">IsRed('Large Dataset'!U104)</f>
        <v>0</v>
      </c>
      <c r="BT104" t="b" cm="1">
        <f t="array" ref="BT104">IsBlue('Large Dataset'!U104)</f>
        <v>0</v>
      </c>
      <c r="BU104" t="b" cm="1">
        <f t="array" ref="BU104">IsPurple('Large Dataset'!U104)</f>
        <v>0</v>
      </c>
      <c r="BV104" t="b" cm="1">
        <f t="array" ref="BV104">IsGreen('Large Dataset'!U104)</f>
        <v>0</v>
      </c>
    </row>
    <row r="105" spans="7:74">
      <c r="G105" t="b" cm="1">
        <f t="array" ref="G105">IsRed('Large Dataset'!I105)</f>
        <v>0</v>
      </c>
      <c r="H105" t="b" cm="1">
        <f t="array" ref="H105">IsBlue('Large Dataset'!I105)</f>
        <v>0</v>
      </c>
      <c r="I105" t="b" cm="1">
        <f t="array" ref="I105">IsPurple('Large Dataset'!I105)</f>
        <v>0</v>
      </c>
      <c r="J105" t="b" cm="1">
        <f t="array" ref="J105">IsGreen('Large Dataset'!G105)</f>
        <v>1</v>
      </c>
      <c r="P105" t="b" cm="1">
        <f t="array" ref="P105">IsRed('Large Dataset'!K105)</f>
        <v>0</v>
      </c>
      <c r="Q105" t="b" cm="1">
        <f t="array" ref="Q105">IsBlue('Large Dataset'!K105)</f>
        <v>0</v>
      </c>
      <c r="R105" t="b" cm="1">
        <f t="array" ref="R105">IsPurple('Large Dataset'!K105)</f>
        <v>0</v>
      </c>
      <c r="S105" t="b" cm="1">
        <f t="array" ref="S105">IsGreen('Large Dataset'!K105)</f>
        <v>0</v>
      </c>
      <c r="Y105" t="b" cm="1">
        <f t="array" ref="Y105">IsRed('Large Dataset'!M105)</f>
        <v>0</v>
      </c>
      <c r="Z105" t="b" cm="1">
        <f t="array" ref="Z105">IsBlue('Large Dataset'!M105)</f>
        <v>0</v>
      </c>
      <c r="AA105" t="b" cm="1">
        <f t="array" ref="AA105">IsPurple('Large Dataset'!M105)</f>
        <v>0</v>
      </c>
      <c r="AB105" t="b" cm="1">
        <f t="array" ref="AB105">IsGreen('Large Dataset'!M105)</f>
        <v>0</v>
      </c>
      <c r="AH105" t="b" cm="1">
        <f t="array" ref="AH105">IsRed('Large Dataset'!O105)</f>
        <v>0</v>
      </c>
      <c r="AI105" t="b" cm="1">
        <f t="array" ref="AI105">IsBlue('Large Dataset'!O105)</f>
        <v>0</v>
      </c>
      <c r="AJ105" t="b" cm="1">
        <f t="array" ref="AJ105">IsPurple('Large Dataset'!O105)</f>
        <v>0</v>
      </c>
      <c r="AK105" t="b" cm="1">
        <f t="array" ref="AK105">IsGreen('Large Dataset'!O105)</f>
        <v>0</v>
      </c>
      <c r="AR105" t="b" cm="1">
        <f t="array" ref="AR105">IsRed('Large Dataset'!Q105)</f>
        <v>0</v>
      </c>
      <c r="AS105" t="b" cm="1">
        <f t="array" ref="AS105">IsBlue('Large Dataset'!Q105)</f>
        <v>0</v>
      </c>
      <c r="AT105" t="b" cm="1">
        <f t="array" ref="AT105">IsPurple('Large Dataset'!Q105)</f>
        <v>0</v>
      </c>
      <c r="AU105" t="b" cm="1">
        <f t="array" ref="AU105">IsGreen('Large Dataset'!Q105)</f>
        <v>0</v>
      </c>
      <c r="BA105" t="b" cm="1">
        <f t="array" ref="BA105">IsRed('Large Dataset'!R105)</f>
        <v>0</v>
      </c>
      <c r="BB105" t="b" cm="1">
        <f t="array" ref="BB105">IsBlue('Large Dataset'!R105)</f>
        <v>0</v>
      </c>
      <c r="BC105" t="b" cm="1">
        <f t="array" ref="BC105">IsPurple('Large Dataset'!R105)</f>
        <v>0</v>
      </c>
      <c r="BD105" t="b" cm="1">
        <f t="array" ref="BD105">IsGreen('Large Dataset'!R105)</f>
        <v>0</v>
      </c>
      <c r="BJ105" t="b" cm="1">
        <f t="array" ref="BJ105">IsRed('Large Dataset'!T105)</f>
        <v>0</v>
      </c>
      <c r="BK105" t="b" cm="1">
        <f t="array" ref="BK105">IsBlue('Large Dataset'!T105)</f>
        <v>0</v>
      </c>
      <c r="BL105" t="b" cm="1">
        <f t="array" ref="BL105">IsPurple('Large Dataset'!T105)</f>
        <v>0</v>
      </c>
      <c r="BM105" t="b" cm="1">
        <f t="array" ref="BM105">IsGreen('Large Dataset'!T105)</f>
        <v>0</v>
      </c>
      <c r="BS105" t="b" cm="1">
        <f t="array" ref="BS105">IsRed('Large Dataset'!U105)</f>
        <v>0</v>
      </c>
      <c r="BT105" t="b" cm="1">
        <f t="array" ref="BT105">IsBlue('Large Dataset'!U105)</f>
        <v>0</v>
      </c>
      <c r="BU105" t="b" cm="1">
        <f t="array" ref="BU105">IsPurple('Large Dataset'!U105)</f>
        <v>0</v>
      </c>
      <c r="BV105" t="b" cm="1">
        <f t="array" ref="BV105">IsGreen('Large Dataset'!U105)</f>
        <v>0</v>
      </c>
    </row>
    <row r="106" spans="7:74">
      <c r="G106" t="b" cm="1">
        <f t="array" ref="G106">IsRed('Large Dataset'!I106)</f>
        <v>0</v>
      </c>
      <c r="H106" t="b" cm="1">
        <f t="array" ref="H106">IsBlue('Large Dataset'!I106)</f>
        <v>0</v>
      </c>
      <c r="I106" t="b" cm="1">
        <f t="array" ref="I106">IsPurple('Large Dataset'!I106)</f>
        <v>0</v>
      </c>
      <c r="J106" t="b" cm="1">
        <f t="array" ref="J106">IsGreen('Large Dataset'!G106)</f>
        <v>1</v>
      </c>
      <c r="P106" t="b" cm="1">
        <f t="array" ref="P106">IsRed('Large Dataset'!K106)</f>
        <v>0</v>
      </c>
      <c r="Q106" t="b" cm="1">
        <f t="array" ref="Q106">IsBlue('Large Dataset'!K106)</f>
        <v>0</v>
      </c>
      <c r="R106" t="b" cm="1">
        <f t="array" ref="R106">IsPurple('Large Dataset'!K106)</f>
        <v>0</v>
      </c>
      <c r="S106" t="b" cm="1">
        <f t="array" ref="S106">IsGreen('Large Dataset'!K106)</f>
        <v>0</v>
      </c>
      <c r="Y106" t="b" cm="1">
        <f t="array" ref="Y106">IsRed('Large Dataset'!M106)</f>
        <v>0</v>
      </c>
      <c r="Z106" t="b" cm="1">
        <f t="array" ref="Z106">IsBlue('Large Dataset'!M106)</f>
        <v>0</v>
      </c>
      <c r="AA106" t="b" cm="1">
        <f t="array" ref="AA106">IsPurple('Large Dataset'!M106)</f>
        <v>0</v>
      </c>
      <c r="AB106" t="b" cm="1">
        <f t="array" ref="AB106">IsGreen('Large Dataset'!M106)</f>
        <v>0</v>
      </c>
      <c r="AH106" t="b" cm="1">
        <f t="array" ref="AH106">IsRed('Large Dataset'!O106)</f>
        <v>0</v>
      </c>
      <c r="AI106" t="b" cm="1">
        <f t="array" ref="AI106">IsBlue('Large Dataset'!O106)</f>
        <v>0</v>
      </c>
      <c r="AJ106" t="b" cm="1">
        <f t="array" ref="AJ106">IsPurple('Large Dataset'!O106)</f>
        <v>0</v>
      </c>
      <c r="AK106" t="b" cm="1">
        <f t="array" ref="AK106">IsGreen('Large Dataset'!O106)</f>
        <v>0</v>
      </c>
      <c r="AR106" t="b" cm="1">
        <f t="array" ref="AR106">IsRed('Large Dataset'!Q106)</f>
        <v>0</v>
      </c>
      <c r="AS106" t="b" cm="1">
        <f t="array" ref="AS106">IsBlue('Large Dataset'!Q106)</f>
        <v>0</v>
      </c>
      <c r="AT106" t="b" cm="1">
        <f t="array" ref="AT106">IsPurple('Large Dataset'!Q106)</f>
        <v>0</v>
      </c>
      <c r="AU106" t="b" cm="1">
        <f t="array" ref="AU106">IsGreen('Large Dataset'!Q106)</f>
        <v>0</v>
      </c>
      <c r="BA106" t="b" cm="1">
        <f t="array" ref="BA106">IsRed('Large Dataset'!R106)</f>
        <v>0</v>
      </c>
      <c r="BB106" t="b" cm="1">
        <f t="array" ref="BB106">IsBlue('Large Dataset'!R106)</f>
        <v>0</v>
      </c>
      <c r="BC106" t="b" cm="1">
        <f t="array" ref="BC106">IsPurple('Large Dataset'!R106)</f>
        <v>0</v>
      </c>
      <c r="BD106" t="b" cm="1">
        <f t="array" ref="BD106">IsGreen('Large Dataset'!R106)</f>
        <v>0</v>
      </c>
      <c r="BJ106" t="b" cm="1">
        <f t="array" ref="BJ106">IsRed('Large Dataset'!T106)</f>
        <v>0</v>
      </c>
      <c r="BK106" t="b" cm="1">
        <f t="array" ref="BK106">IsBlue('Large Dataset'!T106)</f>
        <v>0</v>
      </c>
      <c r="BL106" t="b" cm="1">
        <f t="array" ref="BL106">IsPurple('Large Dataset'!T106)</f>
        <v>0</v>
      </c>
      <c r="BM106" t="b" cm="1">
        <f t="array" ref="BM106">IsGreen('Large Dataset'!T106)</f>
        <v>0</v>
      </c>
      <c r="BS106" t="b" cm="1">
        <f t="array" ref="BS106">IsRed('Large Dataset'!U106)</f>
        <v>0</v>
      </c>
      <c r="BT106" t="b" cm="1">
        <f t="array" ref="BT106">IsBlue('Large Dataset'!U106)</f>
        <v>0</v>
      </c>
      <c r="BU106" t="b" cm="1">
        <f t="array" ref="BU106">IsPurple('Large Dataset'!U106)</f>
        <v>0</v>
      </c>
      <c r="BV106" t="b" cm="1">
        <f t="array" ref="BV106">IsGreen('Large Dataset'!U106)</f>
        <v>0</v>
      </c>
    </row>
    <row r="107" spans="7:74">
      <c r="G107" t="b" cm="1">
        <f t="array" ref="G107">IsRed('Large Dataset'!I107)</f>
        <v>0</v>
      </c>
      <c r="H107" t="b" cm="1">
        <f t="array" ref="H107">IsBlue('Large Dataset'!I107)</f>
        <v>0</v>
      </c>
      <c r="I107" t="b" cm="1">
        <f t="array" ref="I107">IsPurple('Large Dataset'!I107)</f>
        <v>0</v>
      </c>
      <c r="J107" t="b" cm="1">
        <f t="array" ref="J107">IsGreen('Large Dataset'!G107)</f>
        <v>1</v>
      </c>
      <c r="P107" t="b" cm="1">
        <f t="array" ref="P107">IsRed('Large Dataset'!K107)</f>
        <v>0</v>
      </c>
      <c r="Q107" t="b" cm="1">
        <f t="array" ref="Q107">IsBlue('Large Dataset'!K107)</f>
        <v>0</v>
      </c>
      <c r="R107" t="b" cm="1">
        <f t="array" ref="R107">IsPurple('Large Dataset'!K107)</f>
        <v>0</v>
      </c>
      <c r="S107" t="b" cm="1">
        <f t="array" ref="S107">IsGreen('Large Dataset'!K107)</f>
        <v>0</v>
      </c>
      <c r="Y107" t="b" cm="1">
        <f t="array" ref="Y107">IsRed('Large Dataset'!M107)</f>
        <v>0</v>
      </c>
      <c r="Z107" t="b" cm="1">
        <f t="array" ref="Z107">IsBlue('Large Dataset'!M107)</f>
        <v>0</v>
      </c>
      <c r="AA107" t="b" cm="1">
        <f t="array" ref="AA107">IsPurple('Large Dataset'!M107)</f>
        <v>0</v>
      </c>
      <c r="AB107" t="b" cm="1">
        <f t="array" ref="AB107">IsGreen('Large Dataset'!M107)</f>
        <v>0</v>
      </c>
      <c r="AH107" t="b" cm="1">
        <f t="array" ref="AH107">IsRed('Large Dataset'!O107)</f>
        <v>0</v>
      </c>
      <c r="AI107" t="b" cm="1">
        <f t="array" ref="AI107">IsBlue('Large Dataset'!O107)</f>
        <v>0</v>
      </c>
      <c r="AJ107" t="b" cm="1">
        <f t="array" ref="AJ107">IsPurple('Large Dataset'!O107)</f>
        <v>0</v>
      </c>
      <c r="AK107" t="b" cm="1">
        <f t="array" ref="AK107">IsGreen('Large Dataset'!O107)</f>
        <v>0</v>
      </c>
      <c r="AR107" t="b" cm="1">
        <f t="array" ref="AR107">IsRed('Large Dataset'!Q107)</f>
        <v>0</v>
      </c>
      <c r="AS107" t="b" cm="1">
        <f t="array" ref="AS107">IsBlue('Large Dataset'!Q107)</f>
        <v>0</v>
      </c>
      <c r="AT107" t="b" cm="1">
        <f t="array" ref="AT107">IsPurple('Large Dataset'!Q107)</f>
        <v>0</v>
      </c>
      <c r="AU107" t="b" cm="1">
        <f t="array" ref="AU107">IsGreen('Large Dataset'!Q107)</f>
        <v>0</v>
      </c>
      <c r="BA107" t="b" cm="1">
        <f t="array" ref="BA107">IsRed('Large Dataset'!R107)</f>
        <v>0</v>
      </c>
      <c r="BB107" t="b" cm="1">
        <f t="array" ref="BB107">IsBlue('Large Dataset'!R107)</f>
        <v>0</v>
      </c>
      <c r="BC107" t="b" cm="1">
        <f t="array" ref="BC107">IsPurple('Large Dataset'!R107)</f>
        <v>0</v>
      </c>
      <c r="BD107" t="b" cm="1">
        <f t="array" ref="BD107">IsGreen('Large Dataset'!R107)</f>
        <v>0</v>
      </c>
      <c r="BJ107" t="b" cm="1">
        <f t="array" ref="BJ107">IsRed('Large Dataset'!T107)</f>
        <v>0</v>
      </c>
      <c r="BK107" t="b" cm="1">
        <f t="array" ref="BK107">IsBlue('Large Dataset'!T107)</f>
        <v>0</v>
      </c>
      <c r="BL107" t="b" cm="1">
        <f t="array" ref="BL107">IsPurple('Large Dataset'!T107)</f>
        <v>0</v>
      </c>
      <c r="BM107" t="b" cm="1">
        <f t="array" ref="BM107">IsGreen('Large Dataset'!T107)</f>
        <v>0</v>
      </c>
      <c r="BS107" t="b" cm="1">
        <f t="array" ref="BS107">IsRed('Large Dataset'!U107)</f>
        <v>0</v>
      </c>
      <c r="BT107" t="b" cm="1">
        <f t="array" ref="BT107">IsBlue('Large Dataset'!U107)</f>
        <v>0</v>
      </c>
      <c r="BU107" t="b" cm="1">
        <f t="array" ref="BU107">IsPurple('Large Dataset'!U107)</f>
        <v>0</v>
      </c>
      <c r="BV107" t="b" cm="1">
        <f t="array" ref="BV107">IsGreen('Large Dataset'!U107)</f>
        <v>0</v>
      </c>
    </row>
    <row r="108" spans="7:74">
      <c r="G108" t="b" cm="1">
        <f t="array" ref="G108">IsRed('Large Dataset'!I108)</f>
        <v>0</v>
      </c>
      <c r="H108" t="b" cm="1">
        <f t="array" ref="H108">IsBlue('Large Dataset'!I108)</f>
        <v>0</v>
      </c>
      <c r="I108" t="b" cm="1">
        <f t="array" ref="I108">IsPurple('Large Dataset'!I108)</f>
        <v>0</v>
      </c>
      <c r="J108" t="b" cm="1">
        <f t="array" ref="J108">IsGreen('Large Dataset'!G108)</f>
        <v>1</v>
      </c>
      <c r="P108" t="b" cm="1">
        <f t="array" ref="P108">IsRed('Large Dataset'!K108)</f>
        <v>0</v>
      </c>
      <c r="Q108" t="b" cm="1">
        <f t="array" ref="Q108">IsBlue('Large Dataset'!K108)</f>
        <v>0</v>
      </c>
      <c r="R108" t="b" cm="1">
        <f t="array" ref="R108">IsPurple('Large Dataset'!K108)</f>
        <v>0</v>
      </c>
      <c r="S108" t="b" cm="1">
        <f t="array" ref="S108">IsGreen('Large Dataset'!K108)</f>
        <v>0</v>
      </c>
      <c r="Y108" t="b" cm="1">
        <f t="array" ref="Y108">IsRed('Large Dataset'!M108)</f>
        <v>0</v>
      </c>
      <c r="Z108" t="b" cm="1">
        <f t="array" ref="Z108">IsBlue('Large Dataset'!M108)</f>
        <v>0</v>
      </c>
      <c r="AA108" t="b" cm="1">
        <f t="array" ref="AA108">IsPurple('Large Dataset'!M108)</f>
        <v>0</v>
      </c>
      <c r="AB108" t="b" cm="1">
        <f t="array" ref="AB108">IsGreen('Large Dataset'!M108)</f>
        <v>0</v>
      </c>
      <c r="AH108" t="b" cm="1">
        <f t="array" ref="AH108">IsRed('Large Dataset'!O108)</f>
        <v>0</v>
      </c>
      <c r="AI108" t="b" cm="1">
        <f t="array" ref="AI108">IsBlue('Large Dataset'!O108)</f>
        <v>0</v>
      </c>
      <c r="AJ108" t="b" cm="1">
        <f t="array" ref="AJ108">IsPurple('Large Dataset'!O108)</f>
        <v>0</v>
      </c>
      <c r="AK108" t="b" cm="1">
        <f t="array" ref="AK108">IsGreen('Large Dataset'!O108)</f>
        <v>0</v>
      </c>
      <c r="AR108" t="b" cm="1">
        <f t="array" ref="AR108">IsRed('Large Dataset'!Q108)</f>
        <v>0</v>
      </c>
      <c r="AS108" t="b" cm="1">
        <f t="array" ref="AS108">IsBlue('Large Dataset'!Q108)</f>
        <v>0</v>
      </c>
      <c r="AT108" t="b" cm="1">
        <f t="array" ref="AT108">IsPurple('Large Dataset'!Q108)</f>
        <v>0</v>
      </c>
      <c r="AU108" t="b" cm="1">
        <f t="array" ref="AU108">IsGreen('Large Dataset'!Q108)</f>
        <v>0</v>
      </c>
      <c r="BA108" t="b" cm="1">
        <f t="array" ref="BA108">IsRed('Large Dataset'!R108)</f>
        <v>0</v>
      </c>
      <c r="BB108" t="b" cm="1">
        <f t="array" ref="BB108">IsBlue('Large Dataset'!R108)</f>
        <v>0</v>
      </c>
      <c r="BC108" t="b" cm="1">
        <f t="array" ref="BC108">IsPurple('Large Dataset'!R108)</f>
        <v>0</v>
      </c>
      <c r="BD108" t="b" cm="1">
        <f t="array" ref="BD108">IsGreen('Large Dataset'!R108)</f>
        <v>0</v>
      </c>
      <c r="BJ108" t="b" cm="1">
        <f t="array" ref="BJ108">IsRed('Large Dataset'!T108)</f>
        <v>0</v>
      </c>
      <c r="BK108" t="b" cm="1">
        <f t="array" ref="BK108">IsBlue('Large Dataset'!T108)</f>
        <v>0</v>
      </c>
      <c r="BL108" t="b" cm="1">
        <f t="array" ref="BL108">IsPurple('Large Dataset'!T108)</f>
        <v>0</v>
      </c>
      <c r="BM108" t="b" cm="1">
        <f t="array" ref="BM108">IsGreen('Large Dataset'!T108)</f>
        <v>0</v>
      </c>
      <c r="BS108" t="b" cm="1">
        <f t="array" ref="BS108">IsRed('Large Dataset'!U108)</f>
        <v>0</v>
      </c>
      <c r="BT108" t="b" cm="1">
        <f t="array" ref="BT108">IsBlue('Large Dataset'!U108)</f>
        <v>0</v>
      </c>
      <c r="BU108" t="b" cm="1">
        <f t="array" ref="BU108">IsPurple('Large Dataset'!U108)</f>
        <v>0</v>
      </c>
      <c r="BV108" t="b" cm="1">
        <f t="array" ref="BV108">IsGreen('Large Dataset'!U108)</f>
        <v>0</v>
      </c>
    </row>
    <row r="109" spans="7:74">
      <c r="G109" t="b" cm="1">
        <f t="array" ref="G109">IsRed('Large Dataset'!I109)</f>
        <v>0</v>
      </c>
      <c r="H109" t="b" cm="1">
        <f t="array" ref="H109">IsBlue('Large Dataset'!I109)</f>
        <v>0</v>
      </c>
      <c r="I109" t="b" cm="1">
        <f t="array" ref="I109">IsPurple('Large Dataset'!I109)</f>
        <v>0</v>
      </c>
      <c r="J109" t="b" cm="1">
        <f t="array" ref="J109">IsGreen('Large Dataset'!G109)</f>
        <v>1</v>
      </c>
      <c r="P109" t="b" cm="1">
        <f t="array" ref="P109">IsRed('Large Dataset'!K109)</f>
        <v>0</v>
      </c>
      <c r="Q109" t="b" cm="1">
        <f t="array" ref="Q109">IsBlue('Large Dataset'!K109)</f>
        <v>0</v>
      </c>
      <c r="R109" t="b" cm="1">
        <f t="array" ref="R109">IsPurple('Large Dataset'!K109)</f>
        <v>0</v>
      </c>
      <c r="S109" t="b" cm="1">
        <f t="array" ref="S109">IsGreen('Large Dataset'!K109)</f>
        <v>0</v>
      </c>
      <c r="Y109" t="b" cm="1">
        <f t="array" ref="Y109">IsRed('Large Dataset'!M109)</f>
        <v>0</v>
      </c>
      <c r="Z109" t="b" cm="1">
        <f t="array" ref="Z109">IsBlue('Large Dataset'!M109)</f>
        <v>0</v>
      </c>
      <c r="AA109" t="b" cm="1">
        <f t="array" ref="AA109">IsPurple('Large Dataset'!M109)</f>
        <v>0</v>
      </c>
      <c r="AB109" t="b" cm="1">
        <f t="array" ref="AB109">IsGreen('Large Dataset'!M109)</f>
        <v>0</v>
      </c>
      <c r="AH109" t="b" cm="1">
        <f t="array" ref="AH109">IsRed('Large Dataset'!O109)</f>
        <v>0</v>
      </c>
      <c r="AI109" t="b" cm="1">
        <f t="array" ref="AI109">IsBlue('Large Dataset'!O109)</f>
        <v>0</v>
      </c>
      <c r="AJ109" t="b" cm="1">
        <f t="array" ref="AJ109">IsPurple('Large Dataset'!O109)</f>
        <v>0</v>
      </c>
      <c r="AK109" t="b" cm="1">
        <f t="array" ref="AK109">IsGreen('Large Dataset'!O109)</f>
        <v>0</v>
      </c>
      <c r="AR109" t="b" cm="1">
        <f t="array" ref="AR109">IsRed('Large Dataset'!Q109)</f>
        <v>0</v>
      </c>
      <c r="AS109" t="b" cm="1">
        <f t="array" ref="AS109">IsBlue('Large Dataset'!Q109)</f>
        <v>0</v>
      </c>
      <c r="AT109" t="b" cm="1">
        <f t="array" ref="AT109">IsPurple('Large Dataset'!Q109)</f>
        <v>0</v>
      </c>
      <c r="AU109" t="b" cm="1">
        <f t="array" ref="AU109">IsGreen('Large Dataset'!Q109)</f>
        <v>0</v>
      </c>
      <c r="BA109" t="b" cm="1">
        <f t="array" ref="BA109">IsRed('Large Dataset'!R109)</f>
        <v>0</v>
      </c>
      <c r="BB109" t="b" cm="1">
        <f t="array" ref="BB109">IsBlue('Large Dataset'!R109)</f>
        <v>0</v>
      </c>
      <c r="BC109" t="b" cm="1">
        <f t="array" ref="BC109">IsPurple('Large Dataset'!R109)</f>
        <v>0</v>
      </c>
      <c r="BD109" t="b" cm="1">
        <f t="array" ref="BD109">IsGreen('Large Dataset'!R109)</f>
        <v>0</v>
      </c>
      <c r="BJ109" t="b" cm="1">
        <f t="array" ref="BJ109">IsRed('Large Dataset'!T109)</f>
        <v>0</v>
      </c>
      <c r="BK109" t="b" cm="1">
        <f t="array" ref="BK109">IsBlue('Large Dataset'!T109)</f>
        <v>0</v>
      </c>
      <c r="BL109" t="b" cm="1">
        <f t="array" ref="BL109">IsPurple('Large Dataset'!T109)</f>
        <v>0</v>
      </c>
      <c r="BM109" t="b" cm="1">
        <f t="array" ref="BM109">IsGreen('Large Dataset'!T109)</f>
        <v>0</v>
      </c>
      <c r="BS109" t="b" cm="1">
        <f t="array" ref="BS109">IsRed('Large Dataset'!U109)</f>
        <v>0</v>
      </c>
      <c r="BT109" t="b" cm="1">
        <f t="array" ref="BT109">IsBlue('Large Dataset'!U109)</f>
        <v>0</v>
      </c>
      <c r="BU109" t="b" cm="1">
        <f t="array" ref="BU109">IsPurple('Large Dataset'!U109)</f>
        <v>0</v>
      </c>
      <c r="BV109" t="b" cm="1">
        <f t="array" ref="BV109">IsGreen('Large Dataset'!U109)</f>
        <v>0</v>
      </c>
    </row>
    <row r="110" spans="7:74">
      <c r="G110" t="b" cm="1">
        <f t="array" ref="G110">IsRed('Large Dataset'!I110)</f>
        <v>0</v>
      </c>
      <c r="H110" t="b" cm="1">
        <f t="array" ref="H110">IsBlue('Large Dataset'!I110)</f>
        <v>0</v>
      </c>
      <c r="I110" t="b" cm="1">
        <f t="array" ref="I110">IsPurple('Large Dataset'!I110)</f>
        <v>0</v>
      </c>
      <c r="J110" t="b" cm="1">
        <f t="array" ref="J110">IsGreen('Large Dataset'!G110)</f>
        <v>1</v>
      </c>
      <c r="P110" t="b" cm="1">
        <f t="array" ref="P110">IsRed('Large Dataset'!K110)</f>
        <v>0</v>
      </c>
      <c r="Q110" t="b" cm="1">
        <f t="array" ref="Q110">IsBlue('Large Dataset'!K110)</f>
        <v>0</v>
      </c>
      <c r="R110" t="b" cm="1">
        <f t="array" ref="R110">IsPurple('Large Dataset'!K110)</f>
        <v>0</v>
      </c>
      <c r="S110" t="b" cm="1">
        <f t="array" ref="S110">IsGreen('Large Dataset'!K110)</f>
        <v>0</v>
      </c>
      <c r="Y110" t="b" cm="1">
        <f t="array" ref="Y110">IsRed('Large Dataset'!M110)</f>
        <v>0</v>
      </c>
      <c r="Z110" t="b" cm="1">
        <f t="array" ref="Z110">IsBlue('Large Dataset'!M110)</f>
        <v>0</v>
      </c>
      <c r="AA110" t="b" cm="1">
        <f t="array" ref="AA110">IsPurple('Large Dataset'!M110)</f>
        <v>0</v>
      </c>
      <c r="AB110" t="b" cm="1">
        <f t="array" ref="AB110">IsGreen('Large Dataset'!M110)</f>
        <v>0</v>
      </c>
      <c r="AH110" t="b" cm="1">
        <f t="array" ref="AH110">IsRed('Large Dataset'!O110)</f>
        <v>0</v>
      </c>
      <c r="AI110" t="b" cm="1">
        <f t="array" ref="AI110">IsBlue('Large Dataset'!O110)</f>
        <v>0</v>
      </c>
      <c r="AJ110" t="b" cm="1">
        <f t="array" ref="AJ110">IsPurple('Large Dataset'!O110)</f>
        <v>0</v>
      </c>
      <c r="AK110" t="b" cm="1">
        <f t="array" ref="AK110">IsGreen('Large Dataset'!O110)</f>
        <v>0</v>
      </c>
      <c r="AR110" t="b" cm="1">
        <f t="array" ref="AR110">IsRed('Large Dataset'!Q110)</f>
        <v>0</v>
      </c>
      <c r="AS110" t="b" cm="1">
        <f t="array" ref="AS110">IsBlue('Large Dataset'!Q110)</f>
        <v>0</v>
      </c>
      <c r="AT110" t="b" cm="1">
        <f t="array" ref="AT110">IsPurple('Large Dataset'!Q110)</f>
        <v>0</v>
      </c>
      <c r="AU110" t="b" cm="1">
        <f t="array" ref="AU110">IsGreen('Large Dataset'!Q110)</f>
        <v>0</v>
      </c>
      <c r="BA110" t="b" cm="1">
        <f t="array" ref="BA110">IsRed('Large Dataset'!R110)</f>
        <v>0</v>
      </c>
      <c r="BB110" t="b" cm="1">
        <f t="array" ref="BB110">IsBlue('Large Dataset'!R110)</f>
        <v>0</v>
      </c>
      <c r="BC110" t="b" cm="1">
        <f t="array" ref="BC110">IsPurple('Large Dataset'!R110)</f>
        <v>0</v>
      </c>
      <c r="BD110" t="b" cm="1">
        <f t="array" ref="BD110">IsGreen('Large Dataset'!R110)</f>
        <v>0</v>
      </c>
      <c r="BJ110" t="b" cm="1">
        <f t="array" ref="BJ110">IsRed('Large Dataset'!T110)</f>
        <v>0</v>
      </c>
      <c r="BK110" t="b" cm="1">
        <f t="array" ref="BK110">IsBlue('Large Dataset'!T110)</f>
        <v>0</v>
      </c>
      <c r="BL110" t="b" cm="1">
        <f t="array" ref="BL110">IsPurple('Large Dataset'!T110)</f>
        <v>0</v>
      </c>
      <c r="BM110" t="b" cm="1">
        <f t="array" ref="BM110">IsGreen('Large Dataset'!T110)</f>
        <v>0</v>
      </c>
      <c r="BS110" t="b" cm="1">
        <f t="array" ref="BS110">IsRed('Large Dataset'!U110)</f>
        <v>0</v>
      </c>
      <c r="BT110" t="b" cm="1">
        <f t="array" ref="BT110">IsBlue('Large Dataset'!U110)</f>
        <v>0</v>
      </c>
      <c r="BU110" t="b" cm="1">
        <f t="array" ref="BU110">IsPurple('Large Dataset'!U110)</f>
        <v>0</v>
      </c>
      <c r="BV110" t="b" cm="1">
        <f t="array" ref="BV110">IsGreen('Large Dataset'!U110)</f>
        <v>0</v>
      </c>
    </row>
    <row r="111" spans="7:74">
      <c r="G111" t="b" cm="1">
        <f t="array" ref="G111">IsRed('Large Dataset'!I111)</f>
        <v>0</v>
      </c>
      <c r="H111" t="b" cm="1">
        <f t="array" ref="H111">IsBlue('Large Dataset'!I111)</f>
        <v>0</v>
      </c>
      <c r="I111" t="b" cm="1">
        <f t="array" ref="I111">IsPurple('Large Dataset'!I111)</f>
        <v>1</v>
      </c>
      <c r="J111" t="b" cm="1">
        <f t="array" ref="J111">IsGreen('Large Dataset'!G111)</f>
        <v>0</v>
      </c>
      <c r="P111" t="b" cm="1">
        <f t="array" ref="P111">IsRed('Large Dataset'!K111)</f>
        <v>0</v>
      </c>
      <c r="Q111" t="b" cm="1">
        <f t="array" ref="Q111">IsBlue('Large Dataset'!K111)</f>
        <v>0</v>
      </c>
      <c r="R111" t="b" cm="1">
        <f t="array" ref="R111">IsPurple('Large Dataset'!K111)</f>
        <v>1</v>
      </c>
      <c r="S111" t="b" cm="1">
        <f t="array" ref="S111">IsGreen('Large Dataset'!K111)</f>
        <v>0</v>
      </c>
      <c r="Y111" t="b" cm="1">
        <f t="array" ref="Y111">IsRed('Large Dataset'!M111)</f>
        <v>0</v>
      </c>
      <c r="Z111" t="b" cm="1">
        <f t="array" ref="Z111">IsBlue('Large Dataset'!M111)</f>
        <v>0</v>
      </c>
      <c r="AA111" t="b" cm="1">
        <f t="array" ref="AA111">IsPurple('Large Dataset'!M111)</f>
        <v>1</v>
      </c>
      <c r="AB111" t="b" cm="1">
        <f t="array" ref="AB111">IsGreen('Large Dataset'!M111)</f>
        <v>0</v>
      </c>
      <c r="AH111" t="b" cm="1">
        <f t="array" ref="AH111">IsRed('Large Dataset'!O111)</f>
        <v>0</v>
      </c>
      <c r="AI111" t="b" cm="1">
        <f t="array" ref="AI111">IsBlue('Large Dataset'!O111)</f>
        <v>0</v>
      </c>
      <c r="AJ111" t="b" cm="1">
        <f t="array" ref="AJ111">IsPurple('Large Dataset'!O111)</f>
        <v>1</v>
      </c>
      <c r="AK111" t="b" cm="1">
        <f t="array" ref="AK111">IsGreen('Large Dataset'!O111)</f>
        <v>0</v>
      </c>
      <c r="AR111" t="b" cm="1">
        <f t="array" ref="AR111">IsRed('Large Dataset'!Q111)</f>
        <v>0</v>
      </c>
      <c r="AS111" t="b" cm="1">
        <f t="array" ref="AS111">IsBlue('Large Dataset'!Q111)</f>
        <v>0</v>
      </c>
      <c r="AT111" t="b" cm="1">
        <f t="array" ref="AT111">IsPurple('Large Dataset'!Q111)</f>
        <v>1</v>
      </c>
      <c r="AU111" t="b" cm="1">
        <f t="array" ref="AU111">IsGreen('Large Dataset'!Q111)</f>
        <v>0</v>
      </c>
      <c r="BA111" t="b" cm="1">
        <f t="array" ref="BA111">IsRed('Large Dataset'!R111)</f>
        <v>0</v>
      </c>
      <c r="BB111" t="b" cm="1">
        <f t="array" ref="BB111">IsBlue('Large Dataset'!R111)</f>
        <v>0</v>
      </c>
      <c r="BC111" t="b" cm="1">
        <f t="array" ref="BC111">IsPurple('Large Dataset'!R111)</f>
        <v>1</v>
      </c>
      <c r="BD111" t="b" cm="1">
        <f t="array" ref="BD111">IsGreen('Large Dataset'!R111)</f>
        <v>0</v>
      </c>
      <c r="BJ111" t="b" cm="1">
        <f t="array" ref="BJ111">IsRed('Large Dataset'!T111)</f>
        <v>0</v>
      </c>
      <c r="BK111" t="b" cm="1">
        <f t="array" ref="BK111">IsBlue('Large Dataset'!T111)</f>
        <v>0</v>
      </c>
      <c r="BL111" t="b" cm="1">
        <f t="array" ref="BL111">IsPurple('Large Dataset'!T111)</f>
        <v>1</v>
      </c>
      <c r="BM111" t="b" cm="1">
        <f t="array" ref="BM111">IsGreen('Large Dataset'!T111)</f>
        <v>0</v>
      </c>
      <c r="BS111" t="b" cm="1">
        <f t="array" ref="BS111">IsRed('Large Dataset'!U111)</f>
        <v>0</v>
      </c>
      <c r="BT111" t="b" cm="1">
        <f t="array" ref="BT111">IsBlue('Large Dataset'!U111)</f>
        <v>0</v>
      </c>
      <c r="BU111" t="b" cm="1">
        <f t="array" ref="BU111">IsPurple('Large Dataset'!U111)</f>
        <v>1</v>
      </c>
      <c r="BV111" t="b" cm="1">
        <f t="array" ref="BV111">IsGreen('Large Dataset'!U111)</f>
        <v>0</v>
      </c>
    </row>
    <row r="112" spans="7:74">
      <c r="G112" t="b" cm="1">
        <f t="array" ref="G112">IsRed('Large Dataset'!I112)</f>
        <v>0</v>
      </c>
      <c r="H112" t="b" cm="1">
        <f t="array" ref="H112">IsBlue('Large Dataset'!I112)</f>
        <v>0</v>
      </c>
      <c r="I112" t="b" cm="1">
        <f t="array" ref="I112">IsPurple('Large Dataset'!I112)</f>
        <v>1</v>
      </c>
      <c r="J112" t="b" cm="1">
        <f t="array" ref="J112">IsGreen('Large Dataset'!G112)</f>
        <v>0</v>
      </c>
      <c r="P112" t="b" cm="1">
        <f t="array" ref="P112">IsRed('Large Dataset'!K112)</f>
        <v>0</v>
      </c>
      <c r="Q112" t="b" cm="1">
        <f t="array" ref="Q112">IsBlue('Large Dataset'!K112)</f>
        <v>0</v>
      </c>
      <c r="R112" t="b" cm="1">
        <f t="array" ref="R112">IsPurple('Large Dataset'!K112)</f>
        <v>1</v>
      </c>
      <c r="S112" t="b" cm="1">
        <f t="array" ref="S112">IsGreen('Large Dataset'!K112)</f>
        <v>0</v>
      </c>
      <c r="Y112" t="b" cm="1">
        <f t="array" ref="Y112">IsRed('Large Dataset'!M112)</f>
        <v>0</v>
      </c>
      <c r="Z112" t="b" cm="1">
        <f t="array" ref="Z112">IsBlue('Large Dataset'!M112)</f>
        <v>0</v>
      </c>
      <c r="AA112" t="b" cm="1">
        <f t="array" ref="AA112">IsPurple('Large Dataset'!M112)</f>
        <v>1</v>
      </c>
      <c r="AB112" t="b" cm="1">
        <f t="array" ref="AB112">IsGreen('Large Dataset'!M112)</f>
        <v>0</v>
      </c>
      <c r="AH112" t="b" cm="1">
        <f t="array" ref="AH112">IsRed('Large Dataset'!O112)</f>
        <v>0</v>
      </c>
      <c r="AI112" t="b" cm="1">
        <f t="array" ref="AI112">IsBlue('Large Dataset'!O112)</f>
        <v>0</v>
      </c>
      <c r="AJ112" t="b" cm="1">
        <f t="array" ref="AJ112">IsPurple('Large Dataset'!O112)</f>
        <v>1</v>
      </c>
      <c r="AK112" t="b" cm="1">
        <f t="array" ref="AK112">IsGreen('Large Dataset'!O112)</f>
        <v>0</v>
      </c>
      <c r="AR112" t="b" cm="1">
        <f t="array" ref="AR112">IsRed('Large Dataset'!Q112)</f>
        <v>0</v>
      </c>
      <c r="AS112" t="b" cm="1">
        <f t="array" ref="AS112">IsBlue('Large Dataset'!Q112)</f>
        <v>0</v>
      </c>
      <c r="AT112" t="b" cm="1">
        <f t="array" ref="AT112">IsPurple('Large Dataset'!Q112)</f>
        <v>1</v>
      </c>
      <c r="AU112" t="b" cm="1">
        <f t="array" ref="AU112">IsGreen('Large Dataset'!Q112)</f>
        <v>0</v>
      </c>
      <c r="BA112" t="b" cm="1">
        <f t="array" ref="BA112">IsRed('Large Dataset'!R112)</f>
        <v>0</v>
      </c>
      <c r="BB112" t="b" cm="1">
        <f t="array" ref="BB112">IsBlue('Large Dataset'!R112)</f>
        <v>0</v>
      </c>
      <c r="BC112" t="b" cm="1">
        <f t="array" ref="BC112">IsPurple('Large Dataset'!R112)</f>
        <v>1</v>
      </c>
      <c r="BD112" t="b" cm="1">
        <f t="array" ref="BD112">IsGreen('Large Dataset'!R112)</f>
        <v>0</v>
      </c>
      <c r="BJ112" t="b" cm="1">
        <f t="array" ref="BJ112">IsRed('Large Dataset'!T112)</f>
        <v>0</v>
      </c>
      <c r="BK112" t="b" cm="1">
        <f t="array" ref="BK112">IsBlue('Large Dataset'!T112)</f>
        <v>0</v>
      </c>
      <c r="BL112" t="b" cm="1">
        <f t="array" ref="BL112">IsPurple('Large Dataset'!T112)</f>
        <v>1</v>
      </c>
      <c r="BM112" t="b" cm="1">
        <f t="array" ref="BM112">IsGreen('Large Dataset'!T112)</f>
        <v>0</v>
      </c>
      <c r="BS112" t="b" cm="1">
        <f t="array" ref="BS112">IsRed('Large Dataset'!U112)</f>
        <v>0</v>
      </c>
      <c r="BT112" t="b" cm="1">
        <f t="array" ref="BT112">IsBlue('Large Dataset'!U112)</f>
        <v>0</v>
      </c>
      <c r="BU112" t="b" cm="1">
        <f t="array" ref="BU112">IsPurple('Large Dataset'!U112)</f>
        <v>1</v>
      </c>
      <c r="BV112" t="b" cm="1">
        <f t="array" ref="BV112">IsGreen('Large Dataset'!U112)</f>
        <v>0</v>
      </c>
    </row>
    <row r="113" spans="7:74">
      <c r="G113" t="b" cm="1">
        <f t="array" ref="G113">IsRed('Large Dataset'!I113)</f>
        <v>0</v>
      </c>
      <c r="H113" t="b" cm="1">
        <f t="array" ref="H113">IsBlue('Large Dataset'!I113)</f>
        <v>0</v>
      </c>
      <c r="I113" t="b" cm="1">
        <f t="array" ref="I113">IsPurple('Large Dataset'!I113)</f>
        <v>1</v>
      </c>
      <c r="J113" t="b" cm="1">
        <f t="array" ref="J113">IsGreen('Large Dataset'!G113)</f>
        <v>0</v>
      </c>
      <c r="P113" t="b" cm="1">
        <f t="array" ref="P113">IsRed('Large Dataset'!K113)</f>
        <v>0</v>
      </c>
      <c r="Q113" t="b" cm="1">
        <f t="array" ref="Q113">IsBlue('Large Dataset'!K113)</f>
        <v>0</v>
      </c>
      <c r="R113" t="b" cm="1">
        <f t="array" ref="R113">IsPurple('Large Dataset'!K113)</f>
        <v>1</v>
      </c>
      <c r="S113" t="b" cm="1">
        <f t="array" ref="S113">IsGreen('Large Dataset'!K113)</f>
        <v>0</v>
      </c>
      <c r="Y113" t="b" cm="1">
        <f t="array" ref="Y113">IsRed('Large Dataset'!M113)</f>
        <v>0</v>
      </c>
      <c r="Z113" t="b" cm="1">
        <f t="array" ref="Z113">IsBlue('Large Dataset'!M113)</f>
        <v>0</v>
      </c>
      <c r="AA113" t="b" cm="1">
        <f t="array" ref="AA113">IsPurple('Large Dataset'!M113)</f>
        <v>1</v>
      </c>
      <c r="AB113" t="b" cm="1">
        <f t="array" ref="AB113">IsGreen('Large Dataset'!M113)</f>
        <v>0</v>
      </c>
      <c r="AH113" t="b" cm="1">
        <f t="array" ref="AH113">IsRed('Large Dataset'!O113)</f>
        <v>0</v>
      </c>
      <c r="AI113" t="b" cm="1">
        <f t="array" ref="AI113">IsBlue('Large Dataset'!O113)</f>
        <v>0</v>
      </c>
      <c r="AJ113" t="b" cm="1">
        <f t="array" ref="AJ113">IsPurple('Large Dataset'!O113)</f>
        <v>1</v>
      </c>
      <c r="AK113" t="b" cm="1">
        <f t="array" ref="AK113">IsGreen('Large Dataset'!O113)</f>
        <v>0</v>
      </c>
      <c r="AR113" t="b" cm="1">
        <f t="array" ref="AR113">IsRed('Large Dataset'!Q113)</f>
        <v>0</v>
      </c>
      <c r="AS113" t="b" cm="1">
        <f t="array" ref="AS113">IsBlue('Large Dataset'!Q113)</f>
        <v>0</v>
      </c>
      <c r="AT113" t="b" cm="1">
        <f t="array" ref="AT113">IsPurple('Large Dataset'!Q113)</f>
        <v>1</v>
      </c>
      <c r="AU113" t="b" cm="1">
        <f t="array" ref="AU113">IsGreen('Large Dataset'!Q113)</f>
        <v>0</v>
      </c>
      <c r="BA113" t="b" cm="1">
        <f t="array" ref="BA113">IsRed('Large Dataset'!R113)</f>
        <v>0</v>
      </c>
      <c r="BB113" t="b" cm="1">
        <f t="array" ref="BB113">IsBlue('Large Dataset'!R113)</f>
        <v>0</v>
      </c>
      <c r="BC113" t="b" cm="1">
        <f t="array" ref="BC113">IsPurple('Large Dataset'!R113)</f>
        <v>1</v>
      </c>
      <c r="BD113" t="b" cm="1">
        <f t="array" ref="BD113">IsGreen('Large Dataset'!R113)</f>
        <v>0</v>
      </c>
      <c r="BJ113" t="b" cm="1">
        <f t="array" ref="BJ113">IsRed('Large Dataset'!T113)</f>
        <v>0</v>
      </c>
      <c r="BK113" t="b" cm="1">
        <f t="array" ref="BK113">IsBlue('Large Dataset'!T113)</f>
        <v>0</v>
      </c>
      <c r="BL113" t="b" cm="1">
        <f t="array" ref="BL113">IsPurple('Large Dataset'!T113)</f>
        <v>1</v>
      </c>
      <c r="BM113" t="b" cm="1">
        <f t="array" ref="BM113">IsGreen('Large Dataset'!T113)</f>
        <v>0</v>
      </c>
      <c r="BS113" t="b" cm="1">
        <f t="array" ref="BS113">IsRed('Large Dataset'!U113)</f>
        <v>0</v>
      </c>
      <c r="BT113" t="b" cm="1">
        <f t="array" ref="BT113">IsBlue('Large Dataset'!U113)</f>
        <v>0</v>
      </c>
      <c r="BU113" t="b" cm="1">
        <f t="array" ref="BU113">IsPurple('Large Dataset'!U113)</f>
        <v>1</v>
      </c>
      <c r="BV113" t="b" cm="1">
        <f t="array" ref="BV113">IsGreen('Large Dataset'!U113)</f>
        <v>0</v>
      </c>
    </row>
    <row r="114" spans="7:74">
      <c r="G114" t="b" cm="1">
        <f t="array" ref="G114">IsRed('Large Dataset'!I114)</f>
        <v>0</v>
      </c>
      <c r="H114" t="b" cm="1">
        <f t="array" ref="H114">IsBlue('Large Dataset'!I114)</f>
        <v>0</v>
      </c>
      <c r="I114" t="b" cm="1">
        <f t="array" ref="I114">IsPurple('Large Dataset'!I114)</f>
        <v>1</v>
      </c>
      <c r="J114" t="b" cm="1">
        <f t="array" ref="J114">IsGreen('Large Dataset'!G114)</f>
        <v>0</v>
      </c>
      <c r="P114" t="b" cm="1">
        <f t="array" ref="P114">IsRed('Large Dataset'!K114)</f>
        <v>0</v>
      </c>
      <c r="Q114" t="b" cm="1">
        <f t="array" ref="Q114">IsBlue('Large Dataset'!K114)</f>
        <v>0</v>
      </c>
      <c r="R114" t="b" cm="1">
        <f t="array" ref="R114">IsPurple('Large Dataset'!K114)</f>
        <v>1</v>
      </c>
      <c r="S114" t="b" cm="1">
        <f t="array" ref="S114">IsGreen('Large Dataset'!K114)</f>
        <v>0</v>
      </c>
      <c r="Y114" t="b" cm="1">
        <f t="array" ref="Y114">IsRed('Large Dataset'!M114)</f>
        <v>0</v>
      </c>
      <c r="Z114" t="b" cm="1">
        <f t="array" ref="Z114">IsBlue('Large Dataset'!M114)</f>
        <v>0</v>
      </c>
      <c r="AA114" t="b" cm="1">
        <f t="array" ref="AA114">IsPurple('Large Dataset'!M114)</f>
        <v>1</v>
      </c>
      <c r="AB114" t="b" cm="1">
        <f t="array" ref="AB114">IsGreen('Large Dataset'!M114)</f>
        <v>0</v>
      </c>
      <c r="AH114" t="b" cm="1">
        <f t="array" ref="AH114">IsRed('Large Dataset'!O114)</f>
        <v>0</v>
      </c>
      <c r="AI114" t="b" cm="1">
        <f t="array" ref="AI114">IsBlue('Large Dataset'!O114)</f>
        <v>0</v>
      </c>
      <c r="AJ114" t="b" cm="1">
        <f t="array" ref="AJ114">IsPurple('Large Dataset'!O114)</f>
        <v>1</v>
      </c>
      <c r="AK114" t="b" cm="1">
        <f t="array" ref="AK114">IsGreen('Large Dataset'!O114)</f>
        <v>0</v>
      </c>
      <c r="AR114" t="b" cm="1">
        <f t="array" ref="AR114">IsRed('Large Dataset'!Q114)</f>
        <v>0</v>
      </c>
      <c r="AS114" t="b" cm="1">
        <f t="array" ref="AS114">IsBlue('Large Dataset'!Q114)</f>
        <v>0</v>
      </c>
      <c r="AT114" t="b" cm="1">
        <f t="array" ref="AT114">IsPurple('Large Dataset'!Q114)</f>
        <v>1</v>
      </c>
      <c r="AU114" t="b" cm="1">
        <f t="array" ref="AU114">IsGreen('Large Dataset'!Q114)</f>
        <v>0</v>
      </c>
      <c r="BA114" t="b" cm="1">
        <f t="array" ref="BA114">IsRed('Large Dataset'!R114)</f>
        <v>0</v>
      </c>
      <c r="BB114" t="b" cm="1">
        <f t="array" ref="BB114">IsBlue('Large Dataset'!R114)</f>
        <v>0</v>
      </c>
      <c r="BC114" t="b" cm="1">
        <f t="array" ref="BC114">IsPurple('Large Dataset'!R114)</f>
        <v>1</v>
      </c>
      <c r="BD114" t="b" cm="1">
        <f t="array" ref="BD114">IsGreen('Large Dataset'!R114)</f>
        <v>0</v>
      </c>
      <c r="BJ114" t="b" cm="1">
        <f t="array" ref="BJ114">IsRed('Large Dataset'!T114)</f>
        <v>0</v>
      </c>
      <c r="BK114" t="b" cm="1">
        <f t="array" ref="BK114">IsBlue('Large Dataset'!T114)</f>
        <v>0</v>
      </c>
      <c r="BL114" t="b" cm="1">
        <f t="array" ref="BL114">IsPurple('Large Dataset'!T114)</f>
        <v>1</v>
      </c>
      <c r="BM114" t="b" cm="1">
        <f t="array" ref="BM114">IsGreen('Large Dataset'!T114)</f>
        <v>0</v>
      </c>
      <c r="BS114" t="b" cm="1">
        <f t="array" ref="BS114">IsRed('Large Dataset'!U114)</f>
        <v>0</v>
      </c>
      <c r="BT114" t="b" cm="1">
        <f t="array" ref="BT114">IsBlue('Large Dataset'!U114)</f>
        <v>0</v>
      </c>
      <c r="BU114" t="b" cm="1">
        <f t="array" ref="BU114">IsPurple('Large Dataset'!U114)</f>
        <v>1</v>
      </c>
      <c r="BV114" t="b" cm="1">
        <f t="array" ref="BV114">IsGreen('Large Dataset'!U114)</f>
        <v>0</v>
      </c>
    </row>
    <row r="115" spans="7:74">
      <c r="G115" t="b" cm="1">
        <f t="array" ref="G115">IsRed('Large Dataset'!I115)</f>
        <v>0</v>
      </c>
      <c r="H115" t="b" cm="1">
        <f t="array" ref="H115">IsBlue('Large Dataset'!I115)</f>
        <v>0</v>
      </c>
      <c r="I115" t="b" cm="1">
        <f t="array" ref="I115">IsPurple('Large Dataset'!I115)</f>
        <v>1</v>
      </c>
      <c r="J115" t="b" cm="1">
        <f t="array" ref="J115">IsGreen('Large Dataset'!G115)</f>
        <v>0</v>
      </c>
      <c r="P115" t="b" cm="1">
        <f t="array" ref="P115">IsRed('Large Dataset'!K115)</f>
        <v>0</v>
      </c>
      <c r="Q115" t="b" cm="1">
        <f t="array" ref="Q115">IsBlue('Large Dataset'!K115)</f>
        <v>0</v>
      </c>
      <c r="R115" t="b" cm="1">
        <f t="array" ref="R115">IsPurple('Large Dataset'!K115)</f>
        <v>1</v>
      </c>
      <c r="S115" t="b" cm="1">
        <f t="array" ref="S115">IsGreen('Large Dataset'!K115)</f>
        <v>0</v>
      </c>
      <c r="Y115" t="b" cm="1">
        <f t="array" ref="Y115">IsRed('Large Dataset'!M115)</f>
        <v>0</v>
      </c>
      <c r="Z115" t="b" cm="1">
        <f t="array" ref="Z115">IsBlue('Large Dataset'!M115)</f>
        <v>0</v>
      </c>
      <c r="AA115" t="b" cm="1">
        <f t="array" ref="AA115">IsPurple('Large Dataset'!M115)</f>
        <v>1</v>
      </c>
      <c r="AB115" t="b" cm="1">
        <f t="array" ref="AB115">IsGreen('Large Dataset'!M115)</f>
        <v>0</v>
      </c>
      <c r="AH115" t="b" cm="1">
        <f t="array" ref="AH115">IsRed('Large Dataset'!O115)</f>
        <v>0</v>
      </c>
      <c r="AI115" t="b" cm="1">
        <f t="array" ref="AI115">IsBlue('Large Dataset'!O115)</f>
        <v>0</v>
      </c>
      <c r="AJ115" t="b" cm="1">
        <f t="array" ref="AJ115">IsPurple('Large Dataset'!O115)</f>
        <v>1</v>
      </c>
      <c r="AK115" t="b" cm="1">
        <f t="array" ref="AK115">IsGreen('Large Dataset'!O115)</f>
        <v>0</v>
      </c>
      <c r="AR115" t="b" cm="1">
        <f t="array" ref="AR115">IsRed('Large Dataset'!Q115)</f>
        <v>0</v>
      </c>
      <c r="AS115" t="b" cm="1">
        <f t="array" ref="AS115">IsBlue('Large Dataset'!Q115)</f>
        <v>0</v>
      </c>
      <c r="AT115" t="b" cm="1">
        <f t="array" ref="AT115">IsPurple('Large Dataset'!Q115)</f>
        <v>1</v>
      </c>
      <c r="AU115" t="b" cm="1">
        <f t="array" ref="AU115">IsGreen('Large Dataset'!Q115)</f>
        <v>0</v>
      </c>
      <c r="BA115" t="b" cm="1">
        <f t="array" ref="BA115">IsRed('Large Dataset'!R115)</f>
        <v>0</v>
      </c>
      <c r="BB115" t="b" cm="1">
        <f t="array" ref="BB115">IsBlue('Large Dataset'!R115)</f>
        <v>0</v>
      </c>
      <c r="BC115" t="b" cm="1">
        <f t="array" ref="BC115">IsPurple('Large Dataset'!R115)</f>
        <v>1</v>
      </c>
      <c r="BD115" t="b" cm="1">
        <f t="array" ref="BD115">IsGreen('Large Dataset'!R115)</f>
        <v>0</v>
      </c>
      <c r="BJ115" t="b" cm="1">
        <f t="array" ref="BJ115">IsRed('Large Dataset'!T115)</f>
        <v>0</v>
      </c>
      <c r="BK115" t="b" cm="1">
        <f t="array" ref="BK115">IsBlue('Large Dataset'!T115)</f>
        <v>0</v>
      </c>
      <c r="BL115" t="b" cm="1">
        <f t="array" ref="BL115">IsPurple('Large Dataset'!T115)</f>
        <v>1</v>
      </c>
      <c r="BM115" t="b" cm="1">
        <f t="array" ref="BM115">IsGreen('Large Dataset'!T115)</f>
        <v>0</v>
      </c>
      <c r="BS115" t="b" cm="1">
        <f t="array" ref="BS115">IsRed('Large Dataset'!U115)</f>
        <v>0</v>
      </c>
      <c r="BT115" t="b" cm="1">
        <f t="array" ref="BT115">IsBlue('Large Dataset'!U115)</f>
        <v>0</v>
      </c>
      <c r="BU115" t="b" cm="1">
        <f t="array" ref="BU115">IsPurple('Large Dataset'!U115)</f>
        <v>1</v>
      </c>
      <c r="BV115" t="b" cm="1">
        <f t="array" ref="BV115">IsGreen('Large Dataset'!U115)</f>
        <v>0</v>
      </c>
    </row>
    <row r="116" spans="7:74">
      <c r="G116" t="b" cm="1">
        <f t="array" ref="G116">IsRed('Large Dataset'!I116)</f>
        <v>0</v>
      </c>
      <c r="H116" t="b" cm="1">
        <f t="array" ref="H116">IsBlue('Large Dataset'!I116)</f>
        <v>0</v>
      </c>
      <c r="I116" t="b" cm="1">
        <f t="array" ref="I116">IsPurple('Large Dataset'!I116)</f>
        <v>1</v>
      </c>
      <c r="J116" t="b" cm="1">
        <f t="array" ref="J116">IsGreen('Large Dataset'!G116)</f>
        <v>0</v>
      </c>
      <c r="P116" t="b" cm="1">
        <f t="array" ref="P116">IsRed('Large Dataset'!K116)</f>
        <v>0</v>
      </c>
      <c r="Q116" t="b" cm="1">
        <f t="array" ref="Q116">IsBlue('Large Dataset'!K116)</f>
        <v>0</v>
      </c>
      <c r="R116" t="b" cm="1">
        <f t="array" ref="R116">IsPurple('Large Dataset'!K116)</f>
        <v>1</v>
      </c>
      <c r="S116" t="b" cm="1">
        <f t="array" ref="S116">IsGreen('Large Dataset'!K116)</f>
        <v>0</v>
      </c>
      <c r="Y116" t="b" cm="1">
        <f t="array" ref="Y116">IsRed('Large Dataset'!M116)</f>
        <v>0</v>
      </c>
      <c r="Z116" t="b" cm="1">
        <f t="array" ref="Z116">IsBlue('Large Dataset'!M116)</f>
        <v>0</v>
      </c>
      <c r="AA116" t="b" cm="1">
        <f t="array" ref="AA116">IsPurple('Large Dataset'!M116)</f>
        <v>1</v>
      </c>
      <c r="AB116" t="b" cm="1">
        <f t="array" ref="AB116">IsGreen('Large Dataset'!M116)</f>
        <v>0</v>
      </c>
      <c r="AH116" t="b" cm="1">
        <f t="array" ref="AH116">IsRed('Large Dataset'!O116)</f>
        <v>0</v>
      </c>
      <c r="AI116" t="b" cm="1">
        <f t="array" ref="AI116">IsBlue('Large Dataset'!O116)</f>
        <v>0</v>
      </c>
      <c r="AJ116" t="b" cm="1">
        <f t="array" ref="AJ116">IsPurple('Large Dataset'!O116)</f>
        <v>1</v>
      </c>
      <c r="AK116" t="b" cm="1">
        <f t="array" ref="AK116">IsGreen('Large Dataset'!O116)</f>
        <v>0</v>
      </c>
      <c r="AR116" t="b" cm="1">
        <f t="array" ref="AR116">IsRed('Large Dataset'!Q116)</f>
        <v>0</v>
      </c>
      <c r="AS116" t="b" cm="1">
        <f t="array" ref="AS116">IsBlue('Large Dataset'!Q116)</f>
        <v>0</v>
      </c>
      <c r="AT116" t="b" cm="1">
        <f t="array" ref="AT116">IsPurple('Large Dataset'!Q116)</f>
        <v>1</v>
      </c>
      <c r="AU116" t="b" cm="1">
        <f t="array" ref="AU116">IsGreen('Large Dataset'!Q116)</f>
        <v>0</v>
      </c>
      <c r="BA116" t="b" cm="1">
        <f t="array" ref="BA116">IsRed('Large Dataset'!R116)</f>
        <v>0</v>
      </c>
      <c r="BB116" t="b" cm="1">
        <f t="array" ref="BB116">IsBlue('Large Dataset'!R116)</f>
        <v>0</v>
      </c>
      <c r="BC116" t="b" cm="1">
        <f t="array" ref="BC116">IsPurple('Large Dataset'!R116)</f>
        <v>1</v>
      </c>
      <c r="BD116" t="b" cm="1">
        <f t="array" ref="BD116">IsGreen('Large Dataset'!R116)</f>
        <v>0</v>
      </c>
      <c r="BJ116" t="b" cm="1">
        <f t="array" ref="BJ116">IsRed('Large Dataset'!T116)</f>
        <v>0</v>
      </c>
      <c r="BK116" t="b" cm="1">
        <f t="array" ref="BK116">IsBlue('Large Dataset'!T116)</f>
        <v>0</v>
      </c>
      <c r="BL116" t="b" cm="1">
        <f t="array" ref="BL116">IsPurple('Large Dataset'!T116)</f>
        <v>1</v>
      </c>
      <c r="BM116" t="b" cm="1">
        <f t="array" ref="BM116">IsGreen('Large Dataset'!T116)</f>
        <v>0</v>
      </c>
      <c r="BS116" t="b" cm="1">
        <f t="array" ref="BS116">IsRed('Large Dataset'!U116)</f>
        <v>0</v>
      </c>
      <c r="BT116" t="b" cm="1">
        <f t="array" ref="BT116">IsBlue('Large Dataset'!U116)</f>
        <v>0</v>
      </c>
      <c r="BU116" t="b" cm="1">
        <f t="array" ref="BU116">IsPurple('Large Dataset'!U116)</f>
        <v>1</v>
      </c>
      <c r="BV116" t="b" cm="1">
        <f t="array" ref="BV116">IsGreen('Large Dataset'!U116)</f>
        <v>0</v>
      </c>
    </row>
    <row r="117" spans="7:74">
      <c r="G117" t="b" cm="1">
        <f t="array" ref="G117">IsRed('Large Dataset'!I117)</f>
        <v>1</v>
      </c>
      <c r="H117" t="b" cm="1">
        <f t="array" ref="H117">IsBlue('Large Dataset'!I117)</f>
        <v>0</v>
      </c>
      <c r="I117" t="b" cm="1">
        <f t="array" ref="I117">IsPurple('Large Dataset'!I117)</f>
        <v>0</v>
      </c>
      <c r="J117" t="b" cm="1">
        <f t="array" ref="J117">IsGreen('Large Dataset'!G117)</f>
        <v>0</v>
      </c>
      <c r="P117" t="b" cm="1">
        <f t="array" ref="P117">IsRed('Large Dataset'!K117)</f>
        <v>1</v>
      </c>
      <c r="Q117" t="b" cm="1">
        <f t="array" ref="Q117">IsBlue('Large Dataset'!K117)</f>
        <v>0</v>
      </c>
      <c r="R117" t="b" cm="1">
        <f t="array" ref="R117">IsPurple('Large Dataset'!K117)</f>
        <v>0</v>
      </c>
      <c r="S117" t="b" cm="1">
        <f t="array" ref="S117">IsGreen('Large Dataset'!K117)</f>
        <v>0</v>
      </c>
      <c r="Y117" t="b" cm="1">
        <f t="array" ref="Y117">IsRed('Large Dataset'!M117)</f>
        <v>0</v>
      </c>
      <c r="Z117" t="b" cm="1">
        <f t="array" ref="Z117">IsBlue('Large Dataset'!M117)</f>
        <v>0</v>
      </c>
      <c r="AA117" t="b" cm="1">
        <f t="array" ref="AA117">IsPurple('Large Dataset'!M117)</f>
        <v>0</v>
      </c>
      <c r="AB117" t="b" cm="1">
        <f t="array" ref="AB117">IsGreen('Large Dataset'!M117)</f>
        <v>0</v>
      </c>
      <c r="AH117" t="b" cm="1">
        <f t="array" ref="AH117">IsRed('Large Dataset'!O117)</f>
        <v>1</v>
      </c>
      <c r="AI117" t="b" cm="1">
        <f t="array" ref="AI117">IsBlue('Large Dataset'!O117)</f>
        <v>0</v>
      </c>
      <c r="AJ117" t="b" cm="1">
        <f t="array" ref="AJ117">IsPurple('Large Dataset'!O117)</f>
        <v>0</v>
      </c>
      <c r="AK117" t="b" cm="1">
        <f t="array" ref="AK117">IsGreen('Large Dataset'!O117)</f>
        <v>0</v>
      </c>
      <c r="AR117" t="b" cm="1">
        <f t="array" ref="AR117">IsRed('Large Dataset'!Q117)</f>
        <v>0</v>
      </c>
      <c r="AS117" t="b" cm="1">
        <f t="array" ref="AS117">IsBlue('Large Dataset'!Q117)</f>
        <v>0</v>
      </c>
      <c r="AT117" t="b" cm="1">
        <f t="array" ref="AT117">IsPurple('Large Dataset'!Q117)</f>
        <v>0</v>
      </c>
      <c r="AU117" t="b" cm="1">
        <f t="array" ref="AU117">IsGreen('Large Dataset'!Q117)</f>
        <v>0</v>
      </c>
      <c r="BA117" t="b" cm="1">
        <f t="array" ref="BA117">IsRed('Large Dataset'!R117)</f>
        <v>0</v>
      </c>
      <c r="BB117" t="b" cm="1">
        <f t="array" ref="BB117">IsBlue('Large Dataset'!R117)</f>
        <v>0</v>
      </c>
      <c r="BC117" t="b" cm="1">
        <f t="array" ref="BC117">IsPurple('Large Dataset'!R117)</f>
        <v>1</v>
      </c>
      <c r="BD117" t="b" cm="1">
        <f t="array" ref="BD117">IsGreen('Large Dataset'!R117)</f>
        <v>0</v>
      </c>
      <c r="BJ117" t="b" cm="1">
        <f t="array" ref="BJ117">IsRed('Large Dataset'!T117)</f>
        <v>0</v>
      </c>
      <c r="BK117" t="b" cm="1">
        <f t="array" ref="BK117">IsBlue('Large Dataset'!T117)</f>
        <v>0</v>
      </c>
      <c r="BL117" t="b" cm="1">
        <f t="array" ref="BL117">IsPurple('Large Dataset'!T117)</f>
        <v>0</v>
      </c>
      <c r="BM117" t="b" cm="1">
        <f t="array" ref="BM117">IsGreen('Large Dataset'!T117)</f>
        <v>0</v>
      </c>
      <c r="BS117" t="b" cm="1">
        <f t="array" ref="BS117">IsRed('Large Dataset'!U117)</f>
        <v>0</v>
      </c>
      <c r="BT117" t="b" cm="1">
        <f t="array" ref="BT117">IsBlue('Large Dataset'!U117)</f>
        <v>0</v>
      </c>
      <c r="BU117" t="b" cm="1">
        <f t="array" ref="BU117">IsPurple('Large Dataset'!U117)</f>
        <v>1</v>
      </c>
      <c r="BV117" t="b" cm="1">
        <f t="array" ref="BV117">IsGreen('Large Dataset'!U117)</f>
        <v>0</v>
      </c>
    </row>
    <row r="118" spans="7:74">
      <c r="G118" t="b" cm="1">
        <f t="array" ref="G118">IsRed('Large Dataset'!I118)</f>
        <v>0</v>
      </c>
      <c r="H118" t="b" cm="1">
        <f t="array" ref="H118">IsBlue('Large Dataset'!I118)</f>
        <v>0</v>
      </c>
      <c r="I118" t="b" cm="1">
        <f t="array" ref="I118">IsPurple('Large Dataset'!I118)</f>
        <v>0</v>
      </c>
      <c r="J118" t="b" cm="1">
        <f t="array" ref="J118">IsGreen('Large Dataset'!G118)</f>
        <v>0</v>
      </c>
      <c r="P118" t="b" cm="1">
        <f t="array" ref="P118">IsRed('Large Dataset'!K118)</f>
        <v>0</v>
      </c>
      <c r="Q118" t="b" cm="1">
        <f t="array" ref="Q118">IsBlue('Large Dataset'!K118)</f>
        <v>0</v>
      </c>
      <c r="R118" t="b" cm="1">
        <f t="array" ref="R118">IsPurple('Large Dataset'!K118)</f>
        <v>0</v>
      </c>
      <c r="S118" t="b" cm="1">
        <f t="array" ref="S118">IsGreen('Large Dataset'!K118)</f>
        <v>0</v>
      </c>
      <c r="Y118" t="b" cm="1">
        <f t="array" ref="Y118">IsRed('Large Dataset'!M118)</f>
        <v>0</v>
      </c>
      <c r="Z118" t="b" cm="1">
        <f t="array" ref="Z118">IsBlue('Large Dataset'!M118)</f>
        <v>0</v>
      </c>
      <c r="AA118" t="b" cm="1">
        <f t="array" ref="AA118">IsPurple('Large Dataset'!M118)</f>
        <v>0</v>
      </c>
      <c r="AB118" t="b" cm="1">
        <f t="array" ref="AB118">IsGreen('Large Dataset'!M118)</f>
        <v>0</v>
      </c>
      <c r="AH118" t="b" cm="1">
        <f t="array" ref="AH118">IsRed('Large Dataset'!O118)</f>
        <v>0</v>
      </c>
      <c r="AI118" t="b" cm="1">
        <f t="array" ref="AI118">IsBlue('Large Dataset'!O118)</f>
        <v>0</v>
      </c>
      <c r="AJ118" t="b" cm="1">
        <f t="array" ref="AJ118">IsPurple('Large Dataset'!O118)</f>
        <v>0</v>
      </c>
      <c r="AK118" t="b" cm="1">
        <f t="array" ref="AK118">IsGreen('Large Dataset'!O118)</f>
        <v>0</v>
      </c>
      <c r="AR118" t="b" cm="1">
        <f t="array" ref="AR118">IsRed('Large Dataset'!Q118)</f>
        <v>0</v>
      </c>
      <c r="AS118" t="b" cm="1">
        <f t="array" ref="AS118">IsBlue('Large Dataset'!Q118)</f>
        <v>0</v>
      </c>
      <c r="AT118" t="b" cm="1">
        <f t="array" ref="AT118">IsPurple('Large Dataset'!Q118)</f>
        <v>0</v>
      </c>
      <c r="AU118" t="b" cm="1">
        <f t="array" ref="AU118">IsGreen('Large Dataset'!Q118)</f>
        <v>0</v>
      </c>
      <c r="BA118" t="b" cm="1">
        <f t="array" ref="BA118">IsRed('Large Dataset'!R118)</f>
        <v>0</v>
      </c>
      <c r="BB118" t="b" cm="1">
        <f t="array" ref="BB118">IsBlue('Large Dataset'!R118)</f>
        <v>0</v>
      </c>
      <c r="BC118" t="b" cm="1">
        <f t="array" ref="BC118">IsPurple('Large Dataset'!R118)</f>
        <v>1</v>
      </c>
      <c r="BD118" t="b" cm="1">
        <f t="array" ref="BD118">IsGreen('Large Dataset'!R118)</f>
        <v>0</v>
      </c>
      <c r="BJ118" t="b" cm="1">
        <f t="array" ref="BJ118">IsRed('Large Dataset'!T118)</f>
        <v>0</v>
      </c>
      <c r="BK118" t="b" cm="1">
        <f t="array" ref="BK118">IsBlue('Large Dataset'!T118)</f>
        <v>0</v>
      </c>
      <c r="BL118" t="b" cm="1">
        <f t="array" ref="BL118">IsPurple('Large Dataset'!T118)</f>
        <v>0</v>
      </c>
      <c r="BM118" t="b" cm="1">
        <f t="array" ref="BM118">IsGreen('Large Dataset'!T118)</f>
        <v>0</v>
      </c>
      <c r="BS118" t="b" cm="1">
        <f t="array" ref="BS118">IsRed('Large Dataset'!U118)</f>
        <v>0</v>
      </c>
      <c r="BT118" t="b" cm="1">
        <f t="array" ref="BT118">IsBlue('Large Dataset'!U118)</f>
        <v>0</v>
      </c>
      <c r="BU118" t="b" cm="1">
        <f t="array" ref="BU118">IsPurple('Large Dataset'!U118)</f>
        <v>1</v>
      </c>
      <c r="BV118" t="b" cm="1">
        <f t="array" ref="BV118">IsGreen('Large Dataset'!U118)</f>
        <v>0</v>
      </c>
    </row>
    <row r="119" spans="7:74">
      <c r="G119" t="b" cm="1">
        <f t="array" ref="G119">IsRed('Large Dataset'!I119)</f>
        <v>0</v>
      </c>
      <c r="H119" t="b" cm="1">
        <f t="array" ref="H119">IsBlue('Large Dataset'!I119)</f>
        <v>0</v>
      </c>
      <c r="I119" t="b" cm="1">
        <f t="array" ref="I119">IsPurple('Large Dataset'!I119)</f>
        <v>0</v>
      </c>
      <c r="J119" t="b" cm="1">
        <f t="array" ref="J119">IsGreen('Large Dataset'!G119)</f>
        <v>0</v>
      </c>
      <c r="P119" t="b" cm="1">
        <f t="array" ref="P119">IsRed('Large Dataset'!K119)</f>
        <v>1</v>
      </c>
      <c r="Q119" t="b" cm="1">
        <f t="array" ref="Q119">IsBlue('Large Dataset'!K119)</f>
        <v>0</v>
      </c>
      <c r="R119" t="b" cm="1">
        <f t="array" ref="R119">IsPurple('Large Dataset'!K119)</f>
        <v>0</v>
      </c>
      <c r="S119" t="b" cm="1">
        <f t="array" ref="S119">IsGreen('Large Dataset'!K119)</f>
        <v>0</v>
      </c>
      <c r="Y119" t="b" cm="1">
        <f t="array" ref="Y119">IsRed('Large Dataset'!M119)</f>
        <v>0</v>
      </c>
      <c r="Z119" t="b" cm="1">
        <f t="array" ref="Z119">IsBlue('Large Dataset'!M119)</f>
        <v>0</v>
      </c>
      <c r="AA119" t="b" cm="1">
        <f t="array" ref="AA119">IsPurple('Large Dataset'!M119)</f>
        <v>0</v>
      </c>
      <c r="AB119" t="b" cm="1">
        <f t="array" ref="AB119">IsGreen('Large Dataset'!M119)</f>
        <v>0</v>
      </c>
      <c r="AH119" t="b" cm="1">
        <f t="array" ref="AH119">IsRed('Large Dataset'!O119)</f>
        <v>1</v>
      </c>
      <c r="AI119" t="b" cm="1">
        <f t="array" ref="AI119">IsBlue('Large Dataset'!O119)</f>
        <v>0</v>
      </c>
      <c r="AJ119" t="b" cm="1">
        <f t="array" ref="AJ119">IsPurple('Large Dataset'!O119)</f>
        <v>0</v>
      </c>
      <c r="AK119" t="b" cm="1">
        <f t="array" ref="AK119">IsGreen('Large Dataset'!O119)</f>
        <v>0</v>
      </c>
      <c r="AR119" t="b" cm="1">
        <f t="array" ref="AR119">IsRed('Large Dataset'!Q119)</f>
        <v>0</v>
      </c>
      <c r="AS119" t="b" cm="1">
        <f t="array" ref="AS119">IsBlue('Large Dataset'!Q119)</f>
        <v>0</v>
      </c>
      <c r="AT119" t="b" cm="1">
        <f t="array" ref="AT119">IsPurple('Large Dataset'!Q119)</f>
        <v>0</v>
      </c>
      <c r="AU119" t="b" cm="1">
        <f t="array" ref="AU119">IsGreen('Large Dataset'!Q119)</f>
        <v>0</v>
      </c>
      <c r="BA119" t="b" cm="1">
        <f t="array" ref="BA119">IsRed('Large Dataset'!R119)</f>
        <v>0</v>
      </c>
      <c r="BB119" t="b" cm="1">
        <f t="array" ref="BB119">IsBlue('Large Dataset'!R119)</f>
        <v>0</v>
      </c>
      <c r="BC119" t="b" cm="1">
        <f t="array" ref="BC119">IsPurple('Large Dataset'!R119)</f>
        <v>0</v>
      </c>
      <c r="BD119" t="b" cm="1">
        <f t="array" ref="BD119">IsGreen('Large Dataset'!R119)</f>
        <v>0</v>
      </c>
      <c r="BJ119" t="b" cm="1">
        <f t="array" ref="BJ119">IsRed('Large Dataset'!T119)</f>
        <v>0</v>
      </c>
      <c r="BK119" t="b" cm="1">
        <f t="array" ref="BK119">IsBlue('Large Dataset'!T119)</f>
        <v>0</v>
      </c>
      <c r="BL119" t="b" cm="1">
        <f t="array" ref="BL119">IsPurple('Large Dataset'!T119)</f>
        <v>0</v>
      </c>
      <c r="BM119" t="b" cm="1">
        <f t="array" ref="BM119">IsGreen('Large Dataset'!T119)</f>
        <v>0</v>
      </c>
      <c r="BS119" t="b" cm="1">
        <f t="array" ref="BS119">IsRed('Large Dataset'!U119)</f>
        <v>0</v>
      </c>
      <c r="BT119" t="b" cm="1">
        <f t="array" ref="BT119">IsBlue('Large Dataset'!U119)</f>
        <v>0</v>
      </c>
      <c r="BU119" t="b" cm="1">
        <f t="array" ref="BU119">IsPurple('Large Dataset'!U119)</f>
        <v>0</v>
      </c>
      <c r="BV119" t="b" cm="1">
        <f t="array" ref="BV119">IsGreen('Large Dataset'!U119)</f>
        <v>0</v>
      </c>
    </row>
    <row r="120" spans="7:74">
      <c r="G120" t="b" cm="1">
        <f t="array" ref="G120">IsRed('Large Dataset'!I120)</f>
        <v>0</v>
      </c>
      <c r="H120" t="b" cm="1">
        <f t="array" ref="H120">IsBlue('Large Dataset'!I120)</f>
        <v>0</v>
      </c>
      <c r="I120" t="b" cm="1">
        <f t="array" ref="I120">IsPurple('Large Dataset'!I120)</f>
        <v>0</v>
      </c>
      <c r="J120" t="b" cm="1">
        <f t="array" ref="J120">IsGreen('Large Dataset'!G120)</f>
        <v>0</v>
      </c>
      <c r="P120" t="b" cm="1">
        <f t="array" ref="P120">IsRed('Large Dataset'!K120)</f>
        <v>0</v>
      </c>
      <c r="Q120" t="b" cm="1">
        <f t="array" ref="Q120">IsBlue('Large Dataset'!K120)</f>
        <v>0</v>
      </c>
      <c r="R120" t="b" cm="1">
        <f t="array" ref="R120">IsPurple('Large Dataset'!K120)</f>
        <v>0</v>
      </c>
      <c r="S120" t="b" cm="1">
        <f t="array" ref="S120">IsGreen('Large Dataset'!K120)</f>
        <v>0</v>
      </c>
      <c r="Y120" t="b" cm="1">
        <f t="array" ref="Y120">IsRed('Large Dataset'!M120)</f>
        <v>0</v>
      </c>
      <c r="Z120" t="b" cm="1">
        <f t="array" ref="Z120">IsBlue('Large Dataset'!M120)</f>
        <v>0</v>
      </c>
      <c r="AA120" t="b" cm="1">
        <f t="array" ref="AA120">IsPurple('Large Dataset'!M120)</f>
        <v>0</v>
      </c>
      <c r="AB120" t="b" cm="1">
        <f t="array" ref="AB120">IsGreen('Large Dataset'!M120)</f>
        <v>0</v>
      </c>
      <c r="AH120" t="b" cm="1">
        <f t="array" ref="AH120">IsRed('Large Dataset'!O120)</f>
        <v>0</v>
      </c>
      <c r="AI120" t="b" cm="1">
        <f t="array" ref="AI120">IsBlue('Large Dataset'!O120)</f>
        <v>0</v>
      </c>
      <c r="AJ120" t="b" cm="1">
        <f t="array" ref="AJ120">IsPurple('Large Dataset'!O120)</f>
        <v>0</v>
      </c>
      <c r="AK120" t="b" cm="1">
        <f t="array" ref="AK120">IsGreen('Large Dataset'!O120)</f>
        <v>0</v>
      </c>
      <c r="AR120" t="b" cm="1">
        <f t="array" ref="AR120">IsRed('Large Dataset'!Q120)</f>
        <v>0</v>
      </c>
      <c r="AS120" t="b" cm="1">
        <f t="array" ref="AS120">IsBlue('Large Dataset'!Q120)</f>
        <v>0</v>
      </c>
      <c r="AT120" t="b" cm="1">
        <f t="array" ref="AT120">IsPurple('Large Dataset'!Q120)</f>
        <v>0</v>
      </c>
      <c r="AU120" t="b" cm="1">
        <f t="array" ref="AU120">IsGreen('Large Dataset'!Q120)</f>
        <v>0</v>
      </c>
      <c r="BA120" t="b" cm="1">
        <f t="array" ref="BA120">IsRed('Large Dataset'!R120)</f>
        <v>0</v>
      </c>
      <c r="BB120" t="b" cm="1">
        <f t="array" ref="BB120">IsBlue('Large Dataset'!R120)</f>
        <v>0</v>
      </c>
      <c r="BC120" t="b" cm="1">
        <f t="array" ref="BC120">IsPurple('Large Dataset'!R120)</f>
        <v>1</v>
      </c>
      <c r="BD120" t="b" cm="1">
        <f t="array" ref="BD120">IsGreen('Large Dataset'!R120)</f>
        <v>0</v>
      </c>
      <c r="BJ120" t="b" cm="1">
        <f t="array" ref="BJ120">IsRed('Large Dataset'!T120)</f>
        <v>0</v>
      </c>
      <c r="BK120" t="b" cm="1">
        <f t="array" ref="BK120">IsBlue('Large Dataset'!T120)</f>
        <v>0</v>
      </c>
      <c r="BL120" t="b" cm="1">
        <f t="array" ref="BL120">IsPurple('Large Dataset'!T120)</f>
        <v>0</v>
      </c>
      <c r="BM120" t="b" cm="1">
        <f t="array" ref="BM120">IsGreen('Large Dataset'!T120)</f>
        <v>0</v>
      </c>
      <c r="BS120" t="b" cm="1">
        <f t="array" ref="BS120">IsRed('Large Dataset'!U120)</f>
        <v>0</v>
      </c>
      <c r="BT120" t="b" cm="1">
        <f t="array" ref="BT120">IsBlue('Large Dataset'!U120)</f>
        <v>0</v>
      </c>
      <c r="BU120" t="b" cm="1">
        <f t="array" ref="BU120">IsPurple('Large Dataset'!U120)</f>
        <v>1</v>
      </c>
      <c r="BV120" t="b" cm="1">
        <f t="array" ref="BV120">IsGreen('Large Dataset'!U120)</f>
        <v>0</v>
      </c>
    </row>
    <row r="121" spans="7:74">
      <c r="G121" t="b" cm="1">
        <f t="array" ref="G121">IsRed('Large Dataset'!I121)</f>
        <v>0</v>
      </c>
      <c r="H121" t="b" cm="1">
        <f t="array" ref="H121">IsBlue('Large Dataset'!I121)</f>
        <v>0</v>
      </c>
      <c r="I121" t="b" cm="1">
        <f t="array" ref="I121">IsPurple('Large Dataset'!I121)</f>
        <v>0</v>
      </c>
      <c r="J121" t="b" cm="1">
        <f t="array" ref="J121">IsGreen('Large Dataset'!G121)</f>
        <v>0</v>
      </c>
      <c r="P121" t="b" cm="1">
        <f t="array" ref="P121">IsRed('Large Dataset'!K121)</f>
        <v>0</v>
      </c>
      <c r="Q121" t="b" cm="1">
        <f t="array" ref="Q121">IsBlue('Large Dataset'!K121)</f>
        <v>0</v>
      </c>
      <c r="R121" t="b" cm="1">
        <f t="array" ref="R121">IsPurple('Large Dataset'!K121)</f>
        <v>0</v>
      </c>
      <c r="S121" t="b" cm="1">
        <f t="array" ref="S121">IsGreen('Large Dataset'!K121)</f>
        <v>0</v>
      </c>
      <c r="Y121" t="b" cm="1">
        <f t="array" ref="Y121">IsRed('Large Dataset'!M121)</f>
        <v>0</v>
      </c>
      <c r="Z121" t="b" cm="1">
        <f t="array" ref="Z121">IsBlue('Large Dataset'!M121)</f>
        <v>0</v>
      </c>
      <c r="AA121" t="b" cm="1">
        <f t="array" ref="AA121">IsPurple('Large Dataset'!M121)</f>
        <v>0</v>
      </c>
      <c r="AB121" t="b" cm="1">
        <f t="array" ref="AB121">IsGreen('Large Dataset'!M121)</f>
        <v>0</v>
      </c>
      <c r="AH121" t="b" cm="1">
        <f t="array" ref="AH121">IsRed('Large Dataset'!O121)</f>
        <v>1</v>
      </c>
      <c r="AI121" t="b" cm="1">
        <f t="array" ref="AI121">IsBlue('Large Dataset'!O121)</f>
        <v>0</v>
      </c>
      <c r="AJ121" t="b" cm="1">
        <f t="array" ref="AJ121">IsPurple('Large Dataset'!O121)</f>
        <v>0</v>
      </c>
      <c r="AK121" t="b" cm="1">
        <f t="array" ref="AK121">IsGreen('Large Dataset'!O121)</f>
        <v>0</v>
      </c>
      <c r="AR121" t="b" cm="1">
        <f t="array" ref="AR121">IsRed('Large Dataset'!Q121)</f>
        <v>0</v>
      </c>
      <c r="AS121" t="b" cm="1">
        <f t="array" ref="AS121">IsBlue('Large Dataset'!Q121)</f>
        <v>0</v>
      </c>
      <c r="AT121" t="b" cm="1">
        <f t="array" ref="AT121">IsPurple('Large Dataset'!Q121)</f>
        <v>0</v>
      </c>
      <c r="AU121" t="b" cm="1">
        <f t="array" ref="AU121">IsGreen('Large Dataset'!Q121)</f>
        <v>0</v>
      </c>
      <c r="BA121" t="b" cm="1">
        <f t="array" ref="BA121">IsRed('Large Dataset'!R121)</f>
        <v>0</v>
      </c>
      <c r="BB121" t="b" cm="1">
        <f t="array" ref="BB121">IsBlue('Large Dataset'!R121)</f>
        <v>0</v>
      </c>
      <c r="BC121" t="b" cm="1">
        <f t="array" ref="BC121">IsPurple('Large Dataset'!R121)</f>
        <v>1</v>
      </c>
      <c r="BD121" t="b" cm="1">
        <f t="array" ref="BD121">IsGreen('Large Dataset'!R121)</f>
        <v>0</v>
      </c>
      <c r="BJ121" t="b" cm="1">
        <f t="array" ref="BJ121">IsRed('Large Dataset'!T121)</f>
        <v>0</v>
      </c>
      <c r="BK121" t="b" cm="1">
        <f t="array" ref="BK121">IsBlue('Large Dataset'!T121)</f>
        <v>0</v>
      </c>
      <c r="BL121" t="b" cm="1">
        <f t="array" ref="BL121">IsPurple('Large Dataset'!T121)</f>
        <v>0</v>
      </c>
      <c r="BM121" t="b" cm="1">
        <f t="array" ref="BM121">IsGreen('Large Dataset'!T121)</f>
        <v>0</v>
      </c>
      <c r="BS121" t="b" cm="1">
        <f t="array" ref="BS121">IsRed('Large Dataset'!U121)</f>
        <v>0</v>
      </c>
      <c r="BT121" t="b" cm="1">
        <f t="array" ref="BT121">IsBlue('Large Dataset'!U121)</f>
        <v>0</v>
      </c>
      <c r="BU121" t="b" cm="1">
        <f t="array" ref="BU121">IsPurple('Large Dataset'!U121)</f>
        <v>1</v>
      </c>
      <c r="BV121" t="b" cm="1">
        <f t="array" ref="BV121">IsGreen('Large Dataset'!U121)</f>
        <v>0</v>
      </c>
    </row>
    <row r="122" spans="7:74">
      <c r="G122" t="b" cm="1">
        <f t="array" ref="G122">IsRed('Large Dataset'!I122)</f>
        <v>0</v>
      </c>
      <c r="H122" t="b" cm="1">
        <f t="array" ref="H122">IsBlue('Large Dataset'!I122)</f>
        <v>0</v>
      </c>
      <c r="I122" t="b" cm="1">
        <f t="array" ref="I122">IsPurple('Large Dataset'!I122)</f>
        <v>0</v>
      </c>
      <c r="J122" t="b" cm="1">
        <f t="array" ref="J122">IsGreen('Large Dataset'!G122)</f>
        <v>0</v>
      </c>
      <c r="P122" t="b" cm="1">
        <f t="array" ref="P122">IsRed('Large Dataset'!K122)</f>
        <v>0</v>
      </c>
      <c r="Q122" t="b" cm="1">
        <f t="array" ref="Q122">IsBlue('Large Dataset'!K122)</f>
        <v>0</v>
      </c>
      <c r="R122" t="b" cm="1">
        <f t="array" ref="R122">IsPurple('Large Dataset'!K122)</f>
        <v>0</v>
      </c>
      <c r="S122" t="b" cm="1">
        <f t="array" ref="S122">IsGreen('Large Dataset'!K122)</f>
        <v>0</v>
      </c>
      <c r="Y122" t="b" cm="1">
        <f t="array" ref="Y122">IsRed('Large Dataset'!M122)</f>
        <v>0</v>
      </c>
      <c r="Z122" t="b" cm="1">
        <f t="array" ref="Z122">IsBlue('Large Dataset'!M122)</f>
        <v>0</v>
      </c>
      <c r="AA122" t="b" cm="1">
        <f t="array" ref="AA122">IsPurple('Large Dataset'!M122)</f>
        <v>0</v>
      </c>
      <c r="AB122" t="b" cm="1">
        <f t="array" ref="AB122">IsGreen('Large Dataset'!M122)</f>
        <v>0</v>
      </c>
      <c r="AH122" t="b" cm="1">
        <f t="array" ref="AH122">IsRed('Large Dataset'!O122)</f>
        <v>0</v>
      </c>
      <c r="AI122" t="b" cm="1">
        <f t="array" ref="AI122">IsBlue('Large Dataset'!O122)</f>
        <v>0</v>
      </c>
      <c r="AJ122" t="b" cm="1">
        <f t="array" ref="AJ122">IsPurple('Large Dataset'!O122)</f>
        <v>0</v>
      </c>
      <c r="AK122" t="b" cm="1">
        <f t="array" ref="AK122">IsGreen('Large Dataset'!O122)</f>
        <v>0</v>
      </c>
      <c r="AR122" t="b" cm="1">
        <f t="array" ref="AR122">IsRed('Large Dataset'!Q122)</f>
        <v>0</v>
      </c>
      <c r="AS122" t="b" cm="1">
        <f t="array" ref="AS122">IsBlue('Large Dataset'!Q122)</f>
        <v>0</v>
      </c>
      <c r="AT122" t="b" cm="1">
        <f t="array" ref="AT122">IsPurple('Large Dataset'!Q122)</f>
        <v>0</v>
      </c>
      <c r="AU122" t="b" cm="1">
        <f t="array" ref="AU122">IsGreen('Large Dataset'!Q122)</f>
        <v>0</v>
      </c>
      <c r="BA122" t="b" cm="1">
        <f t="array" ref="BA122">IsRed('Large Dataset'!R122)</f>
        <v>0</v>
      </c>
      <c r="BB122" t="b" cm="1">
        <f t="array" ref="BB122">IsBlue('Large Dataset'!R122)</f>
        <v>0</v>
      </c>
      <c r="BC122" t="b" cm="1">
        <f t="array" ref="BC122">IsPurple('Large Dataset'!R122)</f>
        <v>1</v>
      </c>
      <c r="BD122" t="b" cm="1">
        <f t="array" ref="BD122">IsGreen('Large Dataset'!R122)</f>
        <v>0</v>
      </c>
      <c r="BJ122" t="b" cm="1">
        <f t="array" ref="BJ122">IsRed('Large Dataset'!T122)</f>
        <v>0</v>
      </c>
      <c r="BK122" t="b" cm="1">
        <f t="array" ref="BK122">IsBlue('Large Dataset'!T122)</f>
        <v>0</v>
      </c>
      <c r="BL122" t="b" cm="1">
        <f t="array" ref="BL122">IsPurple('Large Dataset'!T122)</f>
        <v>0</v>
      </c>
      <c r="BM122" t="b" cm="1">
        <f t="array" ref="BM122">IsGreen('Large Dataset'!T122)</f>
        <v>0</v>
      </c>
      <c r="BS122" t="b" cm="1">
        <f t="array" ref="BS122">IsRed('Large Dataset'!U122)</f>
        <v>0</v>
      </c>
      <c r="BT122" t="b" cm="1">
        <f t="array" ref="BT122">IsBlue('Large Dataset'!U122)</f>
        <v>0</v>
      </c>
      <c r="BU122" t="b" cm="1">
        <f t="array" ref="BU122">IsPurple('Large Dataset'!U122)</f>
        <v>1</v>
      </c>
      <c r="BV122" t="b" cm="1">
        <f t="array" ref="BV122">IsGreen('Large Dataset'!U122)</f>
        <v>0</v>
      </c>
    </row>
    <row r="123" spans="7:74">
      <c r="G123" t="b" cm="1">
        <f t="array" ref="G123">IsRed('Large Dataset'!I123)</f>
        <v>0</v>
      </c>
      <c r="H123" t="b" cm="1">
        <f t="array" ref="H123">IsBlue('Large Dataset'!I123)</f>
        <v>0</v>
      </c>
      <c r="I123" t="b" cm="1">
        <f t="array" ref="I123">IsPurple('Large Dataset'!I123)</f>
        <v>0</v>
      </c>
      <c r="J123" t="b" cm="1">
        <f t="array" ref="J123">IsGreen('Large Dataset'!G123)</f>
        <v>0</v>
      </c>
      <c r="P123" t="b" cm="1">
        <f t="array" ref="P123">IsRed('Large Dataset'!K123)</f>
        <v>0</v>
      </c>
      <c r="Q123" t="b" cm="1">
        <f t="array" ref="Q123">IsBlue('Large Dataset'!K123)</f>
        <v>0</v>
      </c>
      <c r="R123" t="b" cm="1">
        <f t="array" ref="R123">IsPurple('Large Dataset'!K123)</f>
        <v>0</v>
      </c>
      <c r="S123" t="b" cm="1">
        <f t="array" ref="S123">IsGreen('Large Dataset'!K123)</f>
        <v>0</v>
      </c>
      <c r="Y123" t="b" cm="1">
        <f t="array" ref="Y123">IsRed('Large Dataset'!M123)</f>
        <v>0</v>
      </c>
      <c r="Z123" t="b" cm="1">
        <f t="array" ref="Z123">IsBlue('Large Dataset'!M123)</f>
        <v>0</v>
      </c>
      <c r="AA123" t="b" cm="1">
        <f t="array" ref="AA123">IsPurple('Large Dataset'!M123)</f>
        <v>0</v>
      </c>
      <c r="AB123" t="b" cm="1">
        <f t="array" ref="AB123">IsGreen('Large Dataset'!M123)</f>
        <v>0</v>
      </c>
      <c r="AH123" t="b" cm="1">
        <f t="array" ref="AH123">IsRed('Large Dataset'!O123)</f>
        <v>0</v>
      </c>
      <c r="AI123" t="b" cm="1">
        <f t="array" ref="AI123">IsBlue('Large Dataset'!O123)</f>
        <v>0</v>
      </c>
      <c r="AJ123" t="b" cm="1">
        <f t="array" ref="AJ123">IsPurple('Large Dataset'!O123)</f>
        <v>0</v>
      </c>
      <c r="AK123" t="b" cm="1">
        <f t="array" ref="AK123">IsGreen('Large Dataset'!O123)</f>
        <v>0</v>
      </c>
      <c r="AR123" t="b" cm="1">
        <f t="array" ref="AR123">IsRed('Large Dataset'!Q123)</f>
        <v>0</v>
      </c>
      <c r="AS123" t="b" cm="1">
        <f t="array" ref="AS123">IsBlue('Large Dataset'!Q123)</f>
        <v>0</v>
      </c>
      <c r="AT123" t="b" cm="1">
        <f t="array" ref="AT123">IsPurple('Large Dataset'!Q123)</f>
        <v>0</v>
      </c>
      <c r="AU123" t="b" cm="1">
        <f t="array" ref="AU123">IsGreen('Large Dataset'!Q123)</f>
        <v>0</v>
      </c>
      <c r="BA123" t="b" cm="1">
        <f t="array" ref="BA123">IsRed('Large Dataset'!R123)</f>
        <v>0</v>
      </c>
      <c r="BB123" t="b" cm="1">
        <f t="array" ref="BB123">IsBlue('Large Dataset'!R123)</f>
        <v>0</v>
      </c>
      <c r="BC123" t="b" cm="1">
        <f t="array" ref="BC123">IsPurple('Large Dataset'!R123)</f>
        <v>0</v>
      </c>
      <c r="BD123" t="b" cm="1">
        <f t="array" ref="BD123">IsGreen('Large Dataset'!R123)</f>
        <v>0</v>
      </c>
      <c r="BJ123" t="b" cm="1">
        <f t="array" ref="BJ123">IsRed('Large Dataset'!T123)</f>
        <v>0</v>
      </c>
      <c r="BK123" t="b" cm="1">
        <f t="array" ref="BK123">IsBlue('Large Dataset'!T123)</f>
        <v>0</v>
      </c>
      <c r="BL123" t="b" cm="1">
        <f t="array" ref="BL123">IsPurple('Large Dataset'!T123)</f>
        <v>0</v>
      </c>
      <c r="BM123" t="b" cm="1">
        <f t="array" ref="BM123">IsGreen('Large Dataset'!T123)</f>
        <v>0</v>
      </c>
      <c r="BS123" t="b" cm="1">
        <f t="array" ref="BS123">IsRed('Large Dataset'!U123)</f>
        <v>0</v>
      </c>
      <c r="BT123" t="b" cm="1">
        <f t="array" ref="BT123">IsBlue('Large Dataset'!U123)</f>
        <v>0</v>
      </c>
      <c r="BU123" t="b" cm="1">
        <f t="array" ref="BU123">IsPurple('Large Dataset'!U123)</f>
        <v>0</v>
      </c>
      <c r="BV123" t="b" cm="1">
        <f t="array" ref="BV123">IsGreen('Large Dataset'!U123)</f>
        <v>0</v>
      </c>
    </row>
    <row r="124" spans="7:74">
      <c r="G124" t="b" cm="1">
        <f t="array" ref="G124">IsRed('Large Dataset'!I124)</f>
        <v>0</v>
      </c>
      <c r="H124" t="b" cm="1">
        <f t="array" ref="H124">IsBlue('Large Dataset'!I124)</f>
        <v>0</v>
      </c>
      <c r="I124" t="b" cm="1">
        <f t="array" ref="I124">IsPurple('Large Dataset'!I124)</f>
        <v>0</v>
      </c>
      <c r="J124" t="b" cm="1">
        <f t="array" ref="J124">IsGreen('Large Dataset'!G124)</f>
        <v>0</v>
      </c>
      <c r="P124" t="b" cm="1">
        <f t="array" ref="P124">IsRed('Large Dataset'!K124)</f>
        <v>0</v>
      </c>
      <c r="Q124" t="b" cm="1">
        <f t="array" ref="Q124">IsBlue('Large Dataset'!K124)</f>
        <v>0</v>
      </c>
      <c r="R124" t="b" cm="1">
        <f t="array" ref="R124">IsPurple('Large Dataset'!K124)</f>
        <v>0</v>
      </c>
      <c r="S124" t="b" cm="1">
        <f t="array" ref="S124">IsGreen('Large Dataset'!K124)</f>
        <v>0</v>
      </c>
      <c r="Y124" t="b" cm="1">
        <f t="array" ref="Y124">IsRed('Large Dataset'!M124)</f>
        <v>0</v>
      </c>
      <c r="Z124" t="b" cm="1">
        <f t="array" ref="Z124">IsBlue('Large Dataset'!M124)</f>
        <v>0</v>
      </c>
      <c r="AA124" t="b" cm="1">
        <f t="array" ref="AA124">IsPurple('Large Dataset'!M124)</f>
        <v>0</v>
      </c>
      <c r="AB124" t="b" cm="1">
        <f t="array" ref="AB124">IsGreen('Large Dataset'!M124)</f>
        <v>0</v>
      </c>
      <c r="AH124" t="b" cm="1">
        <f t="array" ref="AH124">IsRed('Large Dataset'!O124)</f>
        <v>0</v>
      </c>
      <c r="AI124" t="b" cm="1">
        <f t="array" ref="AI124">IsBlue('Large Dataset'!O124)</f>
        <v>0</v>
      </c>
      <c r="AJ124" t="b" cm="1">
        <f t="array" ref="AJ124">IsPurple('Large Dataset'!O124)</f>
        <v>0</v>
      </c>
      <c r="AK124" t="b" cm="1">
        <f t="array" ref="AK124">IsGreen('Large Dataset'!O124)</f>
        <v>0</v>
      </c>
      <c r="AR124" t="b" cm="1">
        <f t="array" ref="AR124">IsRed('Large Dataset'!Q124)</f>
        <v>0</v>
      </c>
      <c r="AS124" t="b" cm="1">
        <f t="array" ref="AS124">IsBlue('Large Dataset'!Q124)</f>
        <v>0</v>
      </c>
      <c r="AT124" t="b" cm="1">
        <f t="array" ref="AT124">IsPurple('Large Dataset'!Q124)</f>
        <v>0</v>
      </c>
      <c r="AU124" t="b" cm="1">
        <f t="array" ref="AU124">IsGreen('Large Dataset'!Q124)</f>
        <v>0</v>
      </c>
      <c r="BA124" t="b" cm="1">
        <f t="array" ref="BA124">IsRed('Large Dataset'!R124)</f>
        <v>0</v>
      </c>
      <c r="BB124" t="b" cm="1">
        <f t="array" ref="BB124">IsBlue('Large Dataset'!R124)</f>
        <v>0</v>
      </c>
      <c r="BC124" t="b" cm="1">
        <f t="array" ref="BC124">IsPurple('Large Dataset'!R124)</f>
        <v>0</v>
      </c>
      <c r="BD124" t="b" cm="1">
        <f t="array" ref="BD124">IsGreen('Large Dataset'!R124)</f>
        <v>0</v>
      </c>
      <c r="BJ124" t="b" cm="1">
        <f t="array" ref="BJ124">IsRed('Large Dataset'!T124)</f>
        <v>0</v>
      </c>
      <c r="BK124" t="b" cm="1">
        <f t="array" ref="BK124">IsBlue('Large Dataset'!T124)</f>
        <v>0</v>
      </c>
      <c r="BL124" t="b" cm="1">
        <f t="array" ref="BL124">IsPurple('Large Dataset'!T124)</f>
        <v>0</v>
      </c>
      <c r="BM124" t="b" cm="1">
        <f t="array" ref="BM124">IsGreen('Large Dataset'!T124)</f>
        <v>0</v>
      </c>
      <c r="BS124" t="b" cm="1">
        <f t="array" ref="BS124">IsRed('Large Dataset'!U124)</f>
        <v>0</v>
      </c>
      <c r="BT124" t="b" cm="1">
        <f t="array" ref="BT124">IsBlue('Large Dataset'!U124)</f>
        <v>0</v>
      </c>
      <c r="BU124" t="b" cm="1">
        <f t="array" ref="BU124">IsPurple('Large Dataset'!U124)</f>
        <v>0</v>
      </c>
      <c r="BV124" t="b" cm="1">
        <f t="array" ref="BV124">IsGreen('Large Dataset'!U124)</f>
        <v>0</v>
      </c>
    </row>
    <row r="125" spans="7:74">
      <c r="G125" t="b" cm="1">
        <f t="array" ref="G125">IsRed('Large Dataset'!I125)</f>
        <v>0</v>
      </c>
      <c r="H125" t="b" cm="1">
        <f t="array" ref="H125">IsBlue('Large Dataset'!I125)</f>
        <v>0</v>
      </c>
      <c r="I125" t="b" cm="1">
        <f t="array" ref="I125">IsPurple('Large Dataset'!I125)</f>
        <v>0</v>
      </c>
      <c r="J125" t="b" cm="1">
        <f t="array" ref="J125">IsGreen('Large Dataset'!G125)</f>
        <v>0</v>
      </c>
      <c r="P125" t="b" cm="1">
        <f t="array" ref="P125">IsRed('Large Dataset'!K125)</f>
        <v>0</v>
      </c>
      <c r="Q125" t="b" cm="1">
        <f t="array" ref="Q125">IsBlue('Large Dataset'!K125)</f>
        <v>0</v>
      </c>
      <c r="R125" t="b" cm="1">
        <f t="array" ref="R125">IsPurple('Large Dataset'!K125)</f>
        <v>0</v>
      </c>
      <c r="S125" t="b" cm="1">
        <f t="array" ref="S125">IsGreen('Large Dataset'!K125)</f>
        <v>0</v>
      </c>
      <c r="Y125" t="b" cm="1">
        <f t="array" ref="Y125">IsRed('Large Dataset'!M125)</f>
        <v>0</v>
      </c>
      <c r="Z125" t="b" cm="1">
        <f t="array" ref="Z125">IsBlue('Large Dataset'!M125)</f>
        <v>0</v>
      </c>
      <c r="AA125" t="b" cm="1">
        <f t="array" ref="AA125">IsPurple('Large Dataset'!M125)</f>
        <v>0</v>
      </c>
      <c r="AB125" t="b" cm="1">
        <f t="array" ref="AB125">IsGreen('Large Dataset'!M125)</f>
        <v>0</v>
      </c>
      <c r="AH125" t="b" cm="1">
        <f t="array" ref="AH125">IsRed('Large Dataset'!O125)</f>
        <v>0</v>
      </c>
      <c r="AI125" t="b" cm="1">
        <f t="array" ref="AI125">IsBlue('Large Dataset'!O125)</f>
        <v>0</v>
      </c>
      <c r="AJ125" t="b" cm="1">
        <f t="array" ref="AJ125">IsPurple('Large Dataset'!O125)</f>
        <v>0</v>
      </c>
      <c r="AK125" t="b" cm="1">
        <f t="array" ref="AK125">IsGreen('Large Dataset'!O125)</f>
        <v>0</v>
      </c>
      <c r="AR125" t="b" cm="1">
        <f t="array" ref="AR125">IsRed('Large Dataset'!Q125)</f>
        <v>0</v>
      </c>
      <c r="AS125" t="b" cm="1">
        <f t="array" ref="AS125">IsBlue('Large Dataset'!Q125)</f>
        <v>0</v>
      </c>
      <c r="AT125" t="b" cm="1">
        <f t="array" ref="AT125">IsPurple('Large Dataset'!Q125)</f>
        <v>0</v>
      </c>
      <c r="AU125" t="b" cm="1">
        <f t="array" ref="AU125">IsGreen('Large Dataset'!Q125)</f>
        <v>0</v>
      </c>
      <c r="BA125" t="b" cm="1">
        <f t="array" ref="BA125">IsRed('Large Dataset'!R125)</f>
        <v>0</v>
      </c>
      <c r="BB125" t="b" cm="1">
        <f t="array" ref="BB125">IsBlue('Large Dataset'!R125)</f>
        <v>0</v>
      </c>
      <c r="BC125" t="b" cm="1">
        <f t="array" ref="BC125">IsPurple('Large Dataset'!R125)</f>
        <v>0</v>
      </c>
      <c r="BD125" t="b" cm="1">
        <f t="array" ref="BD125">IsGreen('Large Dataset'!R125)</f>
        <v>0</v>
      </c>
      <c r="BJ125" t="b" cm="1">
        <f t="array" ref="BJ125">IsRed('Large Dataset'!T125)</f>
        <v>0</v>
      </c>
      <c r="BK125" t="b" cm="1">
        <f t="array" ref="BK125">IsBlue('Large Dataset'!T125)</f>
        <v>0</v>
      </c>
      <c r="BL125" t="b" cm="1">
        <f t="array" ref="BL125">IsPurple('Large Dataset'!T125)</f>
        <v>0</v>
      </c>
      <c r="BM125" t="b" cm="1">
        <f t="array" ref="BM125">IsGreen('Large Dataset'!T125)</f>
        <v>0</v>
      </c>
      <c r="BS125" t="b" cm="1">
        <f t="array" ref="BS125">IsRed('Large Dataset'!U125)</f>
        <v>0</v>
      </c>
      <c r="BT125" t="b" cm="1">
        <f t="array" ref="BT125">IsBlue('Large Dataset'!U125)</f>
        <v>0</v>
      </c>
      <c r="BU125" t="b" cm="1">
        <f t="array" ref="BU125">IsPurple('Large Dataset'!U125)</f>
        <v>0</v>
      </c>
      <c r="BV125" t="b" cm="1">
        <f t="array" ref="BV125">IsGreen('Large Dataset'!U125)</f>
        <v>0</v>
      </c>
    </row>
    <row r="126" spans="7:74">
      <c r="G126" t="b" cm="1">
        <f t="array" ref="G126">IsRed('Large Dataset'!I126)</f>
        <v>0</v>
      </c>
      <c r="H126" t="b" cm="1">
        <f t="array" ref="H126">IsBlue('Large Dataset'!I126)</f>
        <v>0</v>
      </c>
      <c r="I126" t="b" cm="1">
        <f t="array" ref="I126">IsPurple('Large Dataset'!I126)</f>
        <v>0</v>
      </c>
      <c r="J126" t="b" cm="1">
        <f t="array" ref="J126">IsGreen('Large Dataset'!G126)</f>
        <v>0</v>
      </c>
      <c r="P126" t="b" cm="1">
        <f t="array" ref="P126">IsRed('Large Dataset'!K126)</f>
        <v>0</v>
      </c>
      <c r="Q126" t="b" cm="1">
        <f t="array" ref="Q126">IsBlue('Large Dataset'!K126)</f>
        <v>0</v>
      </c>
      <c r="R126" t="b" cm="1">
        <f t="array" ref="R126">IsPurple('Large Dataset'!K126)</f>
        <v>0</v>
      </c>
      <c r="S126" t="b" cm="1">
        <f t="array" ref="S126">IsGreen('Large Dataset'!K126)</f>
        <v>0</v>
      </c>
      <c r="Y126" t="b" cm="1">
        <f t="array" ref="Y126">IsRed('Large Dataset'!M126)</f>
        <v>0</v>
      </c>
      <c r="Z126" t="b" cm="1">
        <f t="array" ref="Z126">IsBlue('Large Dataset'!M126)</f>
        <v>0</v>
      </c>
      <c r="AA126" t="b" cm="1">
        <f t="array" ref="AA126">IsPurple('Large Dataset'!M126)</f>
        <v>0</v>
      </c>
      <c r="AB126" t="b" cm="1">
        <f t="array" ref="AB126">IsGreen('Large Dataset'!M126)</f>
        <v>0</v>
      </c>
      <c r="AH126" t="b" cm="1">
        <f t="array" ref="AH126">IsRed('Large Dataset'!O126)</f>
        <v>0</v>
      </c>
      <c r="AI126" t="b" cm="1">
        <f t="array" ref="AI126">IsBlue('Large Dataset'!O126)</f>
        <v>0</v>
      </c>
      <c r="AJ126" t="b" cm="1">
        <f t="array" ref="AJ126">IsPurple('Large Dataset'!O126)</f>
        <v>0</v>
      </c>
      <c r="AK126" t="b" cm="1">
        <f t="array" ref="AK126">IsGreen('Large Dataset'!O126)</f>
        <v>0</v>
      </c>
      <c r="AR126" t="b" cm="1">
        <f t="array" ref="AR126">IsRed('Large Dataset'!Q126)</f>
        <v>0</v>
      </c>
      <c r="AS126" t="b" cm="1">
        <f t="array" ref="AS126">IsBlue('Large Dataset'!Q126)</f>
        <v>0</v>
      </c>
      <c r="AT126" t="b" cm="1">
        <f t="array" ref="AT126">IsPurple('Large Dataset'!Q126)</f>
        <v>0</v>
      </c>
      <c r="AU126" t="b" cm="1">
        <f t="array" ref="AU126">IsGreen('Large Dataset'!Q126)</f>
        <v>0</v>
      </c>
      <c r="BA126" t="b" cm="1">
        <f t="array" ref="BA126">IsRed('Large Dataset'!R126)</f>
        <v>0</v>
      </c>
      <c r="BB126" t="b" cm="1">
        <f t="array" ref="BB126">IsBlue('Large Dataset'!R126)</f>
        <v>0</v>
      </c>
      <c r="BC126" t="b" cm="1">
        <f t="array" ref="BC126">IsPurple('Large Dataset'!R126)</f>
        <v>0</v>
      </c>
      <c r="BD126" t="b" cm="1">
        <f t="array" ref="BD126">IsGreen('Large Dataset'!R126)</f>
        <v>0</v>
      </c>
      <c r="BJ126" t="b" cm="1">
        <f t="array" ref="BJ126">IsRed('Large Dataset'!T126)</f>
        <v>0</v>
      </c>
      <c r="BK126" t="b" cm="1">
        <f t="array" ref="BK126">IsBlue('Large Dataset'!T126)</f>
        <v>0</v>
      </c>
      <c r="BL126" t="b" cm="1">
        <f t="array" ref="BL126">IsPurple('Large Dataset'!T126)</f>
        <v>0</v>
      </c>
      <c r="BM126" t="b" cm="1">
        <f t="array" ref="BM126">IsGreen('Large Dataset'!T126)</f>
        <v>0</v>
      </c>
      <c r="BS126" t="b" cm="1">
        <f t="array" ref="BS126">IsRed('Large Dataset'!U126)</f>
        <v>0</v>
      </c>
      <c r="BT126" t="b" cm="1">
        <f t="array" ref="BT126">IsBlue('Large Dataset'!U126)</f>
        <v>0</v>
      </c>
      <c r="BU126" t="b" cm="1">
        <f t="array" ref="BU126">IsPurple('Large Dataset'!U126)</f>
        <v>0</v>
      </c>
      <c r="BV126" t="b" cm="1">
        <f t="array" ref="BV126">IsGreen('Large Dataset'!U126)</f>
        <v>0</v>
      </c>
    </row>
    <row r="127" spans="7:74">
      <c r="G127" t="b" cm="1">
        <f t="array" ref="G127">IsRed('Large Dataset'!I127)</f>
        <v>0</v>
      </c>
      <c r="H127" t="b" cm="1">
        <f t="array" ref="H127">IsBlue('Large Dataset'!I127)</f>
        <v>0</v>
      </c>
      <c r="I127" t="b" cm="1">
        <f t="array" ref="I127">IsPurple('Large Dataset'!I127)</f>
        <v>0</v>
      </c>
      <c r="J127" t="b" cm="1">
        <f t="array" ref="J127">IsGreen('Large Dataset'!G127)</f>
        <v>0</v>
      </c>
      <c r="P127" t="b" cm="1">
        <f t="array" ref="P127">IsRed('Large Dataset'!K127)</f>
        <v>0</v>
      </c>
      <c r="Q127" t="b" cm="1">
        <f t="array" ref="Q127">IsBlue('Large Dataset'!K127)</f>
        <v>0</v>
      </c>
      <c r="R127" t="b" cm="1">
        <f t="array" ref="R127">IsPurple('Large Dataset'!K127)</f>
        <v>0</v>
      </c>
      <c r="S127" t="b" cm="1">
        <f t="array" ref="S127">IsGreen('Large Dataset'!K127)</f>
        <v>0</v>
      </c>
      <c r="Y127" t="b" cm="1">
        <f t="array" ref="Y127">IsRed('Large Dataset'!M127)</f>
        <v>0</v>
      </c>
      <c r="Z127" t="b" cm="1">
        <f t="array" ref="Z127">IsBlue('Large Dataset'!M127)</f>
        <v>0</v>
      </c>
      <c r="AA127" t="b" cm="1">
        <f t="array" ref="AA127">IsPurple('Large Dataset'!M127)</f>
        <v>0</v>
      </c>
      <c r="AB127" t="b" cm="1">
        <f t="array" ref="AB127">IsGreen('Large Dataset'!M127)</f>
        <v>0</v>
      </c>
      <c r="AH127" t="b" cm="1">
        <f t="array" ref="AH127">IsRed('Large Dataset'!O127)</f>
        <v>0</v>
      </c>
      <c r="AI127" t="b" cm="1">
        <f t="array" ref="AI127">IsBlue('Large Dataset'!O127)</f>
        <v>0</v>
      </c>
      <c r="AJ127" t="b" cm="1">
        <f t="array" ref="AJ127">IsPurple('Large Dataset'!O127)</f>
        <v>0</v>
      </c>
      <c r="AK127" t="b" cm="1">
        <f t="array" ref="AK127">IsGreen('Large Dataset'!O127)</f>
        <v>0</v>
      </c>
      <c r="AR127" t="b" cm="1">
        <f t="array" ref="AR127">IsRed('Large Dataset'!Q127)</f>
        <v>0</v>
      </c>
      <c r="AS127" t="b" cm="1">
        <f t="array" ref="AS127">IsBlue('Large Dataset'!Q127)</f>
        <v>0</v>
      </c>
      <c r="AT127" t="b" cm="1">
        <f t="array" ref="AT127">IsPurple('Large Dataset'!Q127)</f>
        <v>0</v>
      </c>
      <c r="AU127" t="b" cm="1">
        <f t="array" ref="AU127">IsGreen('Large Dataset'!Q127)</f>
        <v>0</v>
      </c>
      <c r="BA127" t="b" cm="1">
        <f t="array" ref="BA127">IsRed('Large Dataset'!R127)</f>
        <v>0</v>
      </c>
      <c r="BB127" t="b" cm="1">
        <f t="array" ref="BB127">IsBlue('Large Dataset'!R127)</f>
        <v>0</v>
      </c>
      <c r="BC127" t="b" cm="1">
        <f t="array" ref="BC127">IsPurple('Large Dataset'!R127)</f>
        <v>0</v>
      </c>
      <c r="BD127" t="b" cm="1">
        <f t="array" ref="BD127">IsGreen('Large Dataset'!R127)</f>
        <v>0</v>
      </c>
      <c r="BJ127" t="b" cm="1">
        <f t="array" ref="BJ127">IsRed('Large Dataset'!T127)</f>
        <v>0</v>
      </c>
      <c r="BK127" t="b" cm="1">
        <f t="array" ref="BK127">IsBlue('Large Dataset'!T127)</f>
        <v>0</v>
      </c>
      <c r="BL127" t="b" cm="1">
        <f t="array" ref="BL127">IsPurple('Large Dataset'!T127)</f>
        <v>0</v>
      </c>
      <c r="BM127" t="b" cm="1">
        <f t="array" ref="BM127">IsGreen('Large Dataset'!T127)</f>
        <v>0</v>
      </c>
      <c r="BS127" t="b" cm="1">
        <f t="array" ref="BS127">IsRed('Large Dataset'!U127)</f>
        <v>0</v>
      </c>
      <c r="BT127" t="b" cm="1">
        <f t="array" ref="BT127">IsBlue('Large Dataset'!U127)</f>
        <v>0</v>
      </c>
      <c r="BU127" t="b" cm="1">
        <f t="array" ref="BU127">IsPurple('Large Dataset'!U127)</f>
        <v>0</v>
      </c>
      <c r="BV127" t="b" cm="1">
        <f t="array" ref="BV127">IsGreen('Large Dataset'!U127)</f>
        <v>0</v>
      </c>
    </row>
    <row r="128" spans="7:74">
      <c r="G128" t="b" cm="1">
        <f t="array" ref="G128">IsRed('Large Dataset'!I128)</f>
        <v>0</v>
      </c>
      <c r="H128" t="b" cm="1">
        <f t="array" ref="H128">IsBlue('Large Dataset'!I128)</f>
        <v>0</v>
      </c>
      <c r="I128" t="b" cm="1">
        <f t="array" ref="I128">IsPurple('Large Dataset'!I128)</f>
        <v>0</v>
      </c>
      <c r="J128" t="b" cm="1">
        <f t="array" ref="J128">IsGreen('Large Dataset'!G128)</f>
        <v>0</v>
      </c>
      <c r="P128" t="b" cm="1">
        <f t="array" ref="P128">IsRed('Large Dataset'!K128)</f>
        <v>0</v>
      </c>
      <c r="Q128" t="b" cm="1">
        <f t="array" ref="Q128">IsBlue('Large Dataset'!K128)</f>
        <v>0</v>
      </c>
      <c r="R128" t="b" cm="1">
        <f t="array" ref="R128">IsPurple('Large Dataset'!K128)</f>
        <v>0</v>
      </c>
      <c r="S128" t="b" cm="1">
        <f t="array" ref="S128">IsGreen('Large Dataset'!K128)</f>
        <v>0</v>
      </c>
      <c r="Y128" t="b" cm="1">
        <f t="array" ref="Y128">IsRed('Large Dataset'!M128)</f>
        <v>0</v>
      </c>
      <c r="Z128" t="b" cm="1">
        <f t="array" ref="Z128">IsBlue('Large Dataset'!M128)</f>
        <v>0</v>
      </c>
      <c r="AA128" t="b" cm="1">
        <f t="array" ref="AA128">IsPurple('Large Dataset'!M128)</f>
        <v>0</v>
      </c>
      <c r="AB128" t="b" cm="1">
        <f t="array" ref="AB128">IsGreen('Large Dataset'!M128)</f>
        <v>0</v>
      </c>
      <c r="AH128" t="b" cm="1">
        <f t="array" ref="AH128">IsRed('Large Dataset'!O128)</f>
        <v>0</v>
      </c>
      <c r="AI128" t="b" cm="1">
        <f t="array" ref="AI128">IsBlue('Large Dataset'!O128)</f>
        <v>0</v>
      </c>
      <c r="AJ128" t="b" cm="1">
        <f t="array" ref="AJ128">IsPurple('Large Dataset'!O128)</f>
        <v>0</v>
      </c>
      <c r="AK128" t="b" cm="1">
        <f t="array" ref="AK128">IsGreen('Large Dataset'!O128)</f>
        <v>0</v>
      </c>
      <c r="AR128" t="b" cm="1">
        <f t="array" ref="AR128">IsRed('Large Dataset'!Q128)</f>
        <v>0</v>
      </c>
      <c r="AS128" t="b" cm="1">
        <f t="array" ref="AS128">IsBlue('Large Dataset'!Q128)</f>
        <v>0</v>
      </c>
      <c r="AT128" t="b" cm="1">
        <f t="array" ref="AT128">IsPurple('Large Dataset'!Q128)</f>
        <v>0</v>
      </c>
      <c r="AU128" t="b" cm="1">
        <f t="array" ref="AU128">IsGreen('Large Dataset'!Q128)</f>
        <v>0</v>
      </c>
      <c r="BA128" t="b" cm="1">
        <f t="array" ref="BA128">IsRed('Large Dataset'!R128)</f>
        <v>0</v>
      </c>
      <c r="BB128" t="b" cm="1">
        <f t="array" ref="BB128">IsBlue('Large Dataset'!R128)</f>
        <v>0</v>
      </c>
      <c r="BC128" t="b" cm="1">
        <f t="array" ref="BC128">IsPurple('Large Dataset'!R128)</f>
        <v>0</v>
      </c>
      <c r="BD128" t="b" cm="1">
        <f t="array" ref="BD128">IsGreen('Large Dataset'!R128)</f>
        <v>0</v>
      </c>
      <c r="BJ128" t="b" cm="1">
        <f t="array" ref="BJ128">IsRed('Large Dataset'!T128)</f>
        <v>0</v>
      </c>
      <c r="BK128" t="b" cm="1">
        <f t="array" ref="BK128">IsBlue('Large Dataset'!T128)</f>
        <v>0</v>
      </c>
      <c r="BL128" t="b" cm="1">
        <f t="array" ref="BL128">IsPurple('Large Dataset'!T128)</f>
        <v>0</v>
      </c>
      <c r="BM128" t="b" cm="1">
        <f t="array" ref="BM128">IsGreen('Large Dataset'!T128)</f>
        <v>0</v>
      </c>
      <c r="BS128" t="b" cm="1">
        <f t="array" ref="BS128">IsRed('Large Dataset'!U128)</f>
        <v>0</v>
      </c>
      <c r="BT128" t="b" cm="1">
        <f t="array" ref="BT128">IsBlue('Large Dataset'!U128)</f>
        <v>0</v>
      </c>
      <c r="BU128" t="b" cm="1">
        <f t="array" ref="BU128">IsPurple('Large Dataset'!U128)</f>
        <v>0</v>
      </c>
      <c r="BV128" t="b" cm="1">
        <f t="array" ref="BV128">IsGreen('Large Dataset'!U128)</f>
        <v>0</v>
      </c>
    </row>
    <row r="129" spans="7:74">
      <c r="G129" t="b" cm="1">
        <f t="array" ref="G129">IsRed('Large Dataset'!I129)</f>
        <v>0</v>
      </c>
      <c r="H129" t="b" cm="1">
        <f t="array" ref="H129">IsBlue('Large Dataset'!I129)</f>
        <v>0</v>
      </c>
      <c r="I129" t="b" cm="1">
        <f t="array" ref="I129">IsPurple('Large Dataset'!I129)</f>
        <v>0</v>
      </c>
      <c r="J129" t="b" cm="1">
        <f t="array" ref="J129">IsGreen('Large Dataset'!G129)</f>
        <v>0</v>
      </c>
      <c r="P129" t="b" cm="1">
        <f t="array" ref="P129">IsRed('Large Dataset'!K129)</f>
        <v>0</v>
      </c>
      <c r="Q129" t="b" cm="1">
        <f t="array" ref="Q129">IsBlue('Large Dataset'!K129)</f>
        <v>0</v>
      </c>
      <c r="R129" t="b" cm="1">
        <f t="array" ref="R129">IsPurple('Large Dataset'!K129)</f>
        <v>0</v>
      </c>
      <c r="S129" t="b" cm="1">
        <f t="array" ref="S129">IsGreen('Large Dataset'!K129)</f>
        <v>0</v>
      </c>
      <c r="Y129" t="b" cm="1">
        <f t="array" ref="Y129">IsRed('Large Dataset'!M129)</f>
        <v>0</v>
      </c>
      <c r="Z129" t="b" cm="1">
        <f t="array" ref="Z129">IsBlue('Large Dataset'!M129)</f>
        <v>0</v>
      </c>
      <c r="AA129" t="b" cm="1">
        <f t="array" ref="AA129">IsPurple('Large Dataset'!M129)</f>
        <v>0</v>
      </c>
      <c r="AB129" t="b" cm="1">
        <f t="array" ref="AB129">IsGreen('Large Dataset'!M129)</f>
        <v>0</v>
      </c>
      <c r="AH129" t="b" cm="1">
        <f t="array" ref="AH129">IsRed('Large Dataset'!O129)</f>
        <v>0</v>
      </c>
      <c r="AI129" t="b" cm="1">
        <f t="array" ref="AI129">IsBlue('Large Dataset'!O129)</f>
        <v>0</v>
      </c>
      <c r="AJ129" t="b" cm="1">
        <f t="array" ref="AJ129">IsPurple('Large Dataset'!O129)</f>
        <v>0</v>
      </c>
      <c r="AK129" t="b" cm="1">
        <f t="array" ref="AK129">IsGreen('Large Dataset'!O129)</f>
        <v>0</v>
      </c>
      <c r="AR129" t="b" cm="1">
        <f t="array" ref="AR129">IsRed('Large Dataset'!Q129)</f>
        <v>0</v>
      </c>
      <c r="AS129" t="b" cm="1">
        <f t="array" ref="AS129">IsBlue('Large Dataset'!Q129)</f>
        <v>0</v>
      </c>
      <c r="AT129" t="b" cm="1">
        <f t="array" ref="AT129">IsPurple('Large Dataset'!Q129)</f>
        <v>0</v>
      </c>
      <c r="AU129" t="b" cm="1">
        <f t="array" ref="AU129">IsGreen('Large Dataset'!Q129)</f>
        <v>0</v>
      </c>
      <c r="BA129" t="b" cm="1">
        <f t="array" ref="BA129">IsRed('Large Dataset'!R129)</f>
        <v>0</v>
      </c>
      <c r="BB129" t="b" cm="1">
        <f t="array" ref="BB129">IsBlue('Large Dataset'!R129)</f>
        <v>0</v>
      </c>
      <c r="BC129" t="b" cm="1">
        <f t="array" ref="BC129">IsPurple('Large Dataset'!R129)</f>
        <v>0</v>
      </c>
      <c r="BD129" t="b" cm="1">
        <f t="array" ref="BD129">IsGreen('Large Dataset'!R129)</f>
        <v>0</v>
      </c>
      <c r="BJ129" t="b" cm="1">
        <f t="array" ref="BJ129">IsRed('Large Dataset'!T129)</f>
        <v>0</v>
      </c>
      <c r="BK129" t="b" cm="1">
        <f t="array" ref="BK129">IsBlue('Large Dataset'!T129)</f>
        <v>0</v>
      </c>
      <c r="BL129" t="b" cm="1">
        <f t="array" ref="BL129">IsPurple('Large Dataset'!T129)</f>
        <v>0</v>
      </c>
      <c r="BM129" t="b" cm="1">
        <f t="array" ref="BM129">IsGreen('Large Dataset'!T129)</f>
        <v>0</v>
      </c>
      <c r="BS129" t="b" cm="1">
        <f t="array" ref="BS129">IsRed('Large Dataset'!U129)</f>
        <v>0</v>
      </c>
      <c r="BT129" t="b" cm="1">
        <f t="array" ref="BT129">IsBlue('Large Dataset'!U129)</f>
        <v>0</v>
      </c>
      <c r="BU129" t="b" cm="1">
        <f t="array" ref="BU129">IsPurple('Large Dataset'!U129)</f>
        <v>0</v>
      </c>
      <c r="BV129" t="b" cm="1">
        <f t="array" ref="BV129">IsGreen('Large Dataset'!U129)</f>
        <v>0</v>
      </c>
    </row>
    <row r="130" spans="7:74">
      <c r="G130" t="b" cm="1">
        <f t="array" ref="G130">IsRed('Large Dataset'!I130)</f>
        <v>0</v>
      </c>
      <c r="H130" t="b" cm="1">
        <f t="array" ref="H130">IsBlue('Large Dataset'!I130)</f>
        <v>0</v>
      </c>
      <c r="I130" t="b" cm="1">
        <f t="array" ref="I130">IsPurple('Large Dataset'!I130)</f>
        <v>0</v>
      </c>
      <c r="J130" t="b" cm="1">
        <f t="array" ref="J130">IsGreen('Large Dataset'!G130)</f>
        <v>0</v>
      </c>
      <c r="P130" t="b" cm="1">
        <f t="array" ref="P130">IsRed('Large Dataset'!K130)</f>
        <v>0</v>
      </c>
      <c r="Q130" t="b" cm="1">
        <f t="array" ref="Q130">IsBlue('Large Dataset'!K130)</f>
        <v>0</v>
      </c>
      <c r="R130" t="b" cm="1">
        <f t="array" ref="R130">IsPurple('Large Dataset'!K130)</f>
        <v>0</v>
      </c>
      <c r="S130" t="b" cm="1">
        <f t="array" ref="S130">IsGreen('Large Dataset'!K130)</f>
        <v>0</v>
      </c>
      <c r="Y130" t="b" cm="1">
        <f t="array" ref="Y130">IsRed('Large Dataset'!M130)</f>
        <v>0</v>
      </c>
      <c r="Z130" t="b" cm="1">
        <f t="array" ref="Z130">IsBlue('Large Dataset'!M130)</f>
        <v>0</v>
      </c>
      <c r="AA130" t="b" cm="1">
        <f t="array" ref="AA130">IsPurple('Large Dataset'!M130)</f>
        <v>0</v>
      </c>
      <c r="AB130" t="b" cm="1">
        <f t="array" ref="AB130">IsGreen('Large Dataset'!M130)</f>
        <v>0</v>
      </c>
      <c r="AH130" t="b" cm="1">
        <f t="array" ref="AH130">IsRed('Large Dataset'!O130)</f>
        <v>0</v>
      </c>
      <c r="AI130" t="b" cm="1">
        <f t="array" ref="AI130">IsBlue('Large Dataset'!O130)</f>
        <v>0</v>
      </c>
      <c r="AJ130" t="b" cm="1">
        <f t="array" ref="AJ130">IsPurple('Large Dataset'!O130)</f>
        <v>0</v>
      </c>
      <c r="AK130" t="b" cm="1">
        <f t="array" ref="AK130">IsGreen('Large Dataset'!O130)</f>
        <v>0</v>
      </c>
      <c r="AR130" t="b" cm="1">
        <f t="array" ref="AR130">IsRed('Large Dataset'!Q130)</f>
        <v>0</v>
      </c>
      <c r="AS130" t="b" cm="1">
        <f t="array" ref="AS130">IsBlue('Large Dataset'!Q130)</f>
        <v>0</v>
      </c>
      <c r="AT130" t="b" cm="1">
        <f t="array" ref="AT130">IsPurple('Large Dataset'!Q130)</f>
        <v>0</v>
      </c>
      <c r="AU130" t="b" cm="1">
        <f t="array" ref="AU130">IsGreen('Large Dataset'!Q130)</f>
        <v>0</v>
      </c>
      <c r="BA130" t="b" cm="1">
        <f t="array" ref="BA130">IsRed('Large Dataset'!R130)</f>
        <v>0</v>
      </c>
      <c r="BB130" t="b" cm="1">
        <f t="array" ref="BB130">IsBlue('Large Dataset'!R130)</f>
        <v>0</v>
      </c>
      <c r="BC130" t="b" cm="1">
        <f t="array" ref="BC130">IsPurple('Large Dataset'!R130)</f>
        <v>0</v>
      </c>
      <c r="BD130" t="b" cm="1">
        <f t="array" ref="BD130">IsGreen('Large Dataset'!R130)</f>
        <v>0</v>
      </c>
      <c r="BJ130" t="b" cm="1">
        <f t="array" ref="BJ130">IsRed('Large Dataset'!T130)</f>
        <v>0</v>
      </c>
      <c r="BK130" t="b" cm="1">
        <f t="array" ref="BK130">IsBlue('Large Dataset'!T130)</f>
        <v>0</v>
      </c>
      <c r="BL130" t="b" cm="1">
        <f t="array" ref="BL130">IsPurple('Large Dataset'!T130)</f>
        <v>0</v>
      </c>
      <c r="BM130" t="b" cm="1">
        <f t="array" ref="BM130">IsGreen('Large Dataset'!T130)</f>
        <v>0</v>
      </c>
      <c r="BS130" t="b" cm="1">
        <f t="array" ref="BS130">IsRed('Large Dataset'!U130)</f>
        <v>0</v>
      </c>
      <c r="BT130" t="b" cm="1">
        <f t="array" ref="BT130">IsBlue('Large Dataset'!U130)</f>
        <v>0</v>
      </c>
      <c r="BU130" t="b" cm="1">
        <f t="array" ref="BU130">IsPurple('Large Dataset'!U130)</f>
        <v>0</v>
      </c>
      <c r="BV130" t="b" cm="1">
        <f t="array" ref="BV130">IsGreen('Large Dataset'!U130)</f>
        <v>0</v>
      </c>
    </row>
    <row r="131" spans="7:74">
      <c r="G131" t="b" cm="1">
        <f t="array" ref="G131">IsRed('Large Dataset'!I131)</f>
        <v>0</v>
      </c>
      <c r="H131" t="b" cm="1">
        <f t="array" ref="H131">IsBlue('Large Dataset'!I131)</f>
        <v>0</v>
      </c>
      <c r="I131" t="b" cm="1">
        <f t="array" ref="I131">IsPurple('Large Dataset'!I131)</f>
        <v>0</v>
      </c>
      <c r="J131" t="b" cm="1">
        <f t="array" ref="J131">IsGreen('Large Dataset'!G131)</f>
        <v>0</v>
      </c>
      <c r="P131" t="b" cm="1">
        <f t="array" ref="P131">IsRed('Large Dataset'!K131)</f>
        <v>0</v>
      </c>
      <c r="Q131" t="b" cm="1">
        <f t="array" ref="Q131">IsBlue('Large Dataset'!K131)</f>
        <v>0</v>
      </c>
      <c r="R131" t="b" cm="1">
        <f t="array" ref="R131">IsPurple('Large Dataset'!K131)</f>
        <v>0</v>
      </c>
      <c r="S131" t="b" cm="1">
        <f t="array" ref="S131">IsGreen('Large Dataset'!K131)</f>
        <v>0</v>
      </c>
      <c r="Y131" t="b" cm="1">
        <f t="array" ref="Y131">IsRed('Large Dataset'!M131)</f>
        <v>0</v>
      </c>
      <c r="Z131" t="b" cm="1">
        <f t="array" ref="Z131">IsBlue('Large Dataset'!M131)</f>
        <v>0</v>
      </c>
      <c r="AA131" t="b" cm="1">
        <f t="array" ref="AA131">IsPurple('Large Dataset'!M131)</f>
        <v>0</v>
      </c>
      <c r="AB131" t="b" cm="1">
        <f t="array" ref="AB131">IsGreen('Large Dataset'!M131)</f>
        <v>0</v>
      </c>
      <c r="AH131" t="b" cm="1">
        <f t="array" ref="AH131">IsRed('Large Dataset'!O131)</f>
        <v>0</v>
      </c>
      <c r="AI131" t="b" cm="1">
        <f t="array" ref="AI131">IsBlue('Large Dataset'!O131)</f>
        <v>1</v>
      </c>
      <c r="AJ131" t="b" cm="1">
        <f t="array" ref="AJ131">IsPurple('Large Dataset'!O131)</f>
        <v>0</v>
      </c>
      <c r="AK131" t="b" cm="1">
        <f t="array" ref="AK131">IsGreen('Large Dataset'!O131)</f>
        <v>0</v>
      </c>
      <c r="AR131" t="b" cm="1">
        <f t="array" ref="AR131">IsRed('Large Dataset'!Q131)</f>
        <v>0</v>
      </c>
      <c r="AS131" t="b" cm="1">
        <f t="array" ref="AS131">IsBlue('Large Dataset'!Q131)</f>
        <v>0</v>
      </c>
      <c r="AT131" t="b" cm="1">
        <f t="array" ref="AT131">IsPurple('Large Dataset'!Q131)</f>
        <v>0</v>
      </c>
      <c r="AU131" t="b" cm="1">
        <f t="array" ref="AU131">IsGreen('Large Dataset'!Q131)</f>
        <v>0</v>
      </c>
      <c r="BA131" t="b" cm="1">
        <f t="array" ref="BA131">IsRed('Large Dataset'!R131)</f>
        <v>0</v>
      </c>
      <c r="BB131" t="b" cm="1">
        <f t="array" ref="BB131">IsBlue('Large Dataset'!R131)</f>
        <v>0</v>
      </c>
      <c r="BC131" t="b" cm="1">
        <f t="array" ref="BC131">IsPurple('Large Dataset'!R131)</f>
        <v>0</v>
      </c>
      <c r="BD131" t="b" cm="1">
        <f t="array" ref="BD131">IsGreen('Large Dataset'!R131)</f>
        <v>0</v>
      </c>
      <c r="BJ131" t="b" cm="1">
        <f t="array" ref="BJ131">IsRed('Large Dataset'!T131)</f>
        <v>0</v>
      </c>
      <c r="BK131" t="b" cm="1">
        <f t="array" ref="BK131">IsBlue('Large Dataset'!T131)</f>
        <v>0</v>
      </c>
      <c r="BL131" t="b" cm="1">
        <f t="array" ref="BL131">IsPurple('Large Dataset'!T131)</f>
        <v>0</v>
      </c>
      <c r="BM131" t="b" cm="1">
        <f t="array" ref="BM131">IsGreen('Large Dataset'!T131)</f>
        <v>0</v>
      </c>
      <c r="BS131" t="b" cm="1">
        <f t="array" ref="BS131">IsRed('Large Dataset'!U131)</f>
        <v>0</v>
      </c>
      <c r="BT131" t="b" cm="1">
        <f t="array" ref="BT131">IsBlue('Large Dataset'!U131)</f>
        <v>0</v>
      </c>
      <c r="BU131" t="b" cm="1">
        <f t="array" ref="BU131">IsPurple('Large Dataset'!U131)</f>
        <v>0</v>
      </c>
      <c r="BV131" t="b" cm="1">
        <f t="array" ref="BV131">IsGreen('Large Dataset'!U131)</f>
        <v>0</v>
      </c>
    </row>
    <row r="132" spans="7:74">
      <c r="G132" t="b" cm="1">
        <f t="array" ref="G132">IsRed('Large Dataset'!I132)</f>
        <v>0</v>
      </c>
      <c r="H132" t="b" cm="1">
        <f t="array" ref="H132">IsBlue('Large Dataset'!I132)</f>
        <v>0</v>
      </c>
      <c r="I132" t="b" cm="1">
        <f t="array" ref="I132">IsPurple('Large Dataset'!I132)</f>
        <v>0</v>
      </c>
      <c r="J132" t="b" cm="1">
        <f t="array" ref="J132">IsGreen('Large Dataset'!G132)</f>
        <v>0</v>
      </c>
      <c r="P132" t="b" cm="1">
        <f t="array" ref="P132">IsRed('Large Dataset'!K132)</f>
        <v>0</v>
      </c>
      <c r="Q132" t="b" cm="1">
        <f t="array" ref="Q132">IsBlue('Large Dataset'!K132)</f>
        <v>0</v>
      </c>
      <c r="R132" t="b" cm="1">
        <f t="array" ref="R132">IsPurple('Large Dataset'!K132)</f>
        <v>0</v>
      </c>
      <c r="S132" t="b" cm="1">
        <f t="array" ref="S132">IsGreen('Large Dataset'!K132)</f>
        <v>0</v>
      </c>
      <c r="Y132" t="b" cm="1">
        <f t="array" ref="Y132">IsRed('Large Dataset'!M132)</f>
        <v>0</v>
      </c>
      <c r="Z132" t="b" cm="1">
        <f t="array" ref="Z132">IsBlue('Large Dataset'!M132)</f>
        <v>0</v>
      </c>
      <c r="AA132" t="b" cm="1">
        <f t="array" ref="AA132">IsPurple('Large Dataset'!M132)</f>
        <v>0</v>
      </c>
      <c r="AB132" t="b" cm="1">
        <f t="array" ref="AB132">IsGreen('Large Dataset'!M132)</f>
        <v>0</v>
      </c>
      <c r="AH132" t="b" cm="1">
        <f t="array" ref="AH132">IsRed('Large Dataset'!O132)</f>
        <v>0</v>
      </c>
      <c r="AI132" t="b" cm="1">
        <f t="array" ref="AI132">IsBlue('Large Dataset'!O132)</f>
        <v>0</v>
      </c>
      <c r="AJ132" t="b" cm="1">
        <f t="array" ref="AJ132">IsPurple('Large Dataset'!O132)</f>
        <v>0</v>
      </c>
      <c r="AK132" t="b" cm="1">
        <f t="array" ref="AK132">IsGreen('Large Dataset'!O132)</f>
        <v>0</v>
      </c>
      <c r="AR132" t="b" cm="1">
        <f t="array" ref="AR132">IsRed('Large Dataset'!Q132)</f>
        <v>0</v>
      </c>
      <c r="AS132" t="b" cm="1">
        <f t="array" ref="AS132">IsBlue('Large Dataset'!Q132)</f>
        <v>0</v>
      </c>
      <c r="AT132" t="b" cm="1">
        <f t="array" ref="AT132">IsPurple('Large Dataset'!Q132)</f>
        <v>0</v>
      </c>
      <c r="AU132" t="b" cm="1">
        <f t="array" ref="AU132">IsGreen('Large Dataset'!Q132)</f>
        <v>0</v>
      </c>
      <c r="BA132" t="b" cm="1">
        <f t="array" ref="BA132">IsRed('Large Dataset'!R132)</f>
        <v>0</v>
      </c>
      <c r="BB132" t="b" cm="1">
        <f t="array" ref="BB132">IsBlue('Large Dataset'!R132)</f>
        <v>0</v>
      </c>
      <c r="BC132" t="b" cm="1">
        <f t="array" ref="BC132">IsPurple('Large Dataset'!R132)</f>
        <v>0</v>
      </c>
      <c r="BD132" t="b" cm="1">
        <f t="array" ref="BD132">IsGreen('Large Dataset'!R132)</f>
        <v>0</v>
      </c>
      <c r="BJ132" t="b" cm="1">
        <f t="array" ref="BJ132">IsRed('Large Dataset'!T132)</f>
        <v>0</v>
      </c>
      <c r="BK132" t="b" cm="1">
        <f t="array" ref="BK132">IsBlue('Large Dataset'!T132)</f>
        <v>0</v>
      </c>
      <c r="BL132" t="b" cm="1">
        <f t="array" ref="BL132">IsPurple('Large Dataset'!T132)</f>
        <v>0</v>
      </c>
      <c r="BM132" t="b" cm="1">
        <f t="array" ref="BM132">IsGreen('Large Dataset'!T132)</f>
        <v>0</v>
      </c>
      <c r="BS132" t="b" cm="1">
        <f t="array" ref="BS132">IsRed('Large Dataset'!U132)</f>
        <v>0</v>
      </c>
      <c r="BT132" t="b" cm="1">
        <f t="array" ref="BT132">IsBlue('Large Dataset'!U132)</f>
        <v>0</v>
      </c>
      <c r="BU132" t="b" cm="1">
        <f t="array" ref="BU132">IsPurple('Large Dataset'!U132)</f>
        <v>0</v>
      </c>
      <c r="BV132" t="b" cm="1">
        <f t="array" ref="BV132">IsGreen('Large Dataset'!U132)</f>
        <v>0</v>
      </c>
    </row>
    <row r="133" spans="7:74">
      <c r="G133" t="b" cm="1">
        <f t="array" ref="G133">IsRed('Large Dataset'!I133)</f>
        <v>0</v>
      </c>
      <c r="H133" t="b" cm="1">
        <f t="array" ref="H133">IsBlue('Large Dataset'!I133)</f>
        <v>0</v>
      </c>
      <c r="I133" t="b" cm="1">
        <f t="array" ref="I133">IsPurple('Large Dataset'!I133)</f>
        <v>0</v>
      </c>
      <c r="J133" t="b" cm="1">
        <f t="array" ref="J133">IsGreen('Large Dataset'!G133)</f>
        <v>0</v>
      </c>
      <c r="P133" t="b" cm="1">
        <f t="array" ref="P133">IsRed('Large Dataset'!K133)</f>
        <v>0</v>
      </c>
      <c r="Q133" t="b" cm="1">
        <f t="array" ref="Q133">IsBlue('Large Dataset'!K133)</f>
        <v>0</v>
      </c>
      <c r="R133" t="b" cm="1">
        <f t="array" ref="R133">IsPurple('Large Dataset'!K133)</f>
        <v>0</v>
      </c>
      <c r="S133" t="b" cm="1">
        <f t="array" ref="S133">IsGreen('Large Dataset'!K133)</f>
        <v>0</v>
      </c>
      <c r="Y133" t="b" cm="1">
        <f t="array" ref="Y133">IsRed('Large Dataset'!M133)</f>
        <v>0</v>
      </c>
      <c r="Z133" t="b" cm="1">
        <f t="array" ref="Z133">IsBlue('Large Dataset'!M133)</f>
        <v>0</v>
      </c>
      <c r="AA133" t="b" cm="1">
        <f t="array" ref="AA133">IsPurple('Large Dataset'!M133)</f>
        <v>0</v>
      </c>
      <c r="AB133" t="b" cm="1">
        <f t="array" ref="AB133">IsGreen('Large Dataset'!M133)</f>
        <v>0</v>
      </c>
      <c r="AH133" t="b" cm="1">
        <f t="array" ref="AH133">IsRed('Large Dataset'!O133)</f>
        <v>0</v>
      </c>
      <c r="AI133" t="b" cm="1">
        <f t="array" ref="AI133">IsBlue('Large Dataset'!O133)</f>
        <v>0</v>
      </c>
      <c r="AJ133" t="b" cm="1">
        <f t="array" ref="AJ133">IsPurple('Large Dataset'!O133)</f>
        <v>0</v>
      </c>
      <c r="AK133" t="b" cm="1">
        <f t="array" ref="AK133">IsGreen('Large Dataset'!O133)</f>
        <v>0</v>
      </c>
      <c r="AR133" t="b" cm="1">
        <f t="array" ref="AR133">IsRed('Large Dataset'!Q133)</f>
        <v>0</v>
      </c>
      <c r="AS133" t="b" cm="1">
        <f t="array" ref="AS133">IsBlue('Large Dataset'!Q133)</f>
        <v>0</v>
      </c>
      <c r="AT133" t="b" cm="1">
        <f t="array" ref="AT133">IsPurple('Large Dataset'!Q133)</f>
        <v>0</v>
      </c>
      <c r="AU133" t="b" cm="1">
        <f t="array" ref="AU133">IsGreen('Large Dataset'!Q133)</f>
        <v>0</v>
      </c>
      <c r="BA133" t="b" cm="1">
        <f t="array" ref="BA133">IsRed('Large Dataset'!R133)</f>
        <v>0</v>
      </c>
      <c r="BB133" t="b" cm="1">
        <f t="array" ref="BB133">IsBlue('Large Dataset'!R133)</f>
        <v>0</v>
      </c>
      <c r="BC133" t="b" cm="1">
        <f t="array" ref="BC133">IsPurple('Large Dataset'!R133)</f>
        <v>0</v>
      </c>
      <c r="BD133" t="b" cm="1">
        <f t="array" ref="BD133">IsGreen('Large Dataset'!R133)</f>
        <v>0</v>
      </c>
      <c r="BJ133" t="b" cm="1">
        <f t="array" ref="BJ133">IsRed('Large Dataset'!T133)</f>
        <v>0</v>
      </c>
      <c r="BK133" t="b" cm="1">
        <f t="array" ref="BK133">IsBlue('Large Dataset'!T133)</f>
        <v>0</v>
      </c>
      <c r="BL133" t="b" cm="1">
        <f t="array" ref="BL133">IsPurple('Large Dataset'!T133)</f>
        <v>0</v>
      </c>
      <c r="BM133" t="b" cm="1">
        <f t="array" ref="BM133">IsGreen('Large Dataset'!T133)</f>
        <v>0</v>
      </c>
      <c r="BS133" t="b" cm="1">
        <f t="array" ref="BS133">IsRed('Large Dataset'!U133)</f>
        <v>0</v>
      </c>
      <c r="BT133" t="b" cm="1">
        <f t="array" ref="BT133">IsBlue('Large Dataset'!U133)</f>
        <v>0</v>
      </c>
      <c r="BU133" t="b" cm="1">
        <f t="array" ref="BU133">IsPurple('Large Dataset'!U133)</f>
        <v>0</v>
      </c>
      <c r="BV133" t="b" cm="1">
        <f t="array" ref="BV133">IsGreen('Large Dataset'!U133)</f>
        <v>0</v>
      </c>
    </row>
    <row r="134" spans="7:74">
      <c r="G134" t="b" cm="1">
        <f t="array" ref="G134">IsRed('Large Dataset'!I134)</f>
        <v>0</v>
      </c>
      <c r="H134" t="b" cm="1">
        <f t="array" ref="H134">IsBlue('Large Dataset'!I134)</f>
        <v>0</v>
      </c>
      <c r="I134" t="b" cm="1">
        <f t="array" ref="I134">IsPurple('Large Dataset'!I134)</f>
        <v>0</v>
      </c>
      <c r="J134" t="b" cm="1">
        <f t="array" ref="J134">IsGreen('Large Dataset'!G134)</f>
        <v>0</v>
      </c>
      <c r="P134" t="b" cm="1">
        <f t="array" ref="P134">IsRed('Large Dataset'!K134)</f>
        <v>0</v>
      </c>
      <c r="Q134" t="b" cm="1">
        <f t="array" ref="Q134">IsBlue('Large Dataset'!K134)</f>
        <v>0</v>
      </c>
      <c r="R134" t="b" cm="1">
        <f t="array" ref="R134">IsPurple('Large Dataset'!K134)</f>
        <v>0</v>
      </c>
      <c r="S134" t="b" cm="1">
        <f t="array" ref="S134">IsGreen('Large Dataset'!K134)</f>
        <v>0</v>
      </c>
      <c r="Y134" t="b" cm="1">
        <f t="array" ref="Y134">IsRed('Large Dataset'!M134)</f>
        <v>0</v>
      </c>
      <c r="Z134" t="b" cm="1">
        <f t="array" ref="Z134">IsBlue('Large Dataset'!M134)</f>
        <v>0</v>
      </c>
      <c r="AA134" t="b" cm="1">
        <f t="array" ref="AA134">IsPurple('Large Dataset'!M134)</f>
        <v>0</v>
      </c>
      <c r="AB134" t="b" cm="1">
        <f t="array" ref="AB134">IsGreen('Large Dataset'!M134)</f>
        <v>0</v>
      </c>
      <c r="AH134" t="b" cm="1">
        <f t="array" ref="AH134">IsRed('Large Dataset'!O134)</f>
        <v>0</v>
      </c>
      <c r="AI134" t="b" cm="1">
        <f t="array" ref="AI134">IsBlue('Large Dataset'!O134)</f>
        <v>0</v>
      </c>
      <c r="AJ134" t="b" cm="1">
        <f t="array" ref="AJ134">IsPurple('Large Dataset'!O134)</f>
        <v>0</v>
      </c>
      <c r="AK134" t="b" cm="1">
        <f t="array" ref="AK134">IsGreen('Large Dataset'!O134)</f>
        <v>0</v>
      </c>
      <c r="AR134" t="b" cm="1">
        <f t="array" ref="AR134">IsRed('Large Dataset'!Q134)</f>
        <v>0</v>
      </c>
      <c r="AS134" t="b" cm="1">
        <f t="array" ref="AS134">IsBlue('Large Dataset'!Q134)</f>
        <v>0</v>
      </c>
      <c r="AT134" t="b" cm="1">
        <f t="array" ref="AT134">IsPurple('Large Dataset'!Q134)</f>
        <v>0</v>
      </c>
      <c r="AU134" t="b" cm="1">
        <f t="array" ref="AU134">IsGreen('Large Dataset'!Q134)</f>
        <v>0</v>
      </c>
      <c r="BA134" t="b" cm="1">
        <f t="array" ref="BA134">IsRed('Large Dataset'!R134)</f>
        <v>0</v>
      </c>
      <c r="BB134" t="b" cm="1">
        <f t="array" ref="BB134">IsBlue('Large Dataset'!R134)</f>
        <v>0</v>
      </c>
      <c r="BC134" t="b" cm="1">
        <f t="array" ref="BC134">IsPurple('Large Dataset'!R134)</f>
        <v>0</v>
      </c>
      <c r="BD134" t="b" cm="1">
        <f t="array" ref="BD134">IsGreen('Large Dataset'!R134)</f>
        <v>0</v>
      </c>
      <c r="BJ134" t="b" cm="1">
        <f t="array" ref="BJ134">IsRed('Large Dataset'!T134)</f>
        <v>0</v>
      </c>
      <c r="BK134" t="b" cm="1">
        <f t="array" ref="BK134">IsBlue('Large Dataset'!T134)</f>
        <v>0</v>
      </c>
      <c r="BL134" t="b" cm="1">
        <f t="array" ref="BL134">IsPurple('Large Dataset'!T134)</f>
        <v>0</v>
      </c>
      <c r="BM134" t="b" cm="1">
        <f t="array" ref="BM134">IsGreen('Large Dataset'!T134)</f>
        <v>0</v>
      </c>
      <c r="BS134" t="b" cm="1">
        <f t="array" ref="BS134">IsRed('Large Dataset'!U134)</f>
        <v>0</v>
      </c>
      <c r="BT134" t="b" cm="1">
        <f t="array" ref="BT134">IsBlue('Large Dataset'!U134)</f>
        <v>0</v>
      </c>
      <c r="BU134" t="b" cm="1">
        <f t="array" ref="BU134">IsPurple('Large Dataset'!U134)</f>
        <v>0</v>
      </c>
      <c r="BV134" t="b" cm="1">
        <f t="array" ref="BV134">IsGreen('Large Dataset'!U134)</f>
        <v>0</v>
      </c>
    </row>
    <row r="135" spans="7:74">
      <c r="G135" t="b" cm="1">
        <f t="array" ref="G135">IsRed('Large Dataset'!I135)</f>
        <v>0</v>
      </c>
      <c r="H135" t="b" cm="1">
        <f t="array" ref="H135">IsBlue('Large Dataset'!I135)</f>
        <v>0</v>
      </c>
      <c r="I135" t="b" cm="1">
        <f t="array" ref="I135">IsPurple('Large Dataset'!I135)</f>
        <v>0</v>
      </c>
      <c r="J135" t="b" cm="1">
        <f t="array" ref="J135">IsGreen('Large Dataset'!G135)</f>
        <v>0</v>
      </c>
      <c r="P135" t="b" cm="1">
        <f t="array" ref="P135">IsRed('Large Dataset'!K135)</f>
        <v>0</v>
      </c>
      <c r="Q135" t="b" cm="1">
        <f t="array" ref="Q135">IsBlue('Large Dataset'!K135)</f>
        <v>0</v>
      </c>
      <c r="R135" t="b" cm="1">
        <f t="array" ref="R135">IsPurple('Large Dataset'!K135)</f>
        <v>0</v>
      </c>
      <c r="S135" t="b" cm="1">
        <f t="array" ref="S135">IsGreen('Large Dataset'!K135)</f>
        <v>0</v>
      </c>
      <c r="Y135" t="b" cm="1">
        <f t="array" ref="Y135">IsRed('Large Dataset'!M135)</f>
        <v>0</v>
      </c>
      <c r="Z135" t="b" cm="1">
        <f t="array" ref="Z135">IsBlue('Large Dataset'!M135)</f>
        <v>0</v>
      </c>
      <c r="AA135" t="b" cm="1">
        <f t="array" ref="AA135">IsPurple('Large Dataset'!M135)</f>
        <v>0</v>
      </c>
      <c r="AB135" t="b" cm="1">
        <f t="array" ref="AB135">IsGreen('Large Dataset'!M135)</f>
        <v>0</v>
      </c>
      <c r="AH135" t="b" cm="1">
        <f t="array" ref="AH135">IsRed('Large Dataset'!O135)</f>
        <v>0</v>
      </c>
      <c r="AI135" t="b" cm="1">
        <f t="array" ref="AI135">IsBlue('Large Dataset'!O135)</f>
        <v>0</v>
      </c>
      <c r="AJ135" t="b" cm="1">
        <f t="array" ref="AJ135">IsPurple('Large Dataset'!O135)</f>
        <v>0</v>
      </c>
      <c r="AK135" t="b" cm="1">
        <f t="array" ref="AK135">IsGreen('Large Dataset'!O135)</f>
        <v>0</v>
      </c>
      <c r="AR135" t="b" cm="1">
        <f t="array" ref="AR135">IsRed('Large Dataset'!Q135)</f>
        <v>0</v>
      </c>
      <c r="AS135" t="b" cm="1">
        <f t="array" ref="AS135">IsBlue('Large Dataset'!Q135)</f>
        <v>0</v>
      </c>
      <c r="AT135" t="b" cm="1">
        <f t="array" ref="AT135">IsPurple('Large Dataset'!Q135)</f>
        <v>0</v>
      </c>
      <c r="AU135" t="b" cm="1">
        <f t="array" ref="AU135">IsGreen('Large Dataset'!Q135)</f>
        <v>0</v>
      </c>
      <c r="BA135" t="b" cm="1">
        <f t="array" ref="BA135">IsRed('Large Dataset'!R135)</f>
        <v>0</v>
      </c>
      <c r="BB135" t="b" cm="1">
        <f t="array" ref="BB135">IsBlue('Large Dataset'!R135)</f>
        <v>0</v>
      </c>
      <c r="BC135" t="b" cm="1">
        <f t="array" ref="BC135">IsPurple('Large Dataset'!R135)</f>
        <v>0</v>
      </c>
      <c r="BD135" t="b" cm="1">
        <f t="array" ref="BD135">IsGreen('Large Dataset'!R135)</f>
        <v>0</v>
      </c>
      <c r="BJ135" t="b" cm="1">
        <f t="array" ref="BJ135">IsRed('Large Dataset'!T135)</f>
        <v>0</v>
      </c>
      <c r="BK135" t="b" cm="1">
        <f t="array" ref="BK135">IsBlue('Large Dataset'!T135)</f>
        <v>0</v>
      </c>
      <c r="BL135" t="b" cm="1">
        <f t="array" ref="BL135">IsPurple('Large Dataset'!T135)</f>
        <v>0</v>
      </c>
      <c r="BM135" t="b" cm="1">
        <f t="array" ref="BM135">IsGreen('Large Dataset'!T135)</f>
        <v>0</v>
      </c>
      <c r="BS135" t="b" cm="1">
        <f t="array" ref="BS135">IsRed('Large Dataset'!U135)</f>
        <v>0</v>
      </c>
      <c r="BT135" t="b" cm="1">
        <f t="array" ref="BT135">IsBlue('Large Dataset'!U135)</f>
        <v>0</v>
      </c>
      <c r="BU135" t="b" cm="1">
        <f t="array" ref="BU135">IsPurple('Large Dataset'!U135)</f>
        <v>0</v>
      </c>
      <c r="BV135" t="b" cm="1">
        <f t="array" ref="BV135">IsGreen('Large Dataset'!U135)</f>
        <v>0</v>
      </c>
    </row>
    <row r="136" spans="7:74">
      <c r="G136" t="b" cm="1">
        <f t="array" ref="G136">IsRed('Large Dataset'!I136)</f>
        <v>0</v>
      </c>
      <c r="H136" t="b" cm="1">
        <f t="array" ref="H136">IsBlue('Large Dataset'!I136)</f>
        <v>0</v>
      </c>
      <c r="I136" t="b" cm="1">
        <f t="array" ref="I136">IsPurple('Large Dataset'!I136)</f>
        <v>0</v>
      </c>
      <c r="J136" t="b" cm="1">
        <f t="array" ref="J136">IsGreen('Large Dataset'!G136)</f>
        <v>0</v>
      </c>
      <c r="P136" t="b" cm="1">
        <f t="array" ref="P136">IsRed('Large Dataset'!K136)</f>
        <v>0</v>
      </c>
      <c r="Q136" t="b" cm="1">
        <f t="array" ref="Q136">IsBlue('Large Dataset'!K136)</f>
        <v>0</v>
      </c>
      <c r="R136" t="b" cm="1">
        <f t="array" ref="R136">IsPurple('Large Dataset'!K136)</f>
        <v>0</v>
      </c>
      <c r="S136" t="b" cm="1">
        <f t="array" ref="S136">IsGreen('Large Dataset'!K136)</f>
        <v>0</v>
      </c>
      <c r="Y136" t="b" cm="1">
        <f t="array" ref="Y136">IsRed('Large Dataset'!M136)</f>
        <v>0</v>
      </c>
      <c r="Z136" t="b" cm="1">
        <f t="array" ref="Z136">IsBlue('Large Dataset'!M136)</f>
        <v>0</v>
      </c>
      <c r="AA136" t="b" cm="1">
        <f t="array" ref="AA136">IsPurple('Large Dataset'!M136)</f>
        <v>0</v>
      </c>
      <c r="AB136" t="b" cm="1">
        <f t="array" ref="AB136">IsGreen('Large Dataset'!M136)</f>
        <v>0</v>
      </c>
      <c r="AH136" t="b" cm="1">
        <f t="array" ref="AH136">IsRed('Large Dataset'!O136)</f>
        <v>0</v>
      </c>
      <c r="AI136" t="b" cm="1">
        <f t="array" ref="AI136">IsBlue('Large Dataset'!O136)</f>
        <v>0</v>
      </c>
      <c r="AJ136" t="b" cm="1">
        <f t="array" ref="AJ136">IsPurple('Large Dataset'!O136)</f>
        <v>0</v>
      </c>
      <c r="AK136" t="b" cm="1">
        <f t="array" ref="AK136">IsGreen('Large Dataset'!O136)</f>
        <v>0</v>
      </c>
      <c r="AR136" t="b" cm="1">
        <f t="array" ref="AR136">IsRed('Large Dataset'!Q136)</f>
        <v>0</v>
      </c>
      <c r="AS136" t="b" cm="1">
        <f t="array" ref="AS136">IsBlue('Large Dataset'!Q136)</f>
        <v>0</v>
      </c>
      <c r="AT136" t="b" cm="1">
        <f t="array" ref="AT136">IsPurple('Large Dataset'!Q136)</f>
        <v>0</v>
      </c>
      <c r="AU136" t="b" cm="1">
        <f t="array" ref="AU136">IsGreen('Large Dataset'!Q136)</f>
        <v>0</v>
      </c>
      <c r="BA136" t="b" cm="1">
        <f t="array" ref="BA136">IsRed('Large Dataset'!R136)</f>
        <v>0</v>
      </c>
      <c r="BB136" t="b" cm="1">
        <f t="array" ref="BB136">IsBlue('Large Dataset'!R136)</f>
        <v>0</v>
      </c>
      <c r="BC136" t="b" cm="1">
        <f t="array" ref="BC136">IsPurple('Large Dataset'!R136)</f>
        <v>0</v>
      </c>
      <c r="BD136" t="b" cm="1">
        <f t="array" ref="BD136">IsGreen('Large Dataset'!R136)</f>
        <v>0</v>
      </c>
      <c r="BJ136" t="b" cm="1">
        <f t="array" ref="BJ136">IsRed('Large Dataset'!T136)</f>
        <v>0</v>
      </c>
      <c r="BK136" t="b" cm="1">
        <f t="array" ref="BK136">IsBlue('Large Dataset'!T136)</f>
        <v>0</v>
      </c>
      <c r="BL136" t="b" cm="1">
        <f t="array" ref="BL136">IsPurple('Large Dataset'!T136)</f>
        <v>0</v>
      </c>
      <c r="BM136" t="b" cm="1">
        <f t="array" ref="BM136">IsGreen('Large Dataset'!T136)</f>
        <v>0</v>
      </c>
      <c r="BS136" t="b" cm="1">
        <f t="array" ref="BS136">IsRed('Large Dataset'!U136)</f>
        <v>0</v>
      </c>
      <c r="BT136" t="b" cm="1">
        <f t="array" ref="BT136">IsBlue('Large Dataset'!U136)</f>
        <v>0</v>
      </c>
      <c r="BU136" t="b" cm="1">
        <f t="array" ref="BU136">IsPurple('Large Dataset'!U136)</f>
        <v>0</v>
      </c>
      <c r="BV136" t="b" cm="1">
        <f t="array" ref="BV136">IsGreen('Large Dataset'!U136)</f>
        <v>0</v>
      </c>
    </row>
    <row r="137" spans="7:74">
      <c r="G137" t="b" cm="1">
        <f t="array" ref="G137">IsRed('Large Dataset'!I137)</f>
        <v>0</v>
      </c>
      <c r="H137" t="b" cm="1">
        <f t="array" ref="H137">IsBlue('Large Dataset'!I137)</f>
        <v>0</v>
      </c>
      <c r="I137" t="b" cm="1">
        <f t="array" ref="I137">IsPurple('Large Dataset'!I137)</f>
        <v>0</v>
      </c>
      <c r="J137" t="b" cm="1">
        <f t="array" ref="J137">IsGreen('Large Dataset'!G137)</f>
        <v>0</v>
      </c>
      <c r="P137" t="b" cm="1">
        <f t="array" ref="P137">IsRed('Large Dataset'!K137)</f>
        <v>0</v>
      </c>
      <c r="Q137" t="b" cm="1">
        <f t="array" ref="Q137">IsBlue('Large Dataset'!K137)</f>
        <v>0</v>
      </c>
      <c r="R137" t="b" cm="1">
        <f t="array" ref="R137">IsPurple('Large Dataset'!K137)</f>
        <v>0</v>
      </c>
      <c r="S137" t="b" cm="1">
        <f t="array" ref="S137">IsGreen('Large Dataset'!K137)</f>
        <v>0</v>
      </c>
      <c r="Y137" t="b" cm="1">
        <f t="array" ref="Y137">IsRed('Large Dataset'!M137)</f>
        <v>0</v>
      </c>
      <c r="Z137" t="b" cm="1">
        <f t="array" ref="Z137">IsBlue('Large Dataset'!M137)</f>
        <v>0</v>
      </c>
      <c r="AA137" t="b" cm="1">
        <f t="array" ref="AA137">IsPurple('Large Dataset'!M137)</f>
        <v>0</v>
      </c>
      <c r="AB137" t="b" cm="1">
        <f t="array" ref="AB137">IsGreen('Large Dataset'!M137)</f>
        <v>0</v>
      </c>
      <c r="AH137" t="b" cm="1">
        <f t="array" ref="AH137">IsRed('Large Dataset'!O137)</f>
        <v>0</v>
      </c>
      <c r="AI137" t="b" cm="1">
        <f t="array" ref="AI137">IsBlue('Large Dataset'!O137)</f>
        <v>0</v>
      </c>
      <c r="AJ137" t="b" cm="1">
        <f t="array" ref="AJ137">IsPurple('Large Dataset'!O137)</f>
        <v>0</v>
      </c>
      <c r="AK137" t="b" cm="1">
        <f t="array" ref="AK137">IsGreen('Large Dataset'!O137)</f>
        <v>0</v>
      </c>
      <c r="AR137" t="b" cm="1">
        <f t="array" ref="AR137">IsRed('Large Dataset'!Q137)</f>
        <v>0</v>
      </c>
      <c r="AS137" t="b" cm="1">
        <f t="array" ref="AS137">IsBlue('Large Dataset'!Q137)</f>
        <v>0</v>
      </c>
      <c r="AT137" t="b" cm="1">
        <f t="array" ref="AT137">IsPurple('Large Dataset'!Q137)</f>
        <v>0</v>
      </c>
      <c r="AU137" t="b" cm="1">
        <f t="array" ref="AU137">IsGreen('Large Dataset'!Q137)</f>
        <v>0</v>
      </c>
      <c r="BA137" t="b" cm="1">
        <f t="array" ref="BA137">IsRed('Large Dataset'!R137)</f>
        <v>0</v>
      </c>
      <c r="BB137" t="b" cm="1">
        <f t="array" ref="BB137">IsBlue('Large Dataset'!R137)</f>
        <v>0</v>
      </c>
      <c r="BC137" t="b" cm="1">
        <f t="array" ref="BC137">IsPurple('Large Dataset'!R137)</f>
        <v>0</v>
      </c>
      <c r="BD137" t="b" cm="1">
        <f t="array" ref="BD137">IsGreen('Large Dataset'!R137)</f>
        <v>0</v>
      </c>
      <c r="BJ137" t="b" cm="1">
        <f t="array" ref="BJ137">IsRed('Large Dataset'!T137)</f>
        <v>0</v>
      </c>
      <c r="BK137" t="b" cm="1">
        <f t="array" ref="BK137">IsBlue('Large Dataset'!T137)</f>
        <v>0</v>
      </c>
      <c r="BL137" t="b" cm="1">
        <f t="array" ref="BL137">IsPurple('Large Dataset'!T137)</f>
        <v>0</v>
      </c>
      <c r="BM137" t="b" cm="1">
        <f t="array" ref="BM137">IsGreen('Large Dataset'!T137)</f>
        <v>0</v>
      </c>
      <c r="BS137" t="b" cm="1">
        <f t="array" ref="BS137">IsRed('Large Dataset'!U137)</f>
        <v>0</v>
      </c>
      <c r="BT137" t="b" cm="1">
        <f t="array" ref="BT137">IsBlue('Large Dataset'!U137)</f>
        <v>0</v>
      </c>
      <c r="BU137" t="b" cm="1">
        <f t="array" ref="BU137">IsPurple('Large Dataset'!U137)</f>
        <v>0</v>
      </c>
      <c r="BV137" t="b" cm="1">
        <f t="array" ref="BV137">IsGreen('Large Dataset'!U137)</f>
        <v>0</v>
      </c>
    </row>
    <row r="138" spans="7:74">
      <c r="G138" t="b" cm="1">
        <f t="array" ref="G138">IsRed('Large Dataset'!I138)</f>
        <v>0</v>
      </c>
      <c r="H138" t="b" cm="1">
        <f t="array" ref="H138">IsBlue('Large Dataset'!I138)</f>
        <v>0</v>
      </c>
      <c r="I138" t="b" cm="1">
        <f t="array" ref="I138">IsPurple('Large Dataset'!I138)</f>
        <v>0</v>
      </c>
      <c r="J138" t="b" cm="1">
        <f t="array" ref="J138">IsGreen('Large Dataset'!G138)</f>
        <v>0</v>
      </c>
      <c r="P138" t="b" cm="1">
        <f t="array" ref="P138">IsRed('Large Dataset'!K138)</f>
        <v>0</v>
      </c>
      <c r="Q138" t="b" cm="1">
        <f t="array" ref="Q138">IsBlue('Large Dataset'!K138)</f>
        <v>0</v>
      </c>
      <c r="R138" t="b" cm="1">
        <f t="array" ref="R138">IsPurple('Large Dataset'!K138)</f>
        <v>0</v>
      </c>
      <c r="S138" t="b" cm="1">
        <f t="array" ref="S138">IsGreen('Large Dataset'!K138)</f>
        <v>0</v>
      </c>
      <c r="Y138" t="b" cm="1">
        <f t="array" ref="Y138">IsRed('Large Dataset'!M138)</f>
        <v>0</v>
      </c>
      <c r="Z138" t="b" cm="1">
        <f t="array" ref="Z138">IsBlue('Large Dataset'!M138)</f>
        <v>0</v>
      </c>
      <c r="AA138" t="b" cm="1">
        <f t="array" ref="AA138">IsPurple('Large Dataset'!M138)</f>
        <v>0</v>
      </c>
      <c r="AB138" t="b" cm="1">
        <f t="array" ref="AB138">IsGreen('Large Dataset'!M138)</f>
        <v>0</v>
      </c>
      <c r="AH138" t="b" cm="1">
        <f t="array" ref="AH138">IsRed('Large Dataset'!O138)</f>
        <v>0</v>
      </c>
      <c r="AI138" t="b" cm="1">
        <f t="array" ref="AI138">IsBlue('Large Dataset'!O138)</f>
        <v>0</v>
      </c>
      <c r="AJ138" t="b" cm="1">
        <f t="array" ref="AJ138">IsPurple('Large Dataset'!O138)</f>
        <v>0</v>
      </c>
      <c r="AK138" t="b" cm="1">
        <f t="array" ref="AK138">IsGreen('Large Dataset'!O138)</f>
        <v>0</v>
      </c>
      <c r="AR138" t="b" cm="1">
        <f t="array" ref="AR138">IsRed('Large Dataset'!Q138)</f>
        <v>0</v>
      </c>
      <c r="AS138" t="b" cm="1">
        <f t="array" ref="AS138">IsBlue('Large Dataset'!Q138)</f>
        <v>0</v>
      </c>
      <c r="AT138" t="b" cm="1">
        <f t="array" ref="AT138">IsPurple('Large Dataset'!Q138)</f>
        <v>0</v>
      </c>
      <c r="AU138" t="b" cm="1">
        <f t="array" ref="AU138">IsGreen('Large Dataset'!Q138)</f>
        <v>0</v>
      </c>
      <c r="BA138" t="b" cm="1">
        <f t="array" ref="BA138">IsRed('Large Dataset'!R138)</f>
        <v>0</v>
      </c>
      <c r="BB138" t="b" cm="1">
        <f t="array" ref="BB138">IsBlue('Large Dataset'!R138)</f>
        <v>0</v>
      </c>
      <c r="BC138" t="b" cm="1">
        <f t="array" ref="BC138">IsPurple('Large Dataset'!R138)</f>
        <v>0</v>
      </c>
      <c r="BD138" t="b" cm="1">
        <f t="array" ref="BD138">IsGreen('Large Dataset'!R138)</f>
        <v>0</v>
      </c>
      <c r="BJ138" t="b" cm="1">
        <f t="array" ref="BJ138">IsRed('Large Dataset'!T138)</f>
        <v>0</v>
      </c>
      <c r="BK138" t="b" cm="1">
        <f t="array" ref="BK138">IsBlue('Large Dataset'!T138)</f>
        <v>0</v>
      </c>
      <c r="BL138" t="b" cm="1">
        <f t="array" ref="BL138">IsPurple('Large Dataset'!T138)</f>
        <v>0</v>
      </c>
      <c r="BM138" t="b" cm="1">
        <f t="array" ref="BM138">IsGreen('Large Dataset'!T138)</f>
        <v>0</v>
      </c>
      <c r="BS138" t="b" cm="1">
        <f t="array" ref="BS138">IsRed('Large Dataset'!U138)</f>
        <v>0</v>
      </c>
      <c r="BT138" t="b" cm="1">
        <f t="array" ref="BT138">IsBlue('Large Dataset'!U138)</f>
        <v>0</v>
      </c>
      <c r="BU138" t="b" cm="1">
        <f t="array" ref="BU138">IsPurple('Large Dataset'!U138)</f>
        <v>0</v>
      </c>
      <c r="BV138" t="b" cm="1">
        <f t="array" ref="BV138">IsGreen('Large Dataset'!U138)</f>
        <v>0</v>
      </c>
    </row>
    <row r="139" spans="7:74">
      <c r="G139" t="b" cm="1">
        <f t="array" ref="G139">IsRed('Large Dataset'!I139)</f>
        <v>0</v>
      </c>
      <c r="H139" t="b" cm="1">
        <f t="array" ref="H139">IsBlue('Large Dataset'!I139)</f>
        <v>0</v>
      </c>
      <c r="I139" t="b" cm="1">
        <f t="array" ref="I139">IsPurple('Large Dataset'!I139)</f>
        <v>0</v>
      </c>
      <c r="J139" t="b" cm="1">
        <f t="array" ref="J139">IsGreen('Large Dataset'!G139)</f>
        <v>0</v>
      </c>
      <c r="P139" t="b" cm="1">
        <f t="array" ref="P139">IsRed('Large Dataset'!K139)</f>
        <v>0</v>
      </c>
      <c r="Q139" t="b" cm="1">
        <f t="array" ref="Q139">IsBlue('Large Dataset'!K139)</f>
        <v>0</v>
      </c>
      <c r="R139" t="b" cm="1">
        <f t="array" ref="R139">IsPurple('Large Dataset'!K139)</f>
        <v>0</v>
      </c>
      <c r="S139" t="b" cm="1">
        <f t="array" ref="S139">IsGreen('Large Dataset'!K139)</f>
        <v>0</v>
      </c>
      <c r="Y139" t="b" cm="1">
        <f t="array" ref="Y139">IsRed('Large Dataset'!M139)</f>
        <v>0</v>
      </c>
      <c r="Z139" t="b" cm="1">
        <f t="array" ref="Z139">IsBlue('Large Dataset'!M139)</f>
        <v>0</v>
      </c>
      <c r="AA139" t="b" cm="1">
        <f t="array" ref="AA139">IsPurple('Large Dataset'!M139)</f>
        <v>0</v>
      </c>
      <c r="AB139" t="b" cm="1">
        <f t="array" ref="AB139">IsGreen('Large Dataset'!M139)</f>
        <v>0</v>
      </c>
      <c r="AH139" t="b" cm="1">
        <f t="array" ref="AH139">IsRed('Large Dataset'!O139)</f>
        <v>0</v>
      </c>
      <c r="AI139" t="b" cm="1">
        <f t="array" ref="AI139">IsBlue('Large Dataset'!O139)</f>
        <v>0</v>
      </c>
      <c r="AJ139" t="b" cm="1">
        <f t="array" ref="AJ139">IsPurple('Large Dataset'!O139)</f>
        <v>0</v>
      </c>
      <c r="AK139" t="b" cm="1">
        <f t="array" ref="AK139">IsGreen('Large Dataset'!O139)</f>
        <v>0</v>
      </c>
      <c r="AR139" t="b" cm="1">
        <f t="array" ref="AR139">IsRed('Large Dataset'!Q139)</f>
        <v>0</v>
      </c>
      <c r="AS139" t="b" cm="1">
        <f t="array" ref="AS139">IsBlue('Large Dataset'!Q139)</f>
        <v>0</v>
      </c>
      <c r="AT139" t="b" cm="1">
        <f t="array" ref="AT139">IsPurple('Large Dataset'!Q139)</f>
        <v>0</v>
      </c>
      <c r="AU139" t="b" cm="1">
        <f t="array" ref="AU139">IsGreen('Large Dataset'!Q139)</f>
        <v>0</v>
      </c>
      <c r="BA139" t="b" cm="1">
        <f t="array" ref="BA139">IsRed('Large Dataset'!R139)</f>
        <v>1</v>
      </c>
      <c r="BB139" t="b" cm="1">
        <f t="array" ref="BB139">IsBlue('Large Dataset'!R139)</f>
        <v>0</v>
      </c>
      <c r="BC139" t="b" cm="1">
        <f t="array" ref="BC139">IsPurple('Large Dataset'!R139)</f>
        <v>0</v>
      </c>
      <c r="BD139" t="b" cm="1">
        <f t="array" ref="BD139">IsGreen('Large Dataset'!R139)</f>
        <v>0</v>
      </c>
      <c r="BJ139" t="b" cm="1">
        <f t="array" ref="BJ139">IsRed('Large Dataset'!T139)</f>
        <v>0</v>
      </c>
      <c r="BK139" t="b" cm="1">
        <f t="array" ref="BK139">IsBlue('Large Dataset'!T139)</f>
        <v>0</v>
      </c>
      <c r="BL139" t="b" cm="1">
        <f t="array" ref="BL139">IsPurple('Large Dataset'!T139)</f>
        <v>0</v>
      </c>
      <c r="BM139" t="b" cm="1">
        <f t="array" ref="BM139">IsGreen('Large Dataset'!T139)</f>
        <v>0</v>
      </c>
      <c r="BS139" t="b" cm="1">
        <f t="array" ref="BS139">IsRed('Large Dataset'!U139)</f>
        <v>0</v>
      </c>
      <c r="BT139" t="b" cm="1">
        <f t="array" ref="BT139">IsBlue('Large Dataset'!U139)</f>
        <v>0</v>
      </c>
      <c r="BU139" t="b" cm="1">
        <f t="array" ref="BU139">IsPurple('Large Dataset'!U139)</f>
        <v>0</v>
      </c>
      <c r="BV139" t="b" cm="1">
        <f t="array" ref="BV139">IsGreen('Large Dataset'!U139)</f>
        <v>0</v>
      </c>
    </row>
    <row r="140" spans="7:74">
      <c r="G140" t="b" cm="1">
        <f t="array" ref="G140">IsRed('Large Dataset'!I140)</f>
        <v>0</v>
      </c>
      <c r="H140" t="b" cm="1">
        <f t="array" ref="H140">IsBlue('Large Dataset'!I140)</f>
        <v>0</v>
      </c>
      <c r="I140" t="b" cm="1">
        <f t="array" ref="I140">IsPurple('Large Dataset'!I140)</f>
        <v>0</v>
      </c>
      <c r="J140" t="b" cm="1">
        <f t="array" ref="J140">IsGreen('Large Dataset'!G140)</f>
        <v>0</v>
      </c>
      <c r="P140" t="b" cm="1">
        <f t="array" ref="P140">IsRed('Large Dataset'!K140)</f>
        <v>0</v>
      </c>
      <c r="Q140" t="b" cm="1">
        <f t="array" ref="Q140">IsBlue('Large Dataset'!K140)</f>
        <v>0</v>
      </c>
      <c r="R140" t="b" cm="1">
        <f t="array" ref="R140">IsPurple('Large Dataset'!K140)</f>
        <v>0</v>
      </c>
      <c r="S140" t="b" cm="1">
        <f t="array" ref="S140">IsGreen('Large Dataset'!K140)</f>
        <v>0</v>
      </c>
      <c r="Y140" t="b" cm="1">
        <f t="array" ref="Y140">IsRed('Large Dataset'!M140)</f>
        <v>0</v>
      </c>
      <c r="Z140" t="b" cm="1">
        <f t="array" ref="Z140">IsBlue('Large Dataset'!M140)</f>
        <v>0</v>
      </c>
      <c r="AA140" t="b" cm="1">
        <f t="array" ref="AA140">IsPurple('Large Dataset'!M140)</f>
        <v>0</v>
      </c>
      <c r="AB140" t="b" cm="1">
        <f t="array" ref="AB140">IsGreen('Large Dataset'!M140)</f>
        <v>0</v>
      </c>
      <c r="AH140" t="b" cm="1">
        <f t="array" ref="AH140">IsRed('Large Dataset'!O140)</f>
        <v>0</v>
      </c>
      <c r="AI140" t="b" cm="1">
        <f t="array" ref="AI140">IsBlue('Large Dataset'!O140)</f>
        <v>0</v>
      </c>
      <c r="AJ140" t="b" cm="1">
        <f t="array" ref="AJ140">IsPurple('Large Dataset'!O140)</f>
        <v>0</v>
      </c>
      <c r="AK140" t="b" cm="1">
        <f t="array" ref="AK140">IsGreen('Large Dataset'!O140)</f>
        <v>0</v>
      </c>
      <c r="AR140" t="b" cm="1">
        <f t="array" ref="AR140">IsRed('Large Dataset'!Q140)</f>
        <v>0</v>
      </c>
      <c r="AS140" t="b" cm="1">
        <f t="array" ref="AS140">IsBlue('Large Dataset'!Q140)</f>
        <v>0</v>
      </c>
      <c r="AT140" t="b" cm="1">
        <f t="array" ref="AT140">IsPurple('Large Dataset'!Q140)</f>
        <v>0</v>
      </c>
      <c r="AU140" t="b" cm="1">
        <f t="array" ref="AU140">IsGreen('Large Dataset'!Q140)</f>
        <v>0</v>
      </c>
      <c r="BA140" t="b" cm="1">
        <f t="array" ref="BA140">IsRed('Large Dataset'!R140)</f>
        <v>1</v>
      </c>
      <c r="BB140" t="b" cm="1">
        <f t="array" ref="BB140">IsBlue('Large Dataset'!R140)</f>
        <v>0</v>
      </c>
      <c r="BC140" t="b" cm="1">
        <f t="array" ref="BC140">IsPurple('Large Dataset'!R140)</f>
        <v>0</v>
      </c>
      <c r="BD140" t="b" cm="1">
        <f t="array" ref="BD140">IsGreen('Large Dataset'!R140)</f>
        <v>0</v>
      </c>
      <c r="BJ140" t="b" cm="1">
        <f t="array" ref="BJ140">IsRed('Large Dataset'!T140)</f>
        <v>0</v>
      </c>
      <c r="BK140" t="b" cm="1">
        <f t="array" ref="BK140">IsBlue('Large Dataset'!T140)</f>
        <v>0</v>
      </c>
      <c r="BL140" t="b" cm="1">
        <f t="array" ref="BL140">IsPurple('Large Dataset'!T140)</f>
        <v>0</v>
      </c>
      <c r="BM140" t="b" cm="1">
        <f t="array" ref="BM140">IsGreen('Large Dataset'!T140)</f>
        <v>0</v>
      </c>
      <c r="BS140" t="b" cm="1">
        <f t="array" ref="BS140">IsRed('Large Dataset'!U140)</f>
        <v>0</v>
      </c>
      <c r="BT140" t="b" cm="1">
        <f t="array" ref="BT140">IsBlue('Large Dataset'!U140)</f>
        <v>0</v>
      </c>
      <c r="BU140" t="b" cm="1">
        <f t="array" ref="BU140">IsPurple('Large Dataset'!U140)</f>
        <v>0</v>
      </c>
      <c r="BV140" t="b" cm="1">
        <f t="array" ref="BV140">IsGreen('Large Dataset'!U140)</f>
        <v>0</v>
      </c>
    </row>
    <row r="141" spans="7:74">
      <c r="G141" t="b" cm="1">
        <f t="array" ref="G141">IsRed('Large Dataset'!I141)</f>
        <v>0</v>
      </c>
      <c r="H141" t="b" cm="1">
        <f t="array" ref="H141">IsBlue('Large Dataset'!I141)</f>
        <v>0</v>
      </c>
      <c r="I141" t="b" cm="1">
        <f t="array" ref="I141">IsPurple('Large Dataset'!I141)</f>
        <v>0</v>
      </c>
      <c r="J141" t="b" cm="1">
        <f t="array" ref="J141">IsGreen('Large Dataset'!G141)</f>
        <v>0</v>
      </c>
      <c r="P141" t="b" cm="1">
        <f t="array" ref="P141">IsRed('Large Dataset'!K141)</f>
        <v>0</v>
      </c>
      <c r="Q141" t="b" cm="1">
        <f t="array" ref="Q141">IsBlue('Large Dataset'!K141)</f>
        <v>0</v>
      </c>
      <c r="R141" t="b" cm="1">
        <f t="array" ref="R141">IsPurple('Large Dataset'!K141)</f>
        <v>0</v>
      </c>
      <c r="S141" t="b" cm="1">
        <f t="array" ref="S141">IsGreen('Large Dataset'!K141)</f>
        <v>0</v>
      </c>
      <c r="Y141" t="b" cm="1">
        <f t="array" ref="Y141">IsRed('Large Dataset'!M141)</f>
        <v>0</v>
      </c>
      <c r="Z141" t="b" cm="1">
        <f t="array" ref="Z141">IsBlue('Large Dataset'!M141)</f>
        <v>0</v>
      </c>
      <c r="AA141" t="b" cm="1">
        <f t="array" ref="AA141">IsPurple('Large Dataset'!M141)</f>
        <v>0</v>
      </c>
      <c r="AB141" t="b" cm="1">
        <f t="array" ref="AB141">IsGreen('Large Dataset'!M141)</f>
        <v>0</v>
      </c>
      <c r="AH141" t="b" cm="1">
        <f t="array" ref="AH141">IsRed('Large Dataset'!O141)</f>
        <v>0</v>
      </c>
      <c r="AI141" t="b" cm="1">
        <f t="array" ref="AI141">IsBlue('Large Dataset'!O141)</f>
        <v>0</v>
      </c>
      <c r="AJ141" t="b" cm="1">
        <f t="array" ref="AJ141">IsPurple('Large Dataset'!O141)</f>
        <v>0</v>
      </c>
      <c r="AK141" t="b" cm="1">
        <f t="array" ref="AK141">IsGreen('Large Dataset'!O141)</f>
        <v>0</v>
      </c>
      <c r="AR141" t="b" cm="1">
        <f t="array" ref="AR141">IsRed('Large Dataset'!Q141)</f>
        <v>0</v>
      </c>
      <c r="AS141" t="b" cm="1">
        <f t="array" ref="AS141">IsBlue('Large Dataset'!Q141)</f>
        <v>0</v>
      </c>
      <c r="AT141" t="b" cm="1">
        <f t="array" ref="AT141">IsPurple('Large Dataset'!Q141)</f>
        <v>0</v>
      </c>
      <c r="AU141" t="b" cm="1">
        <f t="array" ref="AU141">IsGreen('Large Dataset'!Q141)</f>
        <v>0</v>
      </c>
      <c r="BA141" t="b" cm="1">
        <f t="array" ref="BA141">IsRed('Large Dataset'!R141)</f>
        <v>0</v>
      </c>
      <c r="BB141" t="b" cm="1">
        <f t="array" ref="BB141">IsBlue('Large Dataset'!R141)</f>
        <v>0</v>
      </c>
      <c r="BC141" t="b" cm="1">
        <f t="array" ref="BC141">IsPurple('Large Dataset'!R141)</f>
        <v>0</v>
      </c>
      <c r="BD141" t="b" cm="1">
        <f t="array" ref="BD141">IsGreen('Large Dataset'!R141)</f>
        <v>0</v>
      </c>
      <c r="BJ141" t="b" cm="1">
        <f t="array" ref="BJ141">IsRed('Large Dataset'!T141)</f>
        <v>0</v>
      </c>
      <c r="BK141" t="b" cm="1">
        <f t="array" ref="BK141">IsBlue('Large Dataset'!T141)</f>
        <v>0</v>
      </c>
      <c r="BL141" t="b" cm="1">
        <f t="array" ref="BL141">IsPurple('Large Dataset'!T141)</f>
        <v>0</v>
      </c>
      <c r="BM141" t="b" cm="1">
        <f t="array" ref="BM141">IsGreen('Large Dataset'!T141)</f>
        <v>0</v>
      </c>
      <c r="BS141" t="b" cm="1">
        <f t="array" ref="BS141">IsRed('Large Dataset'!U141)</f>
        <v>0</v>
      </c>
      <c r="BT141" t="b" cm="1">
        <f t="array" ref="BT141">IsBlue('Large Dataset'!U141)</f>
        <v>0</v>
      </c>
      <c r="BU141" t="b" cm="1">
        <f t="array" ref="BU141">IsPurple('Large Dataset'!U141)</f>
        <v>0</v>
      </c>
      <c r="BV141" t="b" cm="1">
        <f t="array" ref="BV141">IsGreen('Large Dataset'!U141)</f>
        <v>0</v>
      </c>
    </row>
    <row r="142" spans="7:74">
      <c r="G142" t="b" cm="1">
        <f t="array" ref="G142">IsRed('Large Dataset'!I142)</f>
        <v>0</v>
      </c>
      <c r="H142" t="b" cm="1">
        <f t="array" ref="H142">IsBlue('Large Dataset'!I142)</f>
        <v>0</v>
      </c>
      <c r="I142" t="b" cm="1">
        <f t="array" ref="I142">IsPurple('Large Dataset'!I142)</f>
        <v>0</v>
      </c>
      <c r="J142" t="b" cm="1">
        <f t="array" ref="J142">IsGreen('Large Dataset'!G142)</f>
        <v>0</v>
      </c>
      <c r="P142" t="b" cm="1">
        <f t="array" ref="P142">IsRed('Large Dataset'!K142)</f>
        <v>0</v>
      </c>
      <c r="Q142" t="b" cm="1">
        <f t="array" ref="Q142">IsBlue('Large Dataset'!K142)</f>
        <v>0</v>
      </c>
      <c r="R142" t="b" cm="1">
        <f t="array" ref="R142">IsPurple('Large Dataset'!K142)</f>
        <v>0</v>
      </c>
      <c r="S142" t="b" cm="1">
        <f t="array" ref="S142">IsGreen('Large Dataset'!K142)</f>
        <v>0</v>
      </c>
      <c r="Y142" t="b" cm="1">
        <f t="array" ref="Y142">IsRed('Large Dataset'!M142)</f>
        <v>0</v>
      </c>
      <c r="Z142" t="b" cm="1">
        <f t="array" ref="Z142">IsBlue('Large Dataset'!M142)</f>
        <v>0</v>
      </c>
      <c r="AA142" t="b" cm="1">
        <f t="array" ref="AA142">IsPurple('Large Dataset'!M142)</f>
        <v>0</v>
      </c>
      <c r="AB142" t="b" cm="1">
        <f t="array" ref="AB142">IsGreen('Large Dataset'!M142)</f>
        <v>0</v>
      </c>
      <c r="AH142" t="b" cm="1">
        <f t="array" ref="AH142">IsRed('Large Dataset'!O142)</f>
        <v>0</v>
      </c>
      <c r="AI142" t="b" cm="1">
        <f t="array" ref="AI142">IsBlue('Large Dataset'!O142)</f>
        <v>0</v>
      </c>
      <c r="AJ142" t="b" cm="1">
        <f t="array" ref="AJ142">IsPurple('Large Dataset'!O142)</f>
        <v>0</v>
      </c>
      <c r="AK142" t="b" cm="1">
        <f t="array" ref="AK142">IsGreen('Large Dataset'!O142)</f>
        <v>0</v>
      </c>
      <c r="AR142" t="b" cm="1">
        <f t="array" ref="AR142">IsRed('Large Dataset'!Q142)</f>
        <v>0</v>
      </c>
      <c r="AS142" t="b" cm="1">
        <f t="array" ref="AS142">IsBlue('Large Dataset'!Q142)</f>
        <v>0</v>
      </c>
      <c r="AT142" t="b" cm="1">
        <f t="array" ref="AT142">IsPurple('Large Dataset'!Q142)</f>
        <v>0</v>
      </c>
      <c r="AU142" t="b" cm="1">
        <f t="array" ref="AU142">IsGreen('Large Dataset'!Q142)</f>
        <v>0</v>
      </c>
      <c r="BA142" t="b" cm="1">
        <f t="array" ref="BA142">IsRed('Large Dataset'!R142)</f>
        <v>0</v>
      </c>
      <c r="BB142" t="b" cm="1">
        <f t="array" ref="BB142">IsBlue('Large Dataset'!R142)</f>
        <v>0</v>
      </c>
      <c r="BC142" t="b" cm="1">
        <f t="array" ref="BC142">IsPurple('Large Dataset'!R142)</f>
        <v>0</v>
      </c>
      <c r="BD142" t="b" cm="1">
        <f t="array" ref="BD142">IsGreen('Large Dataset'!R142)</f>
        <v>0</v>
      </c>
      <c r="BJ142" t="b" cm="1">
        <f t="array" ref="BJ142">IsRed('Large Dataset'!T142)</f>
        <v>0</v>
      </c>
      <c r="BK142" t="b" cm="1">
        <f t="array" ref="BK142">IsBlue('Large Dataset'!T142)</f>
        <v>0</v>
      </c>
      <c r="BL142" t="b" cm="1">
        <f t="array" ref="BL142">IsPurple('Large Dataset'!T142)</f>
        <v>0</v>
      </c>
      <c r="BM142" t="b" cm="1">
        <f t="array" ref="BM142">IsGreen('Large Dataset'!T142)</f>
        <v>0</v>
      </c>
      <c r="BS142" t="b" cm="1">
        <f t="array" ref="BS142">IsRed('Large Dataset'!U142)</f>
        <v>0</v>
      </c>
      <c r="BT142" t="b" cm="1">
        <f t="array" ref="BT142">IsBlue('Large Dataset'!U142)</f>
        <v>0</v>
      </c>
      <c r="BU142" t="b" cm="1">
        <f t="array" ref="BU142">IsPurple('Large Dataset'!U142)</f>
        <v>0</v>
      </c>
      <c r="BV142" t="b" cm="1">
        <f t="array" ref="BV142">IsGreen('Large Dataset'!U142)</f>
        <v>0</v>
      </c>
    </row>
    <row r="143" spans="7:74">
      <c r="G143" t="b" cm="1">
        <f t="array" ref="G143">IsRed('Large Dataset'!I143)</f>
        <v>0</v>
      </c>
      <c r="H143" t="b" cm="1">
        <f t="array" ref="H143">IsBlue('Large Dataset'!I143)</f>
        <v>0</v>
      </c>
      <c r="I143" t="b" cm="1">
        <f t="array" ref="I143">IsPurple('Large Dataset'!I143)</f>
        <v>0</v>
      </c>
      <c r="J143" t="b" cm="1">
        <f t="array" ref="J143">IsGreen('Large Dataset'!G143)</f>
        <v>0</v>
      </c>
      <c r="P143" t="b" cm="1">
        <f t="array" ref="P143">IsRed('Large Dataset'!K143)</f>
        <v>0</v>
      </c>
      <c r="Q143" t="b" cm="1">
        <f t="array" ref="Q143">IsBlue('Large Dataset'!K143)</f>
        <v>0</v>
      </c>
      <c r="R143" t="b" cm="1">
        <f t="array" ref="R143">IsPurple('Large Dataset'!K143)</f>
        <v>0</v>
      </c>
      <c r="S143" t="b" cm="1">
        <f t="array" ref="S143">IsGreen('Large Dataset'!K143)</f>
        <v>0</v>
      </c>
      <c r="Y143" t="b" cm="1">
        <f t="array" ref="Y143">IsRed('Large Dataset'!M143)</f>
        <v>0</v>
      </c>
      <c r="Z143" t="b" cm="1">
        <f t="array" ref="Z143">IsBlue('Large Dataset'!M143)</f>
        <v>0</v>
      </c>
      <c r="AA143" t="b" cm="1">
        <f t="array" ref="AA143">IsPurple('Large Dataset'!M143)</f>
        <v>0</v>
      </c>
      <c r="AB143" t="b" cm="1">
        <f t="array" ref="AB143">IsGreen('Large Dataset'!M143)</f>
        <v>0</v>
      </c>
      <c r="AH143" t="b" cm="1">
        <f t="array" ref="AH143">IsRed('Large Dataset'!O143)</f>
        <v>0</v>
      </c>
      <c r="AI143" t="b" cm="1">
        <f t="array" ref="AI143">IsBlue('Large Dataset'!O143)</f>
        <v>0</v>
      </c>
      <c r="AJ143" t="b" cm="1">
        <f t="array" ref="AJ143">IsPurple('Large Dataset'!O143)</f>
        <v>0</v>
      </c>
      <c r="AK143" t="b" cm="1">
        <f t="array" ref="AK143">IsGreen('Large Dataset'!O143)</f>
        <v>0</v>
      </c>
      <c r="AR143" t="b" cm="1">
        <f t="array" ref="AR143">IsRed('Large Dataset'!Q143)</f>
        <v>0</v>
      </c>
      <c r="AS143" t="b" cm="1">
        <f t="array" ref="AS143">IsBlue('Large Dataset'!Q143)</f>
        <v>0</v>
      </c>
      <c r="AT143" t="b" cm="1">
        <f t="array" ref="AT143">IsPurple('Large Dataset'!Q143)</f>
        <v>0</v>
      </c>
      <c r="AU143" t="b" cm="1">
        <f t="array" ref="AU143">IsGreen('Large Dataset'!Q143)</f>
        <v>0</v>
      </c>
      <c r="BA143" t="b" cm="1">
        <f t="array" ref="BA143">IsRed('Large Dataset'!R143)</f>
        <v>0</v>
      </c>
      <c r="BB143" t="b" cm="1">
        <f t="array" ref="BB143">IsBlue('Large Dataset'!R143)</f>
        <v>0</v>
      </c>
      <c r="BC143" t="b" cm="1">
        <f t="array" ref="BC143">IsPurple('Large Dataset'!R143)</f>
        <v>0</v>
      </c>
      <c r="BD143" t="b" cm="1">
        <f t="array" ref="BD143">IsGreen('Large Dataset'!R143)</f>
        <v>0</v>
      </c>
      <c r="BJ143" t="b" cm="1">
        <f t="array" ref="BJ143">IsRed('Large Dataset'!T143)</f>
        <v>0</v>
      </c>
      <c r="BK143" t="b" cm="1">
        <f t="array" ref="BK143">IsBlue('Large Dataset'!T143)</f>
        <v>0</v>
      </c>
      <c r="BL143" t="b" cm="1">
        <f t="array" ref="BL143">IsPurple('Large Dataset'!T143)</f>
        <v>0</v>
      </c>
      <c r="BM143" t="b" cm="1">
        <f t="array" ref="BM143">IsGreen('Large Dataset'!T143)</f>
        <v>0</v>
      </c>
      <c r="BS143" t="b" cm="1">
        <f t="array" ref="BS143">IsRed('Large Dataset'!U143)</f>
        <v>0</v>
      </c>
      <c r="BT143" t="b" cm="1">
        <f t="array" ref="BT143">IsBlue('Large Dataset'!U143)</f>
        <v>0</v>
      </c>
      <c r="BU143" t="b" cm="1">
        <f t="array" ref="BU143">IsPurple('Large Dataset'!U143)</f>
        <v>0</v>
      </c>
      <c r="BV143" t="b" cm="1">
        <f t="array" ref="BV143">IsGreen('Large Dataset'!U143)</f>
        <v>0</v>
      </c>
    </row>
    <row r="144" spans="7:74">
      <c r="G144" t="b" cm="1">
        <f t="array" ref="G144">IsRed('Large Dataset'!I144)</f>
        <v>0</v>
      </c>
      <c r="H144" t="b" cm="1">
        <f t="array" ref="H144">IsBlue('Large Dataset'!I144)</f>
        <v>0</v>
      </c>
      <c r="I144" t="b" cm="1">
        <f t="array" ref="I144">IsPurple('Large Dataset'!I144)</f>
        <v>0</v>
      </c>
      <c r="J144" t="b" cm="1">
        <f t="array" ref="J144">IsGreen('Large Dataset'!G144)</f>
        <v>0</v>
      </c>
      <c r="P144" t="b" cm="1">
        <f t="array" ref="P144">IsRed('Large Dataset'!K144)</f>
        <v>0</v>
      </c>
      <c r="Q144" t="b" cm="1">
        <f t="array" ref="Q144">IsBlue('Large Dataset'!K144)</f>
        <v>0</v>
      </c>
      <c r="R144" t="b" cm="1">
        <f t="array" ref="R144">IsPurple('Large Dataset'!K144)</f>
        <v>0</v>
      </c>
      <c r="S144" t="b" cm="1">
        <f t="array" ref="S144">IsGreen('Large Dataset'!K144)</f>
        <v>0</v>
      </c>
      <c r="Y144" t="b" cm="1">
        <f t="array" ref="Y144">IsRed('Large Dataset'!M144)</f>
        <v>0</v>
      </c>
      <c r="Z144" t="b" cm="1">
        <f t="array" ref="Z144">IsBlue('Large Dataset'!M144)</f>
        <v>0</v>
      </c>
      <c r="AA144" t="b" cm="1">
        <f t="array" ref="AA144">IsPurple('Large Dataset'!M144)</f>
        <v>0</v>
      </c>
      <c r="AB144" t="b" cm="1">
        <f t="array" ref="AB144">IsGreen('Large Dataset'!M144)</f>
        <v>0</v>
      </c>
      <c r="AH144" t="b" cm="1">
        <f t="array" ref="AH144">IsRed('Large Dataset'!O144)</f>
        <v>0</v>
      </c>
      <c r="AI144" t="b" cm="1">
        <f t="array" ref="AI144">IsBlue('Large Dataset'!O144)</f>
        <v>0</v>
      </c>
      <c r="AJ144" t="b" cm="1">
        <f t="array" ref="AJ144">IsPurple('Large Dataset'!O144)</f>
        <v>0</v>
      </c>
      <c r="AK144" t="b" cm="1">
        <f t="array" ref="AK144">IsGreen('Large Dataset'!O144)</f>
        <v>0</v>
      </c>
      <c r="AR144" t="b" cm="1">
        <f t="array" ref="AR144">IsRed('Large Dataset'!Q144)</f>
        <v>0</v>
      </c>
      <c r="AS144" t="b" cm="1">
        <f t="array" ref="AS144">IsBlue('Large Dataset'!Q144)</f>
        <v>0</v>
      </c>
      <c r="AT144" t="b" cm="1">
        <f t="array" ref="AT144">IsPurple('Large Dataset'!Q144)</f>
        <v>0</v>
      </c>
      <c r="AU144" t="b" cm="1">
        <f t="array" ref="AU144">IsGreen('Large Dataset'!Q144)</f>
        <v>0</v>
      </c>
      <c r="BA144" t="b" cm="1">
        <f t="array" ref="BA144">IsRed('Large Dataset'!R144)</f>
        <v>0</v>
      </c>
      <c r="BB144" t="b" cm="1">
        <f t="array" ref="BB144">IsBlue('Large Dataset'!R144)</f>
        <v>0</v>
      </c>
      <c r="BC144" t="b" cm="1">
        <f t="array" ref="BC144">IsPurple('Large Dataset'!R144)</f>
        <v>0</v>
      </c>
      <c r="BD144" t="b" cm="1">
        <f t="array" ref="BD144">IsGreen('Large Dataset'!R144)</f>
        <v>0</v>
      </c>
      <c r="BJ144" t="b" cm="1">
        <f t="array" ref="BJ144">IsRed('Large Dataset'!T144)</f>
        <v>0</v>
      </c>
      <c r="BK144" t="b" cm="1">
        <f t="array" ref="BK144">IsBlue('Large Dataset'!T144)</f>
        <v>0</v>
      </c>
      <c r="BL144" t="b" cm="1">
        <f t="array" ref="BL144">IsPurple('Large Dataset'!T144)</f>
        <v>0</v>
      </c>
      <c r="BM144" t="b" cm="1">
        <f t="array" ref="BM144">IsGreen('Large Dataset'!T144)</f>
        <v>0</v>
      </c>
      <c r="BS144" t="b" cm="1">
        <f t="array" ref="BS144">IsRed('Large Dataset'!U144)</f>
        <v>0</v>
      </c>
      <c r="BT144" t="b" cm="1">
        <f t="array" ref="BT144">IsBlue('Large Dataset'!U144)</f>
        <v>0</v>
      </c>
      <c r="BU144" t="b" cm="1">
        <f t="array" ref="BU144">IsPurple('Large Dataset'!U144)</f>
        <v>0</v>
      </c>
      <c r="BV144" t="b" cm="1">
        <f t="array" ref="BV144">IsGreen('Large Dataset'!U144)</f>
        <v>0</v>
      </c>
    </row>
    <row r="145" spans="7:74">
      <c r="G145" t="b" cm="1">
        <f t="array" ref="G145">IsRed('Large Dataset'!I145)</f>
        <v>0</v>
      </c>
      <c r="H145" t="b" cm="1">
        <f t="array" ref="H145">IsBlue('Large Dataset'!I145)</f>
        <v>0</v>
      </c>
      <c r="I145" t="b" cm="1">
        <f t="array" ref="I145">IsPurple('Large Dataset'!I145)</f>
        <v>0</v>
      </c>
      <c r="J145" t="b" cm="1">
        <f t="array" ref="J145">IsGreen('Large Dataset'!G145)</f>
        <v>0</v>
      </c>
      <c r="P145" t="b" cm="1">
        <f t="array" ref="P145">IsRed('Large Dataset'!K145)</f>
        <v>0</v>
      </c>
      <c r="Q145" t="b" cm="1">
        <f t="array" ref="Q145">IsBlue('Large Dataset'!K145)</f>
        <v>0</v>
      </c>
      <c r="R145" t="b" cm="1">
        <f t="array" ref="R145">IsPurple('Large Dataset'!K145)</f>
        <v>0</v>
      </c>
      <c r="S145" t="b" cm="1">
        <f t="array" ref="S145">IsGreen('Large Dataset'!K145)</f>
        <v>0</v>
      </c>
      <c r="Y145" t="b" cm="1">
        <f t="array" ref="Y145">IsRed('Large Dataset'!M145)</f>
        <v>0</v>
      </c>
      <c r="Z145" t="b" cm="1">
        <f t="array" ref="Z145">IsBlue('Large Dataset'!M145)</f>
        <v>0</v>
      </c>
      <c r="AA145" t="b" cm="1">
        <f t="array" ref="AA145">IsPurple('Large Dataset'!M145)</f>
        <v>0</v>
      </c>
      <c r="AB145" t="b" cm="1">
        <f t="array" ref="AB145">IsGreen('Large Dataset'!M145)</f>
        <v>0</v>
      </c>
      <c r="AH145" t="b" cm="1">
        <f t="array" ref="AH145">IsRed('Large Dataset'!O145)</f>
        <v>0</v>
      </c>
      <c r="AI145" t="b" cm="1">
        <f t="array" ref="AI145">IsBlue('Large Dataset'!O145)</f>
        <v>0</v>
      </c>
      <c r="AJ145" t="b" cm="1">
        <f t="array" ref="AJ145">IsPurple('Large Dataset'!O145)</f>
        <v>0</v>
      </c>
      <c r="AK145" t="b" cm="1">
        <f t="array" ref="AK145">IsGreen('Large Dataset'!O145)</f>
        <v>0</v>
      </c>
      <c r="AR145" t="b" cm="1">
        <f t="array" ref="AR145">IsRed('Large Dataset'!Q145)</f>
        <v>0</v>
      </c>
      <c r="AS145" t="b" cm="1">
        <f t="array" ref="AS145">IsBlue('Large Dataset'!Q145)</f>
        <v>0</v>
      </c>
      <c r="AT145" t="b" cm="1">
        <f t="array" ref="AT145">IsPurple('Large Dataset'!Q145)</f>
        <v>0</v>
      </c>
      <c r="AU145" t="b" cm="1">
        <f t="array" ref="AU145">IsGreen('Large Dataset'!Q145)</f>
        <v>0</v>
      </c>
      <c r="BA145" t="b" cm="1">
        <f t="array" ref="BA145">IsRed('Large Dataset'!R145)</f>
        <v>0</v>
      </c>
      <c r="BB145" t="b" cm="1">
        <f t="array" ref="BB145">IsBlue('Large Dataset'!R145)</f>
        <v>0</v>
      </c>
      <c r="BC145" t="b" cm="1">
        <f t="array" ref="BC145">IsPurple('Large Dataset'!R145)</f>
        <v>0</v>
      </c>
      <c r="BD145" t="b" cm="1">
        <f t="array" ref="BD145">IsGreen('Large Dataset'!R145)</f>
        <v>0</v>
      </c>
      <c r="BJ145" t="b" cm="1">
        <f t="array" ref="BJ145">IsRed('Large Dataset'!T145)</f>
        <v>0</v>
      </c>
      <c r="BK145" t="b" cm="1">
        <f t="array" ref="BK145">IsBlue('Large Dataset'!T145)</f>
        <v>0</v>
      </c>
      <c r="BL145" t="b" cm="1">
        <f t="array" ref="BL145">IsPurple('Large Dataset'!T145)</f>
        <v>0</v>
      </c>
      <c r="BM145" t="b" cm="1">
        <f t="array" ref="BM145">IsGreen('Large Dataset'!T145)</f>
        <v>0</v>
      </c>
      <c r="BS145" t="b" cm="1">
        <f t="array" ref="BS145">IsRed('Large Dataset'!U145)</f>
        <v>0</v>
      </c>
      <c r="BT145" t="b" cm="1">
        <f t="array" ref="BT145">IsBlue('Large Dataset'!U145)</f>
        <v>0</v>
      </c>
      <c r="BU145" t="b" cm="1">
        <f t="array" ref="BU145">IsPurple('Large Dataset'!U145)</f>
        <v>0</v>
      </c>
      <c r="BV145" t="b" cm="1">
        <f t="array" ref="BV145">IsGreen('Large Dataset'!U145)</f>
        <v>0</v>
      </c>
    </row>
    <row r="146" spans="7:74">
      <c r="G146" t="b" cm="1">
        <f t="array" ref="G146">IsRed('Large Dataset'!I146)</f>
        <v>0</v>
      </c>
      <c r="H146" t="b" cm="1">
        <f t="array" ref="H146">IsBlue('Large Dataset'!I146)</f>
        <v>0</v>
      </c>
      <c r="I146" t="b" cm="1">
        <f t="array" ref="I146">IsPurple('Large Dataset'!I146)</f>
        <v>0</v>
      </c>
      <c r="J146" t="b" cm="1">
        <f t="array" ref="J146">IsGreen('Large Dataset'!G146)</f>
        <v>0</v>
      </c>
      <c r="P146" t="b" cm="1">
        <f t="array" ref="P146">IsRed('Large Dataset'!K146)</f>
        <v>0</v>
      </c>
      <c r="Q146" t="b" cm="1">
        <f t="array" ref="Q146">IsBlue('Large Dataset'!K146)</f>
        <v>0</v>
      </c>
      <c r="R146" t="b" cm="1">
        <f t="array" ref="R146">IsPurple('Large Dataset'!K146)</f>
        <v>0</v>
      </c>
      <c r="S146" t="b" cm="1">
        <f t="array" ref="S146">IsGreen('Large Dataset'!K146)</f>
        <v>0</v>
      </c>
      <c r="Y146" t="b" cm="1">
        <f t="array" ref="Y146">IsRed('Large Dataset'!M146)</f>
        <v>0</v>
      </c>
      <c r="Z146" t="b" cm="1">
        <f t="array" ref="Z146">IsBlue('Large Dataset'!M146)</f>
        <v>0</v>
      </c>
      <c r="AA146" t="b" cm="1">
        <f t="array" ref="AA146">IsPurple('Large Dataset'!M146)</f>
        <v>0</v>
      </c>
      <c r="AB146" t="b" cm="1">
        <f t="array" ref="AB146">IsGreen('Large Dataset'!M146)</f>
        <v>0</v>
      </c>
      <c r="AH146" t="b" cm="1">
        <f t="array" ref="AH146">IsRed('Large Dataset'!O146)</f>
        <v>0</v>
      </c>
      <c r="AI146" t="b" cm="1">
        <f t="array" ref="AI146">IsBlue('Large Dataset'!O146)</f>
        <v>0</v>
      </c>
      <c r="AJ146" t="b" cm="1">
        <f t="array" ref="AJ146">IsPurple('Large Dataset'!O146)</f>
        <v>0</v>
      </c>
      <c r="AK146" t="b" cm="1">
        <f t="array" ref="AK146">IsGreen('Large Dataset'!O146)</f>
        <v>0</v>
      </c>
      <c r="AR146" t="b" cm="1">
        <f t="array" ref="AR146">IsRed('Large Dataset'!Q146)</f>
        <v>0</v>
      </c>
      <c r="AS146" t="b" cm="1">
        <f t="array" ref="AS146">IsBlue('Large Dataset'!Q146)</f>
        <v>0</v>
      </c>
      <c r="AT146" t="b" cm="1">
        <f t="array" ref="AT146">IsPurple('Large Dataset'!Q146)</f>
        <v>0</v>
      </c>
      <c r="AU146" t="b" cm="1">
        <f t="array" ref="AU146">IsGreen('Large Dataset'!Q146)</f>
        <v>0</v>
      </c>
      <c r="BA146" t="b" cm="1">
        <f t="array" ref="BA146">IsRed('Large Dataset'!R146)</f>
        <v>0</v>
      </c>
      <c r="BB146" t="b" cm="1">
        <f t="array" ref="BB146">IsBlue('Large Dataset'!R146)</f>
        <v>0</v>
      </c>
      <c r="BC146" t="b" cm="1">
        <f t="array" ref="BC146">IsPurple('Large Dataset'!R146)</f>
        <v>0</v>
      </c>
      <c r="BD146" t="b" cm="1">
        <f t="array" ref="BD146">IsGreen('Large Dataset'!R146)</f>
        <v>0</v>
      </c>
      <c r="BJ146" t="b" cm="1">
        <f t="array" ref="BJ146">IsRed('Large Dataset'!T146)</f>
        <v>0</v>
      </c>
      <c r="BK146" t="b" cm="1">
        <f t="array" ref="BK146">IsBlue('Large Dataset'!T146)</f>
        <v>0</v>
      </c>
      <c r="BL146" t="b" cm="1">
        <f t="array" ref="BL146">IsPurple('Large Dataset'!T146)</f>
        <v>0</v>
      </c>
      <c r="BM146" t="b" cm="1">
        <f t="array" ref="BM146">IsGreen('Large Dataset'!T146)</f>
        <v>0</v>
      </c>
      <c r="BS146" t="b" cm="1">
        <f t="array" ref="BS146">IsRed('Large Dataset'!U146)</f>
        <v>0</v>
      </c>
      <c r="BT146" t="b" cm="1">
        <f t="array" ref="BT146">IsBlue('Large Dataset'!U146)</f>
        <v>0</v>
      </c>
      <c r="BU146" t="b" cm="1">
        <f t="array" ref="BU146">IsPurple('Large Dataset'!U146)</f>
        <v>0</v>
      </c>
      <c r="BV146" t="b" cm="1">
        <f t="array" ref="BV146">IsGreen('Large Dataset'!U146)</f>
        <v>0</v>
      </c>
    </row>
    <row r="147" spans="7:74">
      <c r="G147" t="b" cm="1">
        <f t="array" ref="G147">IsRed('Large Dataset'!I147)</f>
        <v>0</v>
      </c>
      <c r="H147" t="b" cm="1">
        <f t="array" ref="H147">IsBlue('Large Dataset'!I147)</f>
        <v>0</v>
      </c>
      <c r="I147" t="b" cm="1">
        <f t="array" ref="I147">IsPurple('Large Dataset'!I147)</f>
        <v>0</v>
      </c>
      <c r="J147" t="b" cm="1">
        <f t="array" ref="J147">IsGreen('Large Dataset'!G147)</f>
        <v>0</v>
      </c>
      <c r="P147" t="b" cm="1">
        <f t="array" ref="P147">IsRed('Large Dataset'!K147)</f>
        <v>0</v>
      </c>
      <c r="Q147" t="b" cm="1">
        <f t="array" ref="Q147">IsBlue('Large Dataset'!K147)</f>
        <v>0</v>
      </c>
      <c r="R147" t="b" cm="1">
        <f t="array" ref="R147">IsPurple('Large Dataset'!K147)</f>
        <v>0</v>
      </c>
      <c r="S147" t="b" cm="1">
        <f t="array" ref="S147">IsGreen('Large Dataset'!K147)</f>
        <v>0</v>
      </c>
      <c r="Y147" t="b" cm="1">
        <f t="array" ref="Y147">IsRed('Large Dataset'!M147)</f>
        <v>0</v>
      </c>
      <c r="Z147" t="b" cm="1">
        <f t="array" ref="Z147">IsBlue('Large Dataset'!M147)</f>
        <v>0</v>
      </c>
      <c r="AA147" t="b" cm="1">
        <f t="array" ref="AA147">IsPurple('Large Dataset'!M147)</f>
        <v>0</v>
      </c>
      <c r="AB147" t="b" cm="1">
        <f t="array" ref="AB147">IsGreen('Large Dataset'!M147)</f>
        <v>0</v>
      </c>
      <c r="AH147" t="b" cm="1">
        <f t="array" ref="AH147">IsRed('Large Dataset'!O147)</f>
        <v>0</v>
      </c>
      <c r="AI147" t="b" cm="1">
        <f t="array" ref="AI147">IsBlue('Large Dataset'!O147)</f>
        <v>0</v>
      </c>
      <c r="AJ147" t="b" cm="1">
        <f t="array" ref="AJ147">IsPurple('Large Dataset'!O147)</f>
        <v>0</v>
      </c>
      <c r="AK147" t="b" cm="1">
        <f t="array" ref="AK147">IsGreen('Large Dataset'!O147)</f>
        <v>0</v>
      </c>
      <c r="AR147" t="b" cm="1">
        <f t="array" ref="AR147">IsRed('Large Dataset'!Q147)</f>
        <v>0</v>
      </c>
      <c r="AS147" t="b" cm="1">
        <f t="array" ref="AS147">IsBlue('Large Dataset'!Q147)</f>
        <v>0</v>
      </c>
      <c r="AT147" t="b" cm="1">
        <f t="array" ref="AT147">IsPurple('Large Dataset'!Q147)</f>
        <v>0</v>
      </c>
      <c r="AU147" t="b" cm="1">
        <f t="array" ref="AU147">IsGreen('Large Dataset'!Q147)</f>
        <v>0</v>
      </c>
      <c r="BA147" t="b" cm="1">
        <f t="array" ref="BA147">IsRed('Large Dataset'!R147)</f>
        <v>0</v>
      </c>
      <c r="BB147" t="b" cm="1">
        <f t="array" ref="BB147">IsBlue('Large Dataset'!R147)</f>
        <v>0</v>
      </c>
      <c r="BC147" t="b" cm="1">
        <f t="array" ref="BC147">IsPurple('Large Dataset'!R147)</f>
        <v>0</v>
      </c>
      <c r="BD147" t="b" cm="1">
        <f t="array" ref="BD147">IsGreen('Large Dataset'!R147)</f>
        <v>0</v>
      </c>
      <c r="BJ147" t="b" cm="1">
        <f t="array" ref="BJ147">IsRed('Large Dataset'!T147)</f>
        <v>0</v>
      </c>
      <c r="BK147" t="b" cm="1">
        <f t="array" ref="BK147">IsBlue('Large Dataset'!T147)</f>
        <v>0</v>
      </c>
      <c r="BL147" t="b" cm="1">
        <f t="array" ref="BL147">IsPurple('Large Dataset'!T147)</f>
        <v>0</v>
      </c>
      <c r="BM147" t="b" cm="1">
        <f t="array" ref="BM147">IsGreen('Large Dataset'!T147)</f>
        <v>0</v>
      </c>
      <c r="BS147" t="b" cm="1">
        <f t="array" ref="BS147">IsRed('Large Dataset'!U147)</f>
        <v>0</v>
      </c>
      <c r="BT147" t="b" cm="1">
        <f t="array" ref="BT147">IsBlue('Large Dataset'!U147)</f>
        <v>0</v>
      </c>
      <c r="BU147" t="b" cm="1">
        <f t="array" ref="BU147">IsPurple('Large Dataset'!U147)</f>
        <v>0</v>
      </c>
      <c r="BV147" t="b" cm="1">
        <f t="array" ref="BV147">IsGreen('Large Dataset'!U147)</f>
        <v>0</v>
      </c>
    </row>
    <row r="148" spans="7:74">
      <c r="G148" t="b" cm="1">
        <f t="array" ref="G148">IsRed('Large Dataset'!I148)</f>
        <v>0</v>
      </c>
      <c r="H148" t="b" cm="1">
        <f t="array" ref="H148">IsBlue('Large Dataset'!I148)</f>
        <v>0</v>
      </c>
      <c r="I148" t="b" cm="1">
        <f t="array" ref="I148">IsPurple('Large Dataset'!I148)</f>
        <v>0</v>
      </c>
      <c r="J148" t="b" cm="1">
        <f t="array" ref="J148">IsGreen('Large Dataset'!G148)</f>
        <v>0</v>
      </c>
      <c r="P148" t="b" cm="1">
        <f t="array" ref="P148">IsRed('Large Dataset'!K148)</f>
        <v>0</v>
      </c>
      <c r="Q148" t="b" cm="1">
        <f t="array" ref="Q148">IsBlue('Large Dataset'!K148)</f>
        <v>0</v>
      </c>
      <c r="R148" t="b" cm="1">
        <f t="array" ref="R148">IsPurple('Large Dataset'!K148)</f>
        <v>0</v>
      </c>
      <c r="S148" t="b" cm="1">
        <f t="array" ref="S148">IsGreen('Large Dataset'!K148)</f>
        <v>0</v>
      </c>
      <c r="Y148" t="b" cm="1">
        <f t="array" ref="Y148">IsRed('Large Dataset'!M148)</f>
        <v>0</v>
      </c>
      <c r="Z148" t="b" cm="1">
        <f t="array" ref="Z148">IsBlue('Large Dataset'!M148)</f>
        <v>0</v>
      </c>
      <c r="AA148" t="b" cm="1">
        <f t="array" ref="AA148">IsPurple('Large Dataset'!M148)</f>
        <v>0</v>
      </c>
      <c r="AB148" t="b" cm="1">
        <f t="array" ref="AB148">IsGreen('Large Dataset'!M148)</f>
        <v>0</v>
      </c>
      <c r="AH148" t="b" cm="1">
        <f t="array" ref="AH148">IsRed('Large Dataset'!O148)</f>
        <v>0</v>
      </c>
      <c r="AI148" t="b" cm="1">
        <f t="array" ref="AI148">IsBlue('Large Dataset'!O148)</f>
        <v>0</v>
      </c>
      <c r="AJ148" t="b" cm="1">
        <f t="array" ref="AJ148">IsPurple('Large Dataset'!O148)</f>
        <v>0</v>
      </c>
      <c r="AK148" t="b" cm="1">
        <f t="array" ref="AK148">IsGreen('Large Dataset'!O148)</f>
        <v>0</v>
      </c>
      <c r="AR148" t="b" cm="1">
        <f t="array" ref="AR148">IsRed('Large Dataset'!Q148)</f>
        <v>0</v>
      </c>
      <c r="AS148" t="b" cm="1">
        <f t="array" ref="AS148">IsBlue('Large Dataset'!Q148)</f>
        <v>0</v>
      </c>
      <c r="AT148" t="b" cm="1">
        <f t="array" ref="AT148">IsPurple('Large Dataset'!Q148)</f>
        <v>0</v>
      </c>
      <c r="AU148" t="b" cm="1">
        <f t="array" ref="AU148">IsGreen('Large Dataset'!Q148)</f>
        <v>0</v>
      </c>
      <c r="BA148" t="b" cm="1">
        <f t="array" ref="BA148">IsRed('Large Dataset'!R148)</f>
        <v>0</v>
      </c>
      <c r="BB148" t="b" cm="1">
        <f t="array" ref="BB148">IsBlue('Large Dataset'!R148)</f>
        <v>0</v>
      </c>
      <c r="BC148" t="b" cm="1">
        <f t="array" ref="BC148">IsPurple('Large Dataset'!R148)</f>
        <v>0</v>
      </c>
      <c r="BD148" t="b" cm="1">
        <f t="array" ref="BD148">IsGreen('Large Dataset'!R148)</f>
        <v>0</v>
      </c>
      <c r="BJ148" t="b" cm="1">
        <f t="array" ref="BJ148">IsRed('Large Dataset'!T148)</f>
        <v>0</v>
      </c>
      <c r="BK148" t="b" cm="1">
        <f t="array" ref="BK148">IsBlue('Large Dataset'!T148)</f>
        <v>0</v>
      </c>
      <c r="BL148" t="b" cm="1">
        <f t="array" ref="BL148">IsPurple('Large Dataset'!T148)</f>
        <v>0</v>
      </c>
      <c r="BM148" t="b" cm="1">
        <f t="array" ref="BM148">IsGreen('Large Dataset'!T148)</f>
        <v>0</v>
      </c>
      <c r="BS148" t="b" cm="1">
        <f t="array" ref="BS148">IsRed('Large Dataset'!U148)</f>
        <v>0</v>
      </c>
      <c r="BT148" t="b" cm="1">
        <f t="array" ref="BT148">IsBlue('Large Dataset'!U148)</f>
        <v>0</v>
      </c>
      <c r="BU148" t="b" cm="1">
        <f t="array" ref="BU148">IsPurple('Large Dataset'!U148)</f>
        <v>0</v>
      </c>
      <c r="BV148" t="b" cm="1">
        <f t="array" ref="BV148">IsGreen('Large Dataset'!U148)</f>
        <v>0</v>
      </c>
    </row>
    <row r="149" spans="7:74">
      <c r="G149" t="b" cm="1">
        <f t="array" ref="G149">IsRed('Large Dataset'!I149)</f>
        <v>0</v>
      </c>
      <c r="H149" t="b" cm="1">
        <f t="array" ref="H149">IsBlue('Large Dataset'!I149)</f>
        <v>1</v>
      </c>
      <c r="I149" t="b" cm="1">
        <f t="array" ref="I149">IsPurple('Large Dataset'!I149)</f>
        <v>0</v>
      </c>
      <c r="J149" t="b" cm="1">
        <f t="array" ref="J149">IsGreen('Large Dataset'!G149)</f>
        <v>0</v>
      </c>
      <c r="P149" t="b" cm="1">
        <f t="array" ref="P149">IsRed('Large Dataset'!K149)</f>
        <v>0</v>
      </c>
      <c r="Q149" t="b" cm="1">
        <f t="array" ref="Q149">IsBlue('Large Dataset'!K149)</f>
        <v>0</v>
      </c>
      <c r="R149" t="b" cm="1">
        <f t="array" ref="R149">IsPurple('Large Dataset'!K149)</f>
        <v>0</v>
      </c>
      <c r="S149" t="b" cm="1">
        <f t="array" ref="S149">IsGreen('Large Dataset'!K149)</f>
        <v>0</v>
      </c>
      <c r="Y149" t="b" cm="1">
        <f t="array" ref="Y149">IsRed('Large Dataset'!M149)</f>
        <v>0</v>
      </c>
      <c r="Z149" t="b" cm="1">
        <f t="array" ref="Z149">IsBlue('Large Dataset'!M149)</f>
        <v>0</v>
      </c>
      <c r="AA149" t="b" cm="1">
        <f t="array" ref="AA149">IsPurple('Large Dataset'!M149)</f>
        <v>0</v>
      </c>
      <c r="AB149" t="b" cm="1">
        <f t="array" ref="AB149">IsGreen('Large Dataset'!M149)</f>
        <v>0</v>
      </c>
      <c r="AH149" t="b" cm="1">
        <f t="array" ref="AH149">IsRed('Large Dataset'!O149)</f>
        <v>0</v>
      </c>
      <c r="AI149" t="b" cm="1">
        <f t="array" ref="AI149">IsBlue('Large Dataset'!O149)</f>
        <v>0</v>
      </c>
      <c r="AJ149" t="b" cm="1">
        <f t="array" ref="AJ149">IsPurple('Large Dataset'!O149)</f>
        <v>0</v>
      </c>
      <c r="AK149" t="b" cm="1">
        <f t="array" ref="AK149">IsGreen('Large Dataset'!O149)</f>
        <v>0</v>
      </c>
      <c r="AR149" t="b" cm="1">
        <f t="array" ref="AR149">IsRed('Large Dataset'!Q149)</f>
        <v>0</v>
      </c>
      <c r="AS149" t="b" cm="1">
        <f t="array" ref="AS149">IsBlue('Large Dataset'!Q149)</f>
        <v>0</v>
      </c>
      <c r="AT149" t="b" cm="1">
        <f t="array" ref="AT149">IsPurple('Large Dataset'!Q149)</f>
        <v>0</v>
      </c>
      <c r="AU149" t="b" cm="1">
        <f t="array" ref="AU149">IsGreen('Large Dataset'!Q149)</f>
        <v>0</v>
      </c>
      <c r="BA149" t="b" cm="1">
        <f t="array" ref="BA149">IsRed('Large Dataset'!R149)</f>
        <v>0</v>
      </c>
      <c r="BB149" t="b" cm="1">
        <f t="array" ref="BB149">IsBlue('Large Dataset'!R149)</f>
        <v>0</v>
      </c>
      <c r="BC149" t="b" cm="1">
        <f t="array" ref="BC149">IsPurple('Large Dataset'!R149)</f>
        <v>0</v>
      </c>
      <c r="BD149" t="b" cm="1">
        <f t="array" ref="BD149">IsGreen('Large Dataset'!R149)</f>
        <v>0</v>
      </c>
      <c r="BJ149" t="b" cm="1">
        <f t="array" ref="BJ149">IsRed('Large Dataset'!T149)</f>
        <v>0</v>
      </c>
      <c r="BK149" t="b" cm="1">
        <f t="array" ref="BK149">IsBlue('Large Dataset'!T149)</f>
        <v>0</v>
      </c>
      <c r="BL149" t="b" cm="1">
        <f t="array" ref="BL149">IsPurple('Large Dataset'!T149)</f>
        <v>0</v>
      </c>
      <c r="BM149" t="b" cm="1">
        <f t="array" ref="BM149">IsGreen('Large Dataset'!T149)</f>
        <v>0</v>
      </c>
      <c r="BS149" t="b" cm="1">
        <f t="array" ref="BS149">IsRed('Large Dataset'!U149)</f>
        <v>0</v>
      </c>
      <c r="BT149" t="b" cm="1">
        <f t="array" ref="BT149">IsBlue('Large Dataset'!U149)</f>
        <v>0</v>
      </c>
      <c r="BU149" t="b" cm="1">
        <f t="array" ref="BU149">IsPurple('Large Dataset'!U149)</f>
        <v>0</v>
      </c>
      <c r="BV149" t="b" cm="1">
        <f t="array" ref="BV149">IsGreen('Large Dataset'!U149)</f>
        <v>0</v>
      </c>
    </row>
    <row r="150" spans="7:74">
      <c r="G150" t="b" cm="1">
        <f t="array" ref="G150">IsRed('Large Dataset'!I150)</f>
        <v>0</v>
      </c>
      <c r="H150" t="b" cm="1">
        <f t="array" ref="H150">IsBlue('Large Dataset'!I150)</f>
        <v>0</v>
      </c>
      <c r="I150" t="b" cm="1">
        <f t="array" ref="I150">IsPurple('Large Dataset'!I150)</f>
        <v>0</v>
      </c>
      <c r="J150" t="b" cm="1">
        <f t="array" ref="J150">IsGreen('Large Dataset'!G150)</f>
        <v>0</v>
      </c>
      <c r="P150" t="b" cm="1">
        <f t="array" ref="P150">IsRed('Large Dataset'!K150)</f>
        <v>0</v>
      </c>
      <c r="Q150" t="b" cm="1">
        <f t="array" ref="Q150">IsBlue('Large Dataset'!K150)</f>
        <v>0</v>
      </c>
      <c r="R150" t="b" cm="1">
        <f t="array" ref="R150">IsPurple('Large Dataset'!K150)</f>
        <v>0</v>
      </c>
      <c r="S150" t="b" cm="1">
        <f t="array" ref="S150">IsGreen('Large Dataset'!K150)</f>
        <v>0</v>
      </c>
      <c r="Y150" t="b" cm="1">
        <f t="array" ref="Y150">IsRed('Large Dataset'!M150)</f>
        <v>0</v>
      </c>
      <c r="Z150" t="b" cm="1">
        <f t="array" ref="Z150">IsBlue('Large Dataset'!M150)</f>
        <v>0</v>
      </c>
      <c r="AA150" t="b" cm="1">
        <f t="array" ref="AA150">IsPurple('Large Dataset'!M150)</f>
        <v>0</v>
      </c>
      <c r="AB150" t="b" cm="1">
        <f t="array" ref="AB150">IsGreen('Large Dataset'!M150)</f>
        <v>0</v>
      </c>
      <c r="AH150" t="b" cm="1">
        <f t="array" ref="AH150">IsRed('Large Dataset'!O150)</f>
        <v>0</v>
      </c>
      <c r="AI150" t="b" cm="1">
        <f t="array" ref="AI150">IsBlue('Large Dataset'!O150)</f>
        <v>0</v>
      </c>
      <c r="AJ150" t="b" cm="1">
        <f t="array" ref="AJ150">IsPurple('Large Dataset'!O150)</f>
        <v>0</v>
      </c>
      <c r="AK150" t="b" cm="1">
        <f t="array" ref="AK150">IsGreen('Large Dataset'!O150)</f>
        <v>0</v>
      </c>
      <c r="AR150" t="b" cm="1">
        <f t="array" ref="AR150">IsRed('Large Dataset'!Q150)</f>
        <v>0</v>
      </c>
      <c r="AS150" t="b" cm="1">
        <f t="array" ref="AS150">IsBlue('Large Dataset'!Q150)</f>
        <v>0</v>
      </c>
      <c r="AT150" t="b" cm="1">
        <f t="array" ref="AT150">IsPurple('Large Dataset'!Q150)</f>
        <v>0</v>
      </c>
      <c r="AU150" t="b" cm="1">
        <f t="array" ref="AU150">IsGreen('Large Dataset'!Q150)</f>
        <v>0</v>
      </c>
      <c r="BA150" t="b" cm="1">
        <f t="array" ref="BA150">IsRed('Large Dataset'!R150)</f>
        <v>0</v>
      </c>
      <c r="BB150" t="b" cm="1">
        <f t="array" ref="BB150">IsBlue('Large Dataset'!R150)</f>
        <v>0</v>
      </c>
      <c r="BC150" t="b" cm="1">
        <f t="array" ref="BC150">IsPurple('Large Dataset'!R150)</f>
        <v>0</v>
      </c>
      <c r="BD150" t="b" cm="1">
        <f t="array" ref="BD150">IsGreen('Large Dataset'!R150)</f>
        <v>0</v>
      </c>
      <c r="BJ150" t="b" cm="1">
        <f t="array" ref="BJ150">IsRed('Large Dataset'!T150)</f>
        <v>0</v>
      </c>
      <c r="BK150" t="b" cm="1">
        <f t="array" ref="BK150">IsBlue('Large Dataset'!T150)</f>
        <v>0</v>
      </c>
      <c r="BL150" t="b" cm="1">
        <f t="array" ref="BL150">IsPurple('Large Dataset'!T150)</f>
        <v>0</v>
      </c>
      <c r="BM150" t="b" cm="1">
        <f t="array" ref="BM150">IsGreen('Large Dataset'!T150)</f>
        <v>0</v>
      </c>
      <c r="BS150" t="b" cm="1">
        <f t="array" ref="BS150">IsRed('Large Dataset'!U150)</f>
        <v>0</v>
      </c>
      <c r="BT150" t="b" cm="1">
        <f t="array" ref="BT150">IsBlue('Large Dataset'!U150)</f>
        <v>0</v>
      </c>
      <c r="BU150" t="b" cm="1">
        <f t="array" ref="BU150">IsPurple('Large Dataset'!U150)</f>
        <v>0</v>
      </c>
      <c r="BV150" t="b" cm="1">
        <f t="array" ref="BV150">IsGreen('Large Dataset'!U150)</f>
        <v>0</v>
      </c>
    </row>
    <row r="151" spans="7:74">
      <c r="G151" t="b" cm="1">
        <f t="array" ref="G151">IsRed('Large Dataset'!I151)</f>
        <v>0</v>
      </c>
      <c r="H151" t="b" cm="1">
        <f t="array" ref="H151">IsBlue('Large Dataset'!I151)</f>
        <v>0</v>
      </c>
      <c r="I151" t="b" cm="1">
        <f t="array" ref="I151">IsPurple('Large Dataset'!I151)</f>
        <v>0</v>
      </c>
      <c r="J151" t="b" cm="1">
        <f t="array" ref="J151">IsGreen('Large Dataset'!G151)</f>
        <v>0</v>
      </c>
      <c r="P151" t="b" cm="1">
        <f t="array" ref="P151">IsRed('Large Dataset'!K151)</f>
        <v>0</v>
      </c>
      <c r="Q151" t="b" cm="1">
        <f t="array" ref="Q151">IsBlue('Large Dataset'!K151)</f>
        <v>0</v>
      </c>
      <c r="R151" t="b" cm="1">
        <f t="array" ref="R151">IsPurple('Large Dataset'!K151)</f>
        <v>0</v>
      </c>
      <c r="S151" t="b" cm="1">
        <f t="array" ref="S151">IsGreen('Large Dataset'!K151)</f>
        <v>0</v>
      </c>
      <c r="Y151" t="b" cm="1">
        <f t="array" ref="Y151">IsRed('Large Dataset'!M151)</f>
        <v>0</v>
      </c>
      <c r="Z151" t="b" cm="1">
        <f t="array" ref="Z151">IsBlue('Large Dataset'!M151)</f>
        <v>0</v>
      </c>
      <c r="AA151" t="b" cm="1">
        <f t="array" ref="AA151">IsPurple('Large Dataset'!M151)</f>
        <v>0</v>
      </c>
      <c r="AB151" t="b" cm="1">
        <f t="array" ref="AB151">IsGreen('Large Dataset'!M151)</f>
        <v>0</v>
      </c>
      <c r="AH151" t="b" cm="1">
        <f t="array" ref="AH151">IsRed('Large Dataset'!O151)</f>
        <v>0</v>
      </c>
      <c r="AI151" t="b" cm="1">
        <f t="array" ref="AI151">IsBlue('Large Dataset'!O151)</f>
        <v>0</v>
      </c>
      <c r="AJ151" t="b" cm="1">
        <f t="array" ref="AJ151">IsPurple('Large Dataset'!O151)</f>
        <v>0</v>
      </c>
      <c r="AK151" t="b" cm="1">
        <f t="array" ref="AK151">IsGreen('Large Dataset'!O151)</f>
        <v>0</v>
      </c>
      <c r="AR151" t="b" cm="1">
        <f t="array" ref="AR151">IsRed('Large Dataset'!Q151)</f>
        <v>0</v>
      </c>
      <c r="AS151" t="b" cm="1">
        <f t="array" ref="AS151">IsBlue('Large Dataset'!Q151)</f>
        <v>0</v>
      </c>
      <c r="AT151" t="b" cm="1">
        <f t="array" ref="AT151">IsPurple('Large Dataset'!Q151)</f>
        <v>0</v>
      </c>
      <c r="AU151" t="b" cm="1">
        <f t="array" ref="AU151">IsGreen('Large Dataset'!Q151)</f>
        <v>0</v>
      </c>
      <c r="BA151" t="b" cm="1">
        <f t="array" ref="BA151">IsRed('Large Dataset'!R151)</f>
        <v>0</v>
      </c>
      <c r="BB151" t="b" cm="1">
        <f t="array" ref="BB151">IsBlue('Large Dataset'!R151)</f>
        <v>0</v>
      </c>
      <c r="BC151" t="b" cm="1">
        <f t="array" ref="BC151">IsPurple('Large Dataset'!R151)</f>
        <v>0</v>
      </c>
      <c r="BD151" t="b" cm="1">
        <f t="array" ref="BD151">IsGreen('Large Dataset'!R151)</f>
        <v>0</v>
      </c>
      <c r="BJ151" t="b" cm="1">
        <f t="array" ref="BJ151">IsRed('Large Dataset'!T151)</f>
        <v>0</v>
      </c>
      <c r="BK151" t="b" cm="1">
        <f t="array" ref="BK151">IsBlue('Large Dataset'!T151)</f>
        <v>0</v>
      </c>
      <c r="BL151" t="b" cm="1">
        <f t="array" ref="BL151">IsPurple('Large Dataset'!T151)</f>
        <v>0</v>
      </c>
      <c r="BM151" t="b" cm="1">
        <f t="array" ref="BM151">IsGreen('Large Dataset'!T151)</f>
        <v>0</v>
      </c>
      <c r="BS151" t="b" cm="1">
        <f t="array" ref="BS151">IsRed('Large Dataset'!U151)</f>
        <v>0</v>
      </c>
      <c r="BT151" t="b" cm="1">
        <f t="array" ref="BT151">IsBlue('Large Dataset'!U151)</f>
        <v>0</v>
      </c>
      <c r="BU151" t="b" cm="1">
        <f t="array" ref="BU151">IsPurple('Large Dataset'!U151)</f>
        <v>0</v>
      </c>
      <c r="BV151" t="b" cm="1">
        <f t="array" ref="BV151">IsGreen('Large Dataset'!U151)</f>
        <v>0</v>
      </c>
    </row>
    <row r="152" spans="7:74">
      <c r="G152" t="b" cm="1">
        <f t="array" ref="G152">IsRed('Large Dataset'!I152)</f>
        <v>0</v>
      </c>
      <c r="H152" t="b" cm="1">
        <f t="array" ref="H152">IsBlue('Large Dataset'!I152)</f>
        <v>0</v>
      </c>
      <c r="I152" t="b" cm="1">
        <f t="array" ref="I152">IsPurple('Large Dataset'!I152)</f>
        <v>0</v>
      </c>
      <c r="J152" t="b" cm="1">
        <f t="array" ref="J152">IsGreen('Large Dataset'!G152)</f>
        <v>0</v>
      </c>
      <c r="P152" t="b" cm="1">
        <f t="array" ref="P152">IsRed('Large Dataset'!K152)</f>
        <v>0</v>
      </c>
      <c r="Q152" t="b" cm="1">
        <f t="array" ref="Q152">IsBlue('Large Dataset'!K152)</f>
        <v>0</v>
      </c>
      <c r="R152" t="b" cm="1">
        <f t="array" ref="R152">IsPurple('Large Dataset'!K152)</f>
        <v>0</v>
      </c>
      <c r="S152" t="b" cm="1">
        <f t="array" ref="S152">IsGreen('Large Dataset'!K152)</f>
        <v>0</v>
      </c>
      <c r="Y152" t="b" cm="1">
        <f t="array" ref="Y152">IsRed('Large Dataset'!M152)</f>
        <v>0</v>
      </c>
      <c r="Z152" t="b" cm="1">
        <f t="array" ref="Z152">IsBlue('Large Dataset'!M152)</f>
        <v>0</v>
      </c>
      <c r="AA152" t="b" cm="1">
        <f t="array" ref="AA152">IsPurple('Large Dataset'!M152)</f>
        <v>0</v>
      </c>
      <c r="AB152" t="b" cm="1">
        <f t="array" ref="AB152">IsGreen('Large Dataset'!M152)</f>
        <v>0</v>
      </c>
      <c r="AH152" t="b" cm="1">
        <f t="array" ref="AH152">IsRed('Large Dataset'!O152)</f>
        <v>0</v>
      </c>
      <c r="AI152" t="b" cm="1">
        <f t="array" ref="AI152">IsBlue('Large Dataset'!O152)</f>
        <v>0</v>
      </c>
      <c r="AJ152" t="b" cm="1">
        <f t="array" ref="AJ152">IsPurple('Large Dataset'!O152)</f>
        <v>0</v>
      </c>
      <c r="AK152" t="b" cm="1">
        <f t="array" ref="AK152">IsGreen('Large Dataset'!O152)</f>
        <v>0</v>
      </c>
      <c r="AR152" t="b" cm="1">
        <f t="array" ref="AR152">IsRed('Large Dataset'!Q152)</f>
        <v>0</v>
      </c>
      <c r="AS152" t="b" cm="1">
        <f t="array" ref="AS152">IsBlue('Large Dataset'!Q152)</f>
        <v>0</v>
      </c>
      <c r="AT152" t="b" cm="1">
        <f t="array" ref="AT152">IsPurple('Large Dataset'!Q152)</f>
        <v>0</v>
      </c>
      <c r="AU152" t="b" cm="1">
        <f t="array" ref="AU152">IsGreen('Large Dataset'!Q152)</f>
        <v>0</v>
      </c>
      <c r="BA152" t="b" cm="1">
        <f t="array" ref="BA152">IsRed('Large Dataset'!R152)</f>
        <v>0</v>
      </c>
      <c r="BB152" t="b" cm="1">
        <f t="array" ref="BB152">IsBlue('Large Dataset'!R152)</f>
        <v>0</v>
      </c>
      <c r="BC152" t="b" cm="1">
        <f t="array" ref="BC152">IsPurple('Large Dataset'!R152)</f>
        <v>0</v>
      </c>
      <c r="BD152" t="b" cm="1">
        <f t="array" ref="BD152">IsGreen('Large Dataset'!R152)</f>
        <v>0</v>
      </c>
      <c r="BJ152" t="b" cm="1">
        <f t="array" ref="BJ152">IsRed('Large Dataset'!T152)</f>
        <v>0</v>
      </c>
      <c r="BK152" t="b" cm="1">
        <f t="array" ref="BK152">IsBlue('Large Dataset'!T152)</f>
        <v>0</v>
      </c>
      <c r="BL152" t="b" cm="1">
        <f t="array" ref="BL152">IsPurple('Large Dataset'!T152)</f>
        <v>0</v>
      </c>
      <c r="BM152" t="b" cm="1">
        <f t="array" ref="BM152">IsGreen('Large Dataset'!T152)</f>
        <v>0</v>
      </c>
      <c r="BS152" t="b" cm="1">
        <f t="array" ref="BS152">IsRed('Large Dataset'!U152)</f>
        <v>0</v>
      </c>
      <c r="BT152" t="b" cm="1">
        <f t="array" ref="BT152">IsBlue('Large Dataset'!U152)</f>
        <v>0</v>
      </c>
      <c r="BU152" t="b" cm="1">
        <f t="array" ref="BU152">IsPurple('Large Dataset'!U152)</f>
        <v>0</v>
      </c>
      <c r="BV152" t="b" cm="1">
        <f t="array" ref="BV152">IsGreen('Large Dataset'!U152)</f>
        <v>0</v>
      </c>
    </row>
    <row r="153" spans="7:74">
      <c r="G153" t="b" cm="1">
        <f t="array" ref="G153">IsRed('Large Dataset'!I153)</f>
        <v>0</v>
      </c>
      <c r="H153" t="b" cm="1">
        <f t="array" ref="H153">IsBlue('Large Dataset'!I153)</f>
        <v>0</v>
      </c>
      <c r="I153" t="b" cm="1">
        <f t="array" ref="I153">IsPurple('Large Dataset'!I153)</f>
        <v>0</v>
      </c>
      <c r="J153" t="b" cm="1">
        <f t="array" ref="J153">IsGreen('Large Dataset'!G153)</f>
        <v>0</v>
      </c>
      <c r="P153" t="b" cm="1">
        <f t="array" ref="P153">IsRed('Large Dataset'!K153)</f>
        <v>0</v>
      </c>
      <c r="Q153" t="b" cm="1">
        <f t="array" ref="Q153">IsBlue('Large Dataset'!K153)</f>
        <v>0</v>
      </c>
      <c r="R153" t="b" cm="1">
        <f t="array" ref="R153">IsPurple('Large Dataset'!K153)</f>
        <v>0</v>
      </c>
      <c r="S153" t="b" cm="1">
        <f t="array" ref="S153">IsGreen('Large Dataset'!K153)</f>
        <v>0</v>
      </c>
      <c r="Y153" t="b" cm="1">
        <f t="array" ref="Y153">IsRed('Large Dataset'!M153)</f>
        <v>0</v>
      </c>
      <c r="Z153" t="b" cm="1">
        <f t="array" ref="Z153">IsBlue('Large Dataset'!M153)</f>
        <v>0</v>
      </c>
      <c r="AA153" t="b" cm="1">
        <f t="array" ref="AA153">IsPurple('Large Dataset'!M153)</f>
        <v>0</v>
      </c>
      <c r="AB153" t="b" cm="1">
        <f t="array" ref="AB153">IsGreen('Large Dataset'!M153)</f>
        <v>0</v>
      </c>
      <c r="AH153" t="b" cm="1">
        <f t="array" ref="AH153">IsRed('Large Dataset'!O153)</f>
        <v>0</v>
      </c>
      <c r="AI153" t="b" cm="1">
        <f t="array" ref="AI153">IsBlue('Large Dataset'!O153)</f>
        <v>0</v>
      </c>
      <c r="AJ153" t="b" cm="1">
        <f t="array" ref="AJ153">IsPurple('Large Dataset'!O153)</f>
        <v>0</v>
      </c>
      <c r="AK153" t="b" cm="1">
        <f t="array" ref="AK153">IsGreen('Large Dataset'!O153)</f>
        <v>0</v>
      </c>
      <c r="AR153" t="b" cm="1">
        <f t="array" ref="AR153">IsRed('Large Dataset'!Q153)</f>
        <v>0</v>
      </c>
      <c r="AS153" t="b" cm="1">
        <f t="array" ref="AS153">IsBlue('Large Dataset'!Q153)</f>
        <v>0</v>
      </c>
      <c r="AT153" t="b" cm="1">
        <f t="array" ref="AT153">IsPurple('Large Dataset'!Q153)</f>
        <v>0</v>
      </c>
      <c r="AU153" t="b" cm="1">
        <f t="array" ref="AU153">IsGreen('Large Dataset'!Q153)</f>
        <v>0</v>
      </c>
      <c r="BA153" t="b" cm="1">
        <f t="array" ref="BA153">IsRed('Large Dataset'!R153)</f>
        <v>0</v>
      </c>
      <c r="BB153" t="b" cm="1">
        <f t="array" ref="BB153">IsBlue('Large Dataset'!R153)</f>
        <v>0</v>
      </c>
      <c r="BC153" t="b" cm="1">
        <f t="array" ref="BC153">IsPurple('Large Dataset'!R153)</f>
        <v>0</v>
      </c>
      <c r="BD153" t="b" cm="1">
        <f t="array" ref="BD153">IsGreen('Large Dataset'!R153)</f>
        <v>0</v>
      </c>
      <c r="BJ153" t="b" cm="1">
        <f t="array" ref="BJ153">IsRed('Large Dataset'!T153)</f>
        <v>0</v>
      </c>
      <c r="BK153" t="b" cm="1">
        <f t="array" ref="BK153">IsBlue('Large Dataset'!T153)</f>
        <v>0</v>
      </c>
      <c r="BL153" t="b" cm="1">
        <f t="array" ref="BL153">IsPurple('Large Dataset'!T153)</f>
        <v>0</v>
      </c>
      <c r="BM153" t="b" cm="1">
        <f t="array" ref="BM153">IsGreen('Large Dataset'!T153)</f>
        <v>0</v>
      </c>
      <c r="BS153" t="b" cm="1">
        <f t="array" ref="BS153">IsRed('Large Dataset'!U153)</f>
        <v>0</v>
      </c>
      <c r="BT153" t="b" cm="1">
        <f t="array" ref="BT153">IsBlue('Large Dataset'!U153)</f>
        <v>0</v>
      </c>
      <c r="BU153" t="b" cm="1">
        <f t="array" ref="BU153">IsPurple('Large Dataset'!U153)</f>
        <v>0</v>
      </c>
      <c r="BV153" t="b" cm="1">
        <f t="array" ref="BV153">IsGreen('Large Dataset'!U153)</f>
        <v>0</v>
      </c>
    </row>
    <row r="154" spans="7:74">
      <c r="G154" t="b" cm="1">
        <f t="array" ref="G154">IsRed('Large Dataset'!I154)</f>
        <v>0</v>
      </c>
      <c r="H154" t="b" cm="1">
        <f t="array" ref="H154">IsBlue('Large Dataset'!I154)</f>
        <v>0</v>
      </c>
      <c r="I154" t="b" cm="1">
        <f t="array" ref="I154">IsPurple('Large Dataset'!I154)</f>
        <v>0</v>
      </c>
      <c r="J154" t="b" cm="1">
        <f t="array" ref="J154">IsGreen('Large Dataset'!G154)</f>
        <v>0</v>
      </c>
      <c r="P154" t="b" cm="1">
        <f t="array" ref="P154">IsRed('Large Dataset'!K154)</f>
        <v>0</v>
      </c>
      <c r="Q154" t="b" cm="1">
        <f t="array" ref="Q154">IsBlue('Large Dataset'!K154)</f>
        <v>0</v>
      </c>
      <c r="R154" t="b" cm="1">
        <f t="array" ref="R154">IsPurple('Large Dataset'!K154)</f>
        <v>0</v>
      </c>
      <c r="S154" t="b" cm="1">
        <f t="array" ref="S154">IsGreen('Large Dataset'!K154)</f>
        <v>0</v>
      </c>
      <c r="Y154" t="b" cm="1">
        <f t="array" ref="Y154">IsRed('Large Dataset'!M154)</f>
        <v>0</v>
      </c>
      <c r="Z154" t="b" cm="1">
        <f t="array" ref="Z154">IsBlue('Large Dataset'!M154)</f>
        <v>0</v>
      </c>
      <c r="AA154" t="b" cm="1">
        <f t="array" ref="AA154">IsPurple('Large Dataset'!M154)</f>
        <v>0</v>
      </c>
      <c r="AB154" t="b" cm="1">
        <f t="array" ref="AB154">IsGreen('Large Dataset'!M154)</f>
        <v>0</v>
      </c>
      <c r="AH154" t="b" cm="1">
        <f t="array" ref="AH154">IsRed('Large Dataset'!O154)</f>
        <v>0</v>
      </c>
      <c r="AI154" t="b" cm="1">
        <f t="array" ref="AI154">IsBlue('Large Dataset'!O154)</f>
        <v>0</v>
      </c>
      <c r="AJ154" t="b" cm="1">
        <f t="array" ref="AJ154">IsPurple('Large Dataset'!O154)</f>
        <v>0</v>
      </c>
      <c r="AK154" t="b" cm="1">
        <f t="array" ref="AK154">IsGreen('Large Dataset'!O154)</f>
        <v>0</v>
      </c>
      <c r="AR154" t="b" cm="1">
        <f t="array" ref="AR154">IsRed('Large Dataset'!Q154)</f>
        <v>0</v>
      </c>
      <c r="AS154" t="b" cm="1">
        <f t="array" ref="AS154">IsBlue('Large Dataset'!Q154)</f>
        <v>0</v>
      </c>
      <c r="AT154" t="b" cm="1">
        <f t="array" ref="AT154">IsPurple('Large Dataset'!Q154)</f>
        <v>0</v>
      </c>
      <c r="AU154" t="b" cm="1">
        <f t="array" ref="AU154">IsGreen('Large Dataset'!Q154)</f>
        <v>0</v>
      </c>
      <c r="BA154" t="b" cm="1">
        <f t="array" ref="BA154">IsRed('Large Dataset'!R154)</f>
        <v>0</v>
      </c>
      <c r="BB154" t="b" cm="1">
        <f t="array" ref="BB154">IsBlue('Large Dataset'!R154)</f>
        <v>0</v>
      </c>
      <c r="BC154" t="b" cm="1">
        <f t="array" ref="BC154">IsPurple('Large Dataset'!R154)</f>
        <v>0</v>
      </c>
      <c r="BD154" t="b" cm="1">
        <f t="array" ref="BD154">IsGreen('Large Dataset'!R154)</f>
        <v>0</v>
      </c>
      <c r="BJ154" t="b" cm="1">
        <f t="array" ref="BJ154">IsRed('Large Dataset'!T154)</f>
        <v>0</v>
      </c>
      <c r="BK154" t="b" cm="1">
        <f t="array" ref="BK154">IsBlue('Large Dataset'!T154)</f>
        <v>0</v>
      </c>
      <c r="BL154" t="b" cm="1">
        <f t="array" ref="BL154">IsPurple('Large Dataset'!T154)</f>
        <v>0</v>
      </c>
      <c r="BM154" t="b" cm="1">
        <f t="array" ref="BM154">IsGreen('Large Dataset'!T154)</f>
        <v>0</v>
      </c>
      <c r="BS154" t="b" cm="1">
        <f t="array" ref="BS154">IsRed('Large Dataset'!U154)</f>
        <v>0</v>
      </c>
      <c r="BT154" t="b" cm="1">
        <f t="array" ref="BT154">IsBlue('Large Dataset'!U154)</f>
        <v>0</v>
      </c>
      <c r="BU154" t="b" cm="1">
        <f t="array" ref="BU154">IsPurple('Large Dataset'!U154)</f>
        <v>0</v>
      </c>
      <c r="BV154" t="b" cm="1">
        <f t="array" ref="BV154">IsGreen('Large Dataset'!U154)</f>
        <v>0</v>
      </c>
    </row>
    <row r="155" spans="7:74">
      <c r="G155" t="b" cm="1">
        <f t="array" ref="G155">IsRed('Large Dataset'!I155)</f>
        <v>0</v>
      </c>
      <c r="H155" t="b" cm="1">
        <f t="array" ref="H155">IsBlue('Large Dataset'!I155)</f>
        <v>0</v>
      </c>
      <c r="I155" t="b" cm="1">
        <f t="array" ref="I155">IsPurple('Large Dataset'!I155)</f>
        <v>0</v>
      </c>
      <c r="J155" t="b" cm="1">
        <f t="array" ref="J155">IsGreen('Large Dataset'!G155)</f>
        <v>0</v>
      </c>
      <c r="P155" t="b" cm="1">
        <f t="array" ref="P155">IsRed('Large Dataset'!K155)</f>
        <v>0</v>
      </c>
      <c r="Q155" t="b" cm="1">
        <f t="array" ref="Q155">IsBlue('Large Dataset'!K155)</f>
        <v>0</v>
      </c>
      <c r="R155" t="b" cm="1">
        <f t="array" ref="R155">IsPurple('Large Dataset'!K155)</f>
        <v>0</v>
      </c>
      <c r="S155" t="b" cm="1">
        <f t="array" ref="S155">IsGreen('Large Dataset'!K155)</f>
        <v>0</v>
      </c>
      <c r="Y155" t="b" cm="1">
        <f t="array" ref="Y155">IsRed('Large Dataset'!M155)</f>
        <v>0</v>
      </c>
      <c r="Z155" t="b" cm="1">
        <f t="array" ref="Z155">IsBlue('Large Dataset'!M155)</f>
        <v>0</v>
      </c>
      <c r="AA155" t="b" cm="1">
        <f t="array" ref="AA155">IsPurple('Large Dataset'!M155)</f>
        <v>0</v>
      </c>
      <c r="AB155" t="b" cm="1">
        <f t="array" ref="AB155">IsGreen('Large Dataset'!M155)</f>
        <v>0</v>
      </c>
      <c r="AH155" t="b" cm="1">
        <f t="array" ref="AH155">IsRed('Large Dataset'!O155)</f>
        <v>0</v>
      </c>
      <c r="AI155" t="b" cm="1">
        <f t="array" ref="AI155">IsBlue('Large Dataset'!O155)</f>
        <v>0</v>
      </c>
      <c r="AJ155" t="b" cm="1">
        <f t="array" ref="AJ155">IsPurple('Large Dataset'!O155)</f>
        <v>0</v>
      </c>
      <c r="AK155" t="b" cm="1">
        <f t="array" ref="AK155">IsGreen('Large Dataset'!O155)</f>
        <v>0</v>
      </c>
      <c r="AR155" t="b" cm="1">
        <f t="array" ref="AR155">IsRed('Large Dataset'!Q155)</f>
        <v>0</v>
      </c>
      <c r="AS155" t="b" cm="1">
        <f t="array" ref="AS155">IsBlue('Large Dataset'!Q155)</f>
        <v>0</v>
      </c>
      <c r="AT155" t="b" cm="1">
        <f t="array" ref="AT155">IsPurple('Large Dataset'!Q155)</f>
        <v>0</v>
      </c>
      <c r="AU155" t="b" cm="1">
        <f t="array" ref="AU155">IsGreen('Large Dataset'!Q155)</f>
        <v>0</v>
      </c>
      <c r="BA155" t="b" cm="1">
        <f t="array" ref="BA155">IsRed('Large Dataset'!R155)</f>
        <v>0</v>
      </c>
      <c r="BB155" t="b" cm="1">
        <f t="array" ref="BB155">IsBlue('Large Dataset'!R155)</f>
        <v>0</v>
      </c>
      <c r="BC155" t="b" cm="1">
        <f t="array" ref="BC155">IsPurple('Large Dataset'!R155)</f>
        <v>0</v>
      </c>
      <c r="BD155" t="b" cm="1">
        <f t="array" ref="BD155">IsGreen('Large Dataset'!R155)</f>
        <v>0</v>
      </c>
      <c r="BJ155" t="b" cm="1">
        <f t="array" ref="BJ155">IsRed('Large Dataset'!T155)</f>
        <v>0</v>
      </c>
      <c r="BK155" t="b" cm="1">
        <f t="array" ref="BK155">IsBlue('Large Dataset'!T155)</f>
        <v>0</v>
      </c>
      <c r="BL155" t="b" cm="1">
        <f t="array" ref="BL155">IsPurple('Large Dataset'!T155)</f>
        <v>0</v>
      </c>
      <c r="BM155" t="b" cm="1">
        <f t="array" ref="BM155">IsGreen('Large Dataset'!T155)</f>
        <v>0</v>
      </c>
      <c r="BS155" t="b" cm="1">
        <f t="array" ref="BS155">IsRed('Large Dataset'!U155)</f>
        <v>0</v>
      </c>
      <c r="BT155" t="b" cm="1">
        <f t="array" ref="BT155">IsBlue('Large Dataset'!U155)</f>
        <v>0</v>
      </c>
      <c r="BU155" t="b" cm="1">
        <f t="array" ref="BU155">IsPurple('Large Dataset'!U155)</f>
        <v>0</v>
      </c>
      <c r="BV155" t="b" cm="1">
        <f t="array" ref="BV155">IsGreen('Large Dataset'!U155)</f>
        <v>0</v>
      </c>
    </row>
    <row r="156" spans="7:74">
      <c r="G156" t="b" cm="1">
        <f t="array" ref="G156">IsRed('Large Dataset'!I156)</f>
        <v>0</v>
      </c>
      <c r="H156" t="b" cm="1">
        <f t="array" ref="H156">IsBlue('Large Dataset'!I156)</f>
        <v>0</v>
      </c>
      <c r="I156" t="b" cm="1">
        <f t="array" ref="I156">IsPurple('Large Dataset'!I156)</f>
        <v>0</v>
      </c>
      <c r="J156" t="b" cm="1">
        <f t="array" ref="J156">IsGreen('Large Dataset'!G156)</f>
        <v>0</v>
      </c>
      <c r="P156" t="b" cm="1">
        <f t="array" ref="P156">IsRed('Large Dataset'!K156)</f>
        <v>0</v>
      </c>
      <c r="Q156" t="b" cm="1">
        <f t="array" ref="Q156">IsBlue('Large Dataset'!K156)</f>
        <v>0</v>
      </c>
      <c r="R156" t="b" cm="1">
        <f t="array" ref="R156">IsPurple('Large Dataset'!K156)</f>
        <v>0</v>
      </c>
      <c r="S156" t="b" cm="1">
        <f t="array" ref="S156">IsGreen('Large Dataset'!K156)</f>
        <v>0</v>
      </c>
      <c r="Y156" t="b" cm="1">
        <f t="array" ref="Y156">IsRed('Large Dataset'!M156)</f>
        <v>0</v>
      </c>
      <c r="Z156" t="b" cm="1">
        <f t="array" ref="Z156">IsBlue('Large Dataset'!M156)</f>
        <v>0</v>
      </c>
      <c r="AA156" t="b" cm="1">
        <f t="array" ref="AA156">IsPurple('Large Dataset'!M156)</f>
        <v>0</v>
      </c>
      <c r="AB156" t="b" cm="1">
        <f t="array" ref="AB156">IsGreen('Large Dataset'!M156)</f>
        <v>0</v>
      </c>
      <c r="AH156" t="b" cm="1">
        <f t="array" ref="AH156">IsRed('Large Dataset'!O156)</f>
        <v>0</v>
      </c>
      <c r="AI156" t="b" cm="1">
        <f t="array" ref="AI156">IsBlue('Large Dataset'!O156)</f>
        <v>0</v>
      </c>
      <c r="AJ156" t="b" cm="1">
        <f t="array" ref="AJ156">IsPurple('Large Dataset'!O156)</f>
        <v>0</v>
      </c>
      <c r="AK156" t="b" cm="1">
        <f t="array" ref="AK156">IsGreen('Large Dataset'!O156)</f>
        <v>0</v>
      </c>
      <c r="AR156" t="b" cm="1">
        <f t="array" ref="AR156">IsRed('Large Dataset'!Q156)</f>
        <v>0</v>
      </c>
      <c r="AS156" t="b" cm="1">
        <f t="array" ref="AS156">IsBlue('Large Dataset'!Q156)</f>
        <v>0</v>
      </c>
      <c r="AT156" t="b" cm="1">
        <f t="array" ref="AT156">IsPurple('Large Dataset'!Q156)</f>
        <v>0</v>
      </c>
      <c r="AU156" t="b" cm="1">
        <f t="array" ref="AU156">IsGreen('Large Dataset'!Q156)</f>
        <v>0</v>
      </c>
      <c r="BA156" t="b" cm="1">
        <f t="array" ref="BA156">IsRed('Large Dataset'!R156)</f>
        <v>0</v>
      </c>
      <c r="BB156" t="b" cm="1">
        <f t="array" ref="BB156">IsBlue('Large Dataset'!R156)</f>
        <v>0</v>
      </c>
      <c r="BC156" t="b" cm="1">
        <f t="array" ref="BC156">IsPurple('Large Dataset'!R156)</f>
        <v>0</v>
      </c>
      <c r="BD156" t="b" cm="1">
        <f t="array" ref="BD156">IsGreen('Large Dataset'!R156)</f>
        <v>0</v>
      </c>
      <c r="BJ156" t="b" cm="1">
        <f t="array" ref="BJ156">IsRed('Large Dataset'!T156)</f>
        <v>0</v>
      </c>
      <c r="BK156" t="b" cm="1">
        <f t="array" ref="BK156">IsBlue('Large Dataset'!T156)</f>
        <v>0</v>
      </c>
      <c r="BL156" t="b" cm="1">
        <f t="array" ref="BL156">IsPurple('Large Dataset'!T156)</f>
        <v>0</v>
      </c>
      <c r="BM156" t="b" cm="1">
        <f t="array" ref="BM156">IsGreen('Large Dataset'!T156)</f>
        <v>0</v>
      </c>
      <c r="BS156" t="b" cm="1">
        <f t="array" ref="BS156">IsRed('Large Dataset'!U156)</f>
        <v>0</v>
      </c>
      <c r="BT156" t="b" cm="1">
        <f t="array" ref="BT156">IsBlue('Large Dataset'!U156)</f>
        <v>0</v>
      </c>
      <c r="BU156" t="b" cm="1">
        <f t="array" ref="BU156">IsPurple('Large Dataset'!U156)</f>
        <v>0</v>
      </c>
      <c r="BV156" t="b" cm="1">
        <f t="array" ref="BV156">IsGreen('Large Dataset'!U156)</f>
        <v>0</v>
      </c>
    </row>
    <row r="157" spans="7:74">
      <c r="G157" t="b" cm="1">
        <f t="array" ref="G157">IsRed('Large Dataset'!I157)</f>
        <v>0</v>
      </c>
      <c r="H157" t="b" cm="1">
        <f t="array" ref="H157">IsBlue('Large Dataset'!I157)</f>
        <v>0</v>
      </c>
      <c r="I157" t="b" cm="1">
        <f t="array" ref="I157">IsPurple('Large Dataset'!I157)</f>
        <v>0</v>
      </c>
      <c r="J157" t="b" cm="1">
        <f t="array" ref="J157">IsGreen('Large Dataset'!G157)</f>
        <v>0</v>
      </c>
      <c r="P157" t="b" cm="1">
        <f t="array" ref="P157">IsRed('Large Dataset'!K157)</f>
        <v>0</v>
      </c>
      <c r="Q157" t="b" cm="1">
        <f t="array" ref="Q157">IsBlue('Large Dataset'!K157)</f>
        <v>0</v>
      </c>
      <c r="R157" t="b" cm="1">
        <f t="array" ref="R157">IsPurple('Large Dataset'!K157)</f>
        <v>0</v>
      </c>
      <c r="S157" t="b" cm="1">
        <f t="array" ref="S157">IsGreen('Large Dataset'!K157)</f>
        <v>0</v>
      </c>
      <c r="Y157" t="b" cm="1">
        <f t="array" ref="Y157">IsRed('Large Dataset'!M157)</f>
        <v>0</v>
      </c>
      <c r="Z157" t="b" cm="1">
        <f t="array" ref="Z157">IsBlue('Large Dataset'!M157)</f>
        <v>0</v>
      </c>
      <c r="AA157" t="b" cm="1">
        <f t="array" ref="AA157">IsPurple('Large Dataset'!M157)</f>
        <v>0</v>
      </c>
      <c r="AB157" t="b" cm="1">
        <f t="array" ref="AB157">IsGreen('Large Dataset'!M157)</f>
        <v>0</v>
      </c>
      <c r="AH157" t="b" cm="1">
        <f t="array" ref="AH157">IsRed('Large Dataset'!O157)</f>
        <v>0</v>
      </c>
      <c r="AI157" t="b" cm="1">
        <f t="array" ref="AI157">IsBlue('Large Dataset'!O157)</f>
        <v>0</v>
      </c>
      <c r="AJ157" t="b" cm="1">
        <f t="array" ref="AJ157">IsPurple('Large Dataset'!O157)</f>
        <v>0</v>
      </c>
      <c r="AK157" t="b" cm="1">
        <f t="array" ref="AK157">IsGreen('Large Dataset'!O157)</f>
        <v>0</v>
      </c>
      <c r="AR157" t="b" cm="1">
        <f t="array" ref="AR157">IsRed('Large Dataset'!Q157)</f>
        <v>0</v>
      </c>
      <c r="AS157" t="b" cm="1">
        <f t="array" ref="AS157">IsBlue('Large Dataset'!Q157)</f>
        <v>0</v>
      </c>
      <c r="AT157" t="b" cm="1">
        <f t="array" ref="AT157">IsPurple('Large Dataset'!Q157)</f>
        <v>0</v>
      </c>
      <c r="AU157" t="b" cm="1">
        <f t="array" ref="AU157">IsGreen('Large Dataset'!Q157)</f>
        <v>0</v>
      </c>
      <c r="BA157" t="b" cm="1">
        <f t="array" ref="BA157">IsRed('Large Dataset'!R157)</f>
        <v>0</v>
      </c>
      <c r="BB157" t="b" cm="1">
        <f t="array" ref="BB157">IsBlue('Large Dataset'!R157)</f>
        <v>0</v>
      </c>
      <c r="BC157" t="b" cm="1">
        <f t="array" ref="BC157">IsPurple('Large Dataset'!R157)</f>
        <v>0</v>
      </c>
      <c r="BD157" t="b" cm="1">
        <f t="array" ref="BD157">IsGreen('Large Dataset'!R157)</f>
        <v>0</v>
      </c>
      <c r="BJ157" t="b" cm="1">
        <f t="array" ref="BJ157">IsRed('Large Dataset'!T157)</f>
        <v>0</v>
      </c>
      <c r="BK157" t="b" cm="1">
        <f t="array" ref="BK157">IsBlue('Large Dataset'!T157)</f>
        <v>0</v>
      </c>
      <c r="BL157" t="b" cm="1">
        <f t="array" ref="BL157">IsPurple('Large Dataset'!T157)</f>
        <v>0</v>
      </c>
      <c r="BM157" t="b" cm="1">
        <f t="array" ref="BM157">IsGreen('Large Dataset'!T157)</f>
        <v>0</v>
      </c>
      <c r="BS157" t="b" cm="1">
        <f t="array" ref="BS157">IsRed('Large Dataset'!U157)</f>
        <v>0</v>
      </c>
      <c r="BT157" t="b" cm="1">
        <f t="array" ref="BT157">IsBlue('Large Dataset'!U157)</f>
        <v>0</v>
      </c>
      <c r="BU157" t="b" cm="1">
        <f t="array" ref="BU157">IsPurple('Large Dataset'!U157)</f>
        <v>0</v>
      </c>
      <c r="BV157" t="b" cm="1">
        <f t="array" ref="BV157">IsGreen('Large Dataset'!U157)</f>
        <v>0</v>
      </c>
    </row>
    <row r="158" spans="7:74">
      <c r="G158" t="b" cm="1">
        <f t="array" ref="G158">IsRed('Large Dataset'!I158)</f>
        <v>0</v>
      </c>
      <c r="H158" t="b" cm="1">
        <f t="array" ref="H158">IsBlue('Large Dataset'!I158)</f>
        <v>0</v>
      </c>
      <c r="I158" t="b" cm="1">
        <f t="array" ref="I158">IsPurple('Large Dataset'!I158)</f>
        <v>0</v>
      </c>
      <c r="J158" t="b" cm="1">
        <f t="array" ref="J158">IsGreen('Large Dataset'!G158)</f>
        <v>0</v>
      </c>
      <c r="P158" t="b" cm="1">
        <f t="array" ref="P158">IsRed('Large Dataset'!K158)</f>
        <v>0</v>
      </c>
      <c r="Q158" t="b" cm="1">
        <f t="array" ref="Q158">IsBlue('Large Dataset'!K158)</f>
        <v>0</v>
      </c>
      <c r="R158" t="b" cm="1">
        <f t="array" ref="R158">IsPurple('Large Dataset'!K158)</f>
        <v>0</v>
      </c>
      <c r="S158" t="b" cm="1">
        <f t="array" ref="S158">IsGreen('Large Dataset'!K158)</f>
        <v>0</v>
      </c>
      <c r="Y158" t="b" cm="1">
        <f t="array" ref="Y158">IsRed('Large Dataset'!M158)</f>
        <v>0</v>
      </c>
      <c r="Z158" t="b" cm="1">
        <f t="array" ref="Z158">IsBlue('Large Dataset'!M158)</f>
        <v>0</v>
      </c>
      <c r="AA158" t="b" cm="1">
        <f t="array" ref="AA158">IsPurple('Large Dataset'!M158)</f>
        <v>0</v>
      </c>
      <c r="AB158" t="b" cm="1">
        <f t="array" ref="AB158">IsGreen('Large Dataset'!M158)</f>
        <v>0</v>
      </c>
      <c r="AH158" t="b" cm="1">
        <f t="array" ref="AH158">IsRed('Large Dataset'!O158)</f>
        <v>0</v>
      </c>
      <c r="AI158" t="b" cm="1">
        <f t="array" ref="AI158">IsBlue('Large Dataset'!O158)</f>
        <v>0</v>
      </c>
      <c r="AJ158" t="b" cm="1">
        <f t="array" ref="AJ158">IsPurple('Large Dataset'!O158)</f>
        <v>0</v>
      </c>
      <c r="AK158" t="b" cm="1">
        <f t="array" ref="AK158">IsGreen('Large Dataset'!O158)</f>
        <v>0</v>
      </c>
      <c r="AR158" t="b" cm="1">
        <f t="array" ref="AR158">IsRed('Large Dataset'!Q158)</f>
        <v>0</v>
      </c>
      <c r="AS158" t="b" cm="1">
        <f t="array" ref="AS158">IsBlue('Large Dataset'!Q158)</f>
        <v>0</v>
      </c>
      <c r="AT158" t="b" cm="1">
        <f t="array" ref="AT158">IsPurple('Large Dataset'!Q158)</f>
        <v>0</v>
      </c>
      <c r="AU158" t="b" cm="1">
        <f t="array" ref="AU158">IsGreen('Large Dataset'!Q158)</f>
        <v>0</v>
      </c>
      <c r="BA158" t="b" cm="1">
        <f t="array" ref="BA158">IsRed('Large Dataset'!R158)</f>
        <v>0</v>
      </c>
      <c r="BB158" t="b" cm="1">
        <f t="array" ref="BB158">IsBlue('Large Dataset'!R158)</f>
        <v>0</v>
      </c>
      <c r="BC158" t="b" cm="1">
        <f t="array" ref="BC158">IsPurple('Large Dataset'!R158)</f>
        <v>0</v>
      </c>
      <c r="BD158" t="b" cm="1">
        <f t="array" ref="BD158">IsGreen('Large Dataset'!R158)</f>
        <v>0</v>
      </c>
      <c r="BJ158" t="b" cm="1">
        <f t="array" ref="BJ158">IsRed('Large Dataset'!T158)</f>
        <v>0</v>
      </c>
      <c r="BK158" t="b" cm="1">
        <f t="array" ref="BK158">IsBlue('Large Dataset'!T158)</f>
        <v>0</v>
      </c>
      <c r="BL158" t="b" cm="1">
        <f t="array" ref="BL158">IsPurple('Large Dataset'!T158)</f>
        <v>0</v>
      </c>
      <c r="BM158" t="b" cm="1">
        <f t="array" ref="BM158">IsGreen('Large Dataset'!T158)</f>
        <v>0</v>
      </c>
      <c r="BS158" t="b" cm="1">
        <f t="array" ref="BS158">IsRed('Large Dataset'!U158)</f>
        <v>0</v>
      </c>
      <c r="BT158" t="b" cm="1">
        <f t="array" ref="BT158">IsBlue('Large Dataset'!U158)</f>
        <v>0</v>
      </c>
      <c r="BU158" t="b" cm="1">
        <f t="array" ref="BU158">IsPurple('Large Dataset'!U158)</f>
        <v>0</v>
      </c>
      <c r="BV158" t="b" cm="1">
        <f t="array" ref="BV158">IsGreen('Large Dataset'!U158)</f>
        <v>0</v>
      </c>
    </row>
    <row r="159" spans="7:74">
      <c r="G159" t="b" cm="1">
        <f t="array" ref="G159">IsRed('Large Dataset'!I159)</f>
        <v>0</v>
      </c>
      <c r="H159" t="b" cm="1">
        <f t="array" ref="H159">IsBlue('Large Dataset'!I159)</f>
        <v>0</v>
      </c>
      <c r="I159" t="b" cm="1">
        <f t="array" ref="I159">IsPurple('Large Dataset'!I159)</f>
        <v>0</v>
      </c>
      <c r="J159" t="b" cm="1">
        <f t="array" ref="J159">IsGreen('Large Dataset'!G159)</f>
        <v>0</v>
      </c>
      <c r="P159" t="b" cm="1">
        <f t="array" ref="P159">IsRed('Large Dataset'!K159)</f>
        <v>0</v>
      </c>
      <c r="Q159" t="b" cm="1">
        <f t="array" ref="Q159">IsBlue('Large Dataset'!K159)</f>
        <v>0</v>
      </c>
      <c r="R159" t="b" cm="1">
        <f t="array" ref="R159">IsPurple('Large Dataset'!K159)</f>
        <v>0</v>
      </c>
      <c r="S159" t="b" cm="1">
        <f t="array" ref="S159">IsGreen('Large Dataset'!K159)</f>
        <v>0</v>
      </c>
      <c r="Y159" t="b" cm="1">
        <f t="array" ref="Y159">IsRed('Large Dataset'!M159)</f>
        <v>0</v>
      </c>
      <c r="Z159" t="b" cm="1">
        <f t="array" ref="Z159">IsBlue('Large Dataset'!M159)</f>
        <v>0</v>
      </c>
      <c r="AA159" t="b" cm="1">
        <f t="array" ref="AA159">IsPurple('Large Dataset'!M159)</f>
        <v>0</v>
      </c>
      <c r="AB159" t="b" cm="1">
        <f t="array" ref="AB159">IsGreen('Large Dataset'!M159)</f>
        <v>0</v>
      </c>
      <c r="AH159" t="b" cm="1">
        <f t="array" ref="AH159">IsRed('Large Dataset'!O159)</f>
        <v>0</v>
      </c>
      <c r="AI159" t="b" cm="1">
        <f t="array" ref="AI159">IsBlue('Large Dataset'!O159)</f>
        <v>0</v>
      </c>
      <c r="AJ159" t="b" cm="1">
        <f t="array" ref="AJ159">IsPurple('Large Dataset'!O159)</f>
        <v>0</v>
      </c>
      <c r="AK159" t="b" cm="1">
        <f t="array" ref="AK159">IsGreen('Large Dataset'!O159)</f>
        <v>0</v>
      </c>
      <c r="AR159" t="b" cm="1">
        <f t="array" ref="AR159">IsRed('Large Dataset'!Q159)</f>
        <v>0</v>
      </c>
      <c r="AS159" t="b" cm="1">
        <f t="array" ref="AS159">IsBlue('Large Dataset'!Q159)</f>
        <v>0</v>
      </c>
      <c r="AT159" t="b" cm="1">
        <f t="array" ref="AT159">IsPurple('Large Dataset'!Q159)</f>
        <v>0</v>
      </c>
      <c r="AU159" t="b" cm="1">
        <f t="array" ref="AU159">IsGreen('Large Dataset'!Q159)</f>
        <v>0</v>
      </c>
      <c r="BA159" t="b" cm="1">
        <f t="array" ref="BA159">IsRed('Large Dataset'!R159)</f>
        <v>0</v>
      </c>
      <c r="BB159" t="b" cm="1">
        <f t="array" ref="BB159">IsBlue('Large Dataset'!R159)</f>
        <v>0</v>
      </c>
      <c r="BC159" t="b" cm="1">
        <f t="array" ref="BC159">IsPurple('Large Dataset'!R159)</f>
        <v>0</v>
      </c>
      <c r="BD159" t="b" cm="1">
        <f t="array" ref="BD159">IsGreen('Large Dataset'!R159)</f>
        <v>0</v>
      </c>
      <c r="BJ159" t="b" cm="1">
        <f t="array" ref="BJ159">IsRed('Large Dataset'!T159)</f>
        <v>0</v>
      </c>
      <c r="BK159" t="b" cm="1">
        <f t="array" ref="BK159">IsBlue('Large Dataset'!T159)</f>
        <v>0</v>
      </c>
      <c r="BL159" t="b" cm="1">
        <f t="array" ref="BL159">IsPurple('Large Dataset'!T159)</f>
        <v>0</v>
      </c>
      <c r="BM159" t="b" cm="1">
        <f t="array" ref="BM159">IsGreen('Large Dataset'!T159)</f>
        <v>0</v>
      </c>
      <c r="BS159" t="b" cm="1">
        <f t="array" ref="BS159">IsRed('Large Dataset'!U159)</f>
        <v>0</v>
      </c>
      <c r="BT159" t="b" cm="1">
        <f t="array" ref="BT159">IsBlue('Large Dataset'!U159)</f>
        <v>0</v>
      </c>
      <c r="BU159" t="b" cm="1">
        <f t="array" ref="BU159">IsPurple('Large Dataset'!U159)</f>
        <v>0</v>
      </c>
      <c r="BV159" t="b" cm="1">
        <f t="array" ref="BV159">IsGreen('Large Dataset'!U159)</f>
        <v>0</v>
      </c>
    </row>
    <row r="160" spans="7:74">
      <c r="G160" t="b" cm="1">
        <f t="array" ref="G160">IsRed('Large Dataset'!I160)</f>
        <v>0</v>
      </c>
      <c r="H160" t="b" cm="1">
        <f t="array" ref="H160">IsBlue('Large Dataset'!I160)</f>
        <v>0</v>
      </c>
      <c r="I160" t="b" cm="1">
        <f t="array" ref="I160">IsPurple('Large Dataset'!I160)</f>
        <v>0</v>
      </c>
      <c r="J160" t="b" cm="1">
        <f t="array" ref="J160">IsGreen('Large Dataset'!G160)</f>
        <v>0</v>
      </c>
      <c r="P160" t="b" cm="1">
        <f t="array" ref="P160">IsRed('Large Dataset'!K160)</f>
        <v>0</v>
      </c>
      <c r="Q160" t="b" cm="1">
        <f t="array" ref="Q160">IsBlue('Large Dataset'!K160)</f>
        <v>0</v>
      </c>
      <c r="R160" t="b" cm="1">
        <f t="array" ref="R160">IsPurple('Large Dataset'!K160)</f>
        <v>0</v>
      </c>
      <c r="S160" t="b" cm="1">
        <f t="array" ref="S160">IsGreen('Large Dataset'!K160)</f>
        <v>0</v>
      </c>
      <c r="Y160" t="b" cm="1">
        <f t="array" ref="Y160">IsRed('Large Dataset'!M160)</f>
        <v>0</v>
      </c>
      <c r="Z160" t="b" cm="1">
        <f t="array" ref="Z160">IsBlue('Large Dataset'!M160)</f>
        <v>0</v>
      </c>
      <c r="AA160" t="b" cm="1">
        <f t="array" ref="AA160">IsPurple('Large Dataset'!M160)</f>
        <v>0</v>
      </c>
      <c r="AB160" t="b" cm="1">
        <f t="array" ref="AB160">IsGreen('Large Dataset'!M160)</f>
        <v>0</v>
      </c>
      <c r="AH160" t="b" cm="1">
        <f t="array" ref="AH160">IsRed('Large Dataset'!O160)</f>
        <v>0</v>
      </c>
      <c r="AI160" t="b" cm="1">
        <f t="array" ref="AI160">IsBlue('Large Dataset'!O160)</f>
        <v>0</v>
      </c>
      <c r="AJ160" t="b" cm="1">
        <f t="array" ref="AJ160">IsPurple('Large Dataset'!O160)</f>
        <v>0</v>
      </c>
      <c r="AK160" t="b" cm="1">
        <f t="array" ref="AK160">IsGreen('Large Dataset'!O160)</f>
        <v>0</v>
      </c>
      <c r="AR160" t="b" cm="1">
        <f t="array" ref="AR160">IsRed('Large Dataset'!Q160)</f>
        <v>0</v>
      </c>
      <c r="AS160" t="b" cm="1">
        <f t="array" ref="AS160">IsBlue('Large Dataset'!Q160)</f>
        <v>0</v>
      </c>
      <c r="AT160" t="b" cm="1">
        <f t="array" ref="AT160">IsPurple('Large Dataset'!Q160)</f>
        <v>0</v>
      </c>
      <c r="AU160" t="b" cm="1">
        <f t="array" ref="AU160">IsGreen('Large Dataset'!Q160)</f>
        <v>0</v>
      </c>
      <c r="BA160" t="b" cm="1">
        <f t="array" ref="BA160">IsRed('Large Dataset'!R160)</f>
        <v>0</v>
      </c>
      <c r="BB160" t="b" cm="1">
        <f t="array" ref="BB160">IsBlue('Large Dataset'!R160)</f>
        <v>0</v>
      </c>
      <c r="BC160" t="b" cm="1">
        <f t="array" ref="BC160">IsPurple('Large Dataset'!R160)</f>
        <v>0</v>
      </c>
      <c r="BD160" t="b" cm="1">
        <f t="array" ref="BD160">IsGreen('Large Dataset'!R160)</f>
        <v>0</v>
      </c>
      <c r="BJ160" t="b" cm="1">
        <f t="array" ref="BJ160">IsRed('Large Dataset'!T160)</f>
        <v>0</v>
      </c>
      <c r="BK160" t="b" cm="1">
        <f t="array" ref="BK160">IsBlue('Large Dataset'!T160)</f>
        <v>0</v>
      </c>
      <c r="BL160" t="b" cm="1">
        <f t="array" ref="BL160">IsPurple('Large Dataset'!T160)</f>
        <v>0</v>
      </c>
      <c r="BM160" t="b" cm="1">
        <f t="array" ref="BM160">IsGreen('Large Dataset'!T160)</f>
        <v>0</v>
      </c>
      <c r="BS160" t="b" cm="1">
        <f t="array" ref="BS160">IsRed('Large Dataset'!U160)</f>
        <v>0</v>
      </c>
      <c r="BT160" t="b" cm="1">
        <f t="array" ref="BT160">IsBlue('Large Dataset'!U160)</f>
        <v>0</v>
      </c>
      <c r="BU160" t="b" cm="1">
        <f t="array" ref="BU160">IsPurple('Large Dataset'!U160)</f>
        <v>0</v>
      </c>
      <c r="BV160" t="b" cm="1">
        <f t="array" ref="BV160">IsGreen('Large Dataset'!U160)</f>
        <v>0</v>
      </c>
    </row>
    <row r="161" spans="7:74">
      <c r="G161" t="b" cm="1">
        <f t="array" ref="G161">IsRed('Large Dataset'!I161)</f>
        <v>0</v>
      </c>
      <c r="H161" t="b" cm="1">
        <f t="array" ref="H161">IsBlue('Large Dataset'!I161)</f>
        <v>0</v>
      </c>
      <c r="I161" t="b" cm="1">
        <f t="array" ref="I161">IsPurple('Large Dataset'!I161)</f>
        <v>0</v>
      </c>
      <c r="J161" t="b" cm="1">
        <f t="array" ref="J161">IsGreen('Large Dataset'!G161)</f>
        <v>0</v>
      </c>
      <c r="P161" t="b" cm="1">
        <f t="array" ref="P161">IsRed('Large Dataset'!K161)</f>
        <v>0</v>
      </c>
      <c r="Q161" t="b" cm="1">
        <f t="array" ref="Q161">IsBlue('Large Dataset'!K161)</f>
        <v>0</v>
      </c>
      <c r="R161" t="b" cm="1">
        <f t="array" ref="R161">IsPurple('Large Dataset'!K161)</f>
        <v>0</v>
      </c>
      <c r="S161" t="b" cm="1">
        <f t="array" ref="S161">IsGreen('Large Dataset'!K161)</f>
        <v>0</v>
      </c>
      <c r="Y161" t="b" cm="1">
        <f t="array" ref="Y161">IsRed('Large Dataset'!M161)</f>
        <v>0</v>
      </c>
      <c r="Z161" t="b" cm="1">
        <f t="array" ref="Z161">IsBlue('Large Dataset'!M161)</f>
        <v>0</v>
      </c>
      <c r="AA161" t="b" cm="1">
        <f t="array" ref="AA161">IsPurple('Large Dataset'!M161)</f>
        <v>0</v>
      </c>
      <c r="AB161" t="b" cm="1">
        <f t="array" ref="AB161">IsGreen('Large Dataset'!M161)</f>
        <v>0</v>
      </c>
      <c r="AH161" t="b" cm="1">
        <f t="array" ref="AH161">IsRed('Large Dataset'!O161)</f>
        <v>0</v>
      </c>
      <c r="AI161" t="b" cm="1">
        <f t="array" ref="AI161">IsBlue('Large Dataset'!O161)</f>
        <v>0</v>
      </c>
      <c r="AJ161" t="b" cm="1">
        <f t="array" ref="AJ161">IsPurple('Large Dataset'!O161)</f>
        <v>0</v>
      </c>
      <c r="AK161" t="b" cm="1">
        <f t="array" ref="AK161">IsGreen('Large Dataset'!O161)</f>
        <v>0</v>
      </c>
      <c r="AR161" t="b" cm="1">
        <f t="array" ref="AR161">IsRed('Large Dataset'!Q161)</f>
        <v>0</v>
      </c>
      <c r="AS161" t="b" cm="1">
        <f t="array" ref="AS161">IsBlue('Large Dataset'!Q161)</f>
        <v>0</v>
      </c>
      <c r="AT161" t="b" cm="1">
        <f t="array" ref="AT161">IsPurple('Large Dataset'!Q161)</f>
        <v>0</v>
      </c>
      <c r="AU161" t="b" cm="1">
        <f t="array" ref="AU161">IsGreen('Large Dataset'!Q161)</f>
        <v>0</v>
      </c>
      <c r="BA161" t="b" cm="1">
        <f t="array" ref="BA161">IsRed('Large Dataset'!R161)</f>
        <v>0</v>
      </c>
      <c r="BB161" t="b" cm="1">
        <f t="array" ref="BB161">IsBlue('Large Dataset'!R161)</f>
        <v>0</v>
      </c>
      <c r="BC161" t="b" cm="1">
        <f t="array" ref="BC161">IsPurple('Large Dataset'!R161)</f>
        <v>0</v>
      </c>
      <c r="BD161" t="b" cm="1">
        <f t="array" ref="BD161">IsGreen('Large Dataset'!R161)</f>
        <v>0</v>
      </c>
      <c r="BJ161" t="b" cm="1">
        <f t="array" ref="BJ161">IsRed('Large Dataset'!T161)</f>
        <v>0</v>
      </c>
      <c r="BK161" t="b" cm="1">
        <f t="array" ref="BK161">IsBlue('Large Dataset'!T161)</f>
        <v>0</v>
      </c>
      <c r="BL161" t="b" cm="1">
        <f t="array" ref="BL161">IsPurple('Large Dataset'!T161)</f>
        <v>0</v>
      </c>
      <c r="BM161" t="b" cm="1">
        <f t="array" ref="BM161">IsGreen('Large Dataset'!T161)</f>
        <v>0</v>
      </c>
      <c r="BS161" t="b" cm="1">
        <f t="array" ref="BS161">IsRed('Large Dataset'!U161)</f>
        <v>0</v>
      </c>
      <c r="BT161" t="b" cm="1">
        <f t="array" ref="BT161">IsBlue('Large Dataset'!U161)</f>
        <v>0</v>
      </c>
      <c r="BU161" t="b" cm="1">
        <f t="array" ref="BU161">IsPurple('Large Dataset'!U161)</f>
        <v>0</v>
      </c>
      <c r="BV161" t="b" cm="1">
        <f t="array" ref="BV161">IsGreen('Large Dataset'!U161)</f>
        <v>0</v>
      </c>
    </row>
    <row r="162" spans="7:74">
      <c r="G162" t="b" cm="1">
        <f t="array" ref="G162">IsRed('Large Dataset'!I162)</f>
        <v>0</v>
      </c>
      <c r="H162" t="b" cm="1">
        <f t="array" ref="H162">IsBlue('Large Dataset'!I162)</f>
        <v>0</v>
      </c>
      <c r="I162" t="b" cm="1">
        <f t="array" ref="I162">IsPurple('Large Dataset'!I162)</f>
        <v>0</v>
      </c>
      <c r="J162" t="b" cm="1">
        <f t="array" ref="J162">IsGreen('Large Dataset'!G162)</f>
        <v>0</v>
      </c>
      <c r="P162" t="b" cm="1">
        <f t="array" ref="P162">IsRed('Large Dataset'!K162)</f>
        <v>0</v>
      </c>
      <c r="Q162" t="b" cm="1">
        <f t="array" ref="Q162">IsBlue('Large Dataset'!K162)</f>
        <v>0</v>
      </c>
      <c r="R162" t="b" cm="1">
        <f t="array" ref="R162">IsPurple('Large Dataset'!K162)</f>
        <v>0</v>
      </c>
      <c r="S162" t="b" cm="1">
        <f t="array" ref="S162">IsGreen('Large Dataset'!K162)</f>
        <v>0</v>
      </c>
      <c r="Y162" t="b" cm="1">
        <f t="array" ref="Y162">IsRed('Large Dataset'!M162)</f>
        <v>0</v>
      </c>
      <c r="Z162" t="b" cm="1">
        <f t="array" ref="Z162">IsBlue('Large Dataset'!M162)</f>
        <v>0</v>
      </c>
      <c r="AA162" t="b" cm="1">
        <f t="array" ref="AA162">IsPurple('Large Dataset'!M162)</f>
        <v>0</v>
      </c>
      <c r="AB162" t="b" cm="1">
        <f t="array" ref="AB162">IsGreen('Large Dataset'!M162)</f>
        <v>0</v>
      </c>
      <c r="AH162" t="b" cm="1">
        <f t="array" ref="AH162">IsRed('Large Dataset'!O162)</f>
        <v>0</v>
      </c>
      <c r="AI162" t="b" cm="1">
        <f t="array" ref="AI162">IsBlue('Large Dataset'!O162)</f>
        <v>0</v>
      </c>
      <c r="AJ162" t="b" cm="1">
        <f t="array" ref="AJ162">IsPurple('Large Dataset'!O162)</f>
        <v>0</v>
      </c>
      <c r="AK162" t="b" cm="1">
        <f t="array" ref="AK162">IsGreen('Large Dataset'!O162)</f>
        <v>0</v>
      </c>
      <c r="AR162" t="b" cm="1">
        <f t="array" ref="AR162">IsRed('Large Dataset'!Q162)</f>
        <v>0</v>
      </c>
      <c r="AS162" t="b" cm="1">
        <f t="array" ref="AS162">IsBlue('Large Dataset'!Q162)</f>
        <v>0</v>
      </c>
      <c r="AT162" t="b" cm="1">
        <f t="array" ref="AT162">IsPurple('Large Dataset'!Q162)</f>
        <v>0</v>
      </c>
      <c r="AU162" t="b" cm="1">
        <f t="array" ref="AU162">IsGreen('Large Dataset'!Q162)</f>
        <v>0</v>
      </c>
      <c r="BA162" t="b" cm="1">
        <f t="array" ref="BA162">IsRed('Large Dataset'!R162)</f>
        <v>0</v>
      </c>
      <c r="BB162" t="b" cm="1">
        <f t="array" ref="BB162">IsBlue('Large Dataset'!R162)</f>
        <v>0</v>
      </c>
      <c r="BC162" t="b" cm="1">
        <f t="array" ref="BC162">IsPurple('Large Dataset'!R162)</f>
        <v>0</v>
      </c>
      <c r="BD162" t="b" cm="1">
        <f t="array" ref="BD162">IsGreen('Large Dataset'!R162)</f>
        <v>0</v>
      </c>
      <c r="BJ162" t="b" cm="1">
        <f t="array" ref="BJ162">IsRed('Large Dataset'!T162)</f>
        <v>0</v>
      </c>
      <c r="BK162" t="b" cm="1">
        <f t="array" ref="BK162">IsBlue('Large Dataset'!T162)</f>
        <v>0</v>
      </c>
      <c r="BL162" t="b" cm="1">
        <f t="array" ref="BL162">IsPurple('Large Dataset'!T162)</f>
        <v>0</v>
      </c>
      <c r="BM162" t="b" cm="1">
        <f t="array" ref="BM162">IsGreen('Large Dataset'!T162)</f>
        <v>0</v>
      </c>
      <c r="BS162" t="b" cm="1">
        <f t="array" ref="BS162">IsRed('Large Dataset'!U162)</f>
        <v>0</v>
      </c>
      <c r="BT162" t="b" cm="1">
        <f t="array" ref="BT162">IsBlue('Large Dataset'!U162)</f>
        <v>0</v>
      </c>
      <c r="BU162" t="b" cm="1">
        <f t="array" ref="BU162">IsPurple('Large Dataset'!U162)</f>
        <v>0</v>
      </c>
      <c r="BV162" t="b" cm="1">
        <f t="array" ref="BV162">IsGreen('Large Dataset'!U162)</f>
        <v>0</v>
      </c>
    </row>
    <row r="163" spans="7:74">
      <c r="G163" t="b" cm="1">
        <f t="array" ref="G163">IsRed('Large Dataset'!I163)</f>
        <v>0</v>
      </c>
      <c r="H163" t="b" cm="1">
        <f t="array" ref="H163">IsBlue('Large Dataset'!I163)</f>
        <v>0</v>
      </c>
      <c r="I163" t="b" cm="1">
        <f t="array" ref="I163">IsPurple('Large Dataset'!I163)</f>
        <v>0</v>
      </c>
      <c r="J163" t="b" cm="1">
        <f t="array" ref="J163">IsGreen('Large Dataset'!G163)</f>
        <v>0</v>
      </c>
      <c r="P163" t="b" cm="1">
        <f t="array" ref="P163">IsRed('Large Dataset'!K163)</f>
        <v>0</v>
      </c>
      <c r="Q163" t="b" cm="1">
        <f t="array" ref="Q163">IsBlue('Large Dataset'!K163)</f>
        <v>0</v>
      </c>
      <c r="R163" t="b" cm="1">
        <f t="array" ref="R163">IsPurple('Large Dataset'!K163)</f>
        <v>0</v>
      </c>
      <c r="S163" t="b" cm="1">
        <f t="array" ref="S163">IsGreen('Large Dataset'!K163)</f>
        <v>0</v>
      </c>
      <c r="Y163" t="b" cm="1">
        <f t="array" ref="Y163">IsRed('Large Dataset'!M163)</f>
        <v>0</v>
      </c>
      <c r="Z163" t="b" cm="1">
        <f t="array" ref="Z163">IsBlue('Large Dataset'!M163)</f>
        <v>0</v>
      </c>
      <c r="AA163" t="b" cm="1">
        <f t="array" ref="AA163">IsPurple('Large Dataset'!M163)</f>
        <v>0</v>
      </c>
      <c r="AB163" t="b" cm="1">
        <f t="array" ref="AB163">IsGreen('Large Dataset'!M163)</f>
        <v>0</v>
      </c>
      <c r="AH163" t="b" cm="1">
        <f t="array" ref="AH163">IsRed('Large Dataset'!O163)</f>
        <v>0</v>
      </c>
      <c r="AI163" t="b" cm="1">
        <f t="array" ref="AI163">IsBlue('Large Dataset'!O163)</f>
        <v>0</v>
      </c>
      <c r="AJ163" t="b" cm="1">
        <f t="array" ref="AJ163">IsPurple('Large Dataset'!O163)</f>
        <v>0</v>
      </c>
      <c r="AK163" t="b" cm="1">
        <f t="array" ref="AK163">IsGreen('Large Dataset'!O163)</f>
        <v>0</v>
      </c>
      <c r="AR163" t="b" cm="1">
        <f t="array" ref="AR163">IsRed('Large Dataset'!Q163)</f>
        <v>0</v>
      </c>
      <c r="AS163" t="b" cm="1">
        <f t="array" ref="AS163">IsBlue('Large Dataset'!Q163)</f>
        <v>0</v>
      </c>
      <c r="AT163" t="b" cm="1">
        <f t="array" ref="AT163">IsPurple('Large Dataset'!Q163)</f>
        <v>0</v>
      </c>
      <c r="AU163" t="b" cm="1">
        <f t="array" ref="AU163">IsGreen('Large Dataset'!Q163)</f>
        <v>0</v>
      </c>
      <c r="BA163" t="b" cm="1">
        <f t="array" ref="BA163">IsRed('Large Dataset'!R163)</f>
        <v>0</v>
      </c>
      <c r="BB163" t="b" cm="1">
        <f t="array" ref="BB163">IsBlue('Large Dataset'!R163)</f>
        <v>0</v>
      </c>
      <c r="BC163" t="b" cm="1">
        <f t="array" ref="BC163">IsPurple('Large Dataset'!R163)</f>
        <v>0</v>
      </c>
      <c r="BD163" t="b" cm="1">
        <f t="array" ref="BD163">IsGreen('Large Dataset'!R163)</f>
        <v>0</v>
      </c>
      <c r="BJ163" t="b" cm="1">
        <f t="array" ref="BJ163">IsRed('Large Dataset'!T163)</f>
        <v>0</v>
      </c>
      <c r="BK163" t="b" cm="1">
        <f t="array" ref="BK163">IsBlue('Large Dataset'!T163)</f>
        <v>0</v>
      </c>
      <c r="BL163" t="b" cm="1">
        <f t="array" ref="BL163">IsPurple('Large Dataset'!T163)</f>
        <v>0</v>
      </c>
      <c r="BM163" t="b" cm="1">
        <f t="array" ref="BM163">IsGreen('Large Dataset'!T163)</f>
        <v>0</v>
      </c>
      <c r="BS163" t="b" cm="1">
        <f t="array" ref="BS163">IsRed('Large Dataset'!U163)</f>
        <v>0</v>
      </c>
      <c r="BT163" t="b" cm="1">
        <f t="array" ref="BT163">IsBlue('Large Dataset'!U163)</f>
        <v>0</v>
      </c>
      <c r="BU163" t="b" cm="1">
        <f t="array" ref="BU163">IsPurple('Large Dataset'!U163)</f>
        <v>0</v>
      </c>
      <c r="BV163" t="b" cm="1">
        <f t="array" ref="BV163">IsGreen('Large Dataset'!U163)</f>
        <v>0</v>
      </c>
    </row>
    <row r="164" spans="7:74">
      <c r="G164" t="b" cm="1">
        <f t="array" ref="G164">IsRed('Large Dataset'!I164)</f>
        <v>0</v>
      </c>
      <c r="H164" t="b" cm="1">
        <f t="array" ref="H164">IsBlue('Large Dataset'!I164)</f>
        <v>0</v>
      </c>
      <c r="I164" t="b" cm="1">
        <f t="array" ref="I164">IsPurple('Large Dataset'!I164)</f>
        <v>0</v>
      </c>
      <c r="J164" t="b" cm="1">
        <f t="array" ref="J164">IsGreen('Large Dataset'!G164)</f>
        <v>0</v>
      </c>
      <c r="P164" t="b" cm="1">
        <f t="array" ref="P164">IsRed('Large Dataset'!K164)</f>
        <v>0</v>
      </c>
      <c r="Q164" t="b" cm="1">
        <f t="array" ref="Q164">IsBlue('Large Dataset'!K164)</f>
        <v>0</v>
      </c>
      <c r="R164" t="b" cm="1">
        <f t="array" ref="R164">IsPurple('Large Dataset'!K164)</f>
        <v>0</v>
      </c>
      <c r="S164" t="b" cm="1">
        <f t="array" ref="S164">IsGreen('Large Dataset'!K164)</f>
        <v>0</v>
      </c>
      <c r="Y164" t="b" cm="1">
        <f t="array" ref="Y164">IsRed('Large Dataset'!M164)</f>
        <v>0</v>
      </c>
      <c r="Z164" t="b" cm="1">
        <f t="array" ref="Z164">IsBlue('Large Dataset'!M164)</f>
        <v>0</v>
      </c>
      <c r="AA164" t="b" cm="1">
        <f t="array" ref="AA164">IsPurple('Large Dataset'!M164)</f>
        <v>0</v>
      </c>
      <c r="AB164" t="b" cm="1">
        <f t="array" ref="AB164">IsGreen('Large Dataset'!M164)</f>
        <v>0</v>
      </c>
      <c r="AH164" t="b" cm="1">
        <f t="array" ref="AH164">IsRed('Large Dataset'!O164)</f>
        <v>0</v>
      </c>
      <c r="AI164" t="b" cm="1">
        <f t="array" ref="AI164">IsBlue('Large Dataset'!O164)</f>
        <v>0</v>
      </c>
      <c r="AJ164" t="b" cm="1">
        <f t="array" ref="AJ164">IsPurple('Large Dataset'!O164)</f>
        <v>0</v>
      </c>
      <c r="AK164" t="b" cm="1">
        <f t="array" ref="AK164">IsGreen('Large Dataset'!O164)</f>
        <v>0</v>
      </c>
      <c r="AR164" t="b" cm="1">
        <f t="array" ref="AR164">IsRed('Large Dataset'!Q164)</f>
        <v>0</v>
      </c>
      <c r="AS164" t="b" cm="1">
        <f t="array" ref="AS164">IsBlue('Large Dataset'!Q164)</f>
        <v>0</v>
      </c>
      <c r="AT164" t="b" cm="1">
        <f t="array" ref="AT164">IsPurple('Large Dataset'!Q164)</f>
        <v>0</v>
      </c>
      <c r="AU164" t="b" cm="1">
        <f t="array" ref="AU164">IsGreen('Large Dataset'!Q164)</f>
        <v>0</v>
      </c>
      <c r="BA164" t="b" cm="1">
        <f t="array" ref="BA164">IsRed('Large Dataset'!R164)</f>
        <v>0</v>
      </c>
      <c r="BB164" t="b" cm="1">
        <f t="array" ref="BB164">IsBlue('Large Dataset'!R164)</f>
        <v>0</v>
      </c>
      <c r="BC164" t="b" cm="1">
        <f t="array" ref="BC164">IsPurple('Large Dataset'!R164)</f>
        <v>0</v>
      </c>
      <c r="BD164" t="b" cm="1">
        <f t="array" ref="BD164">IsGreen('Large Dataset'!R164)</f>
        <v>0</v>
      </c>
      <c r="BJ164" t="b" cm="1">
        <f t="array" ref="BJ164">IsRed('Large Dataset'!T164)</f>
        <v>0</v>
      </c>
      <c r="BK164" t="b" cm="1">
        <f t="array" ref="BK164">IsBlue('Large Dataset'!T164)</f>
        <v>0</v>
      </c>
      <c r="BL164" t="b" cm="1">
        <f t="array" ref="BL164">IsPurple('Large Dataset'!T164)</f>
        <v>0</v>
      </c>
      <c r="BM164" t="b" cm="1">
        <f t="array" ref="BM164">IsGreen('Large Dataset'!T164)</f>
        <v>0</v>
      </c>
      <c r="BS164" t="b" cm="1">
        <f t="array" ref="BS164">IsRed('Large Dataset'!U164)</f>
        <v>0</v>
      </c>
      <c r="BT164" t="b" cm="1">
        <f t="array" ref="BT164">IsBlue('Large Dataset'!U164)</f>
        <v>0</v>
      </c>
      <c r="BU164" t="b" cm="1">
        <f t="array" ref="BU164">IsPurple('Large Dataset'!U164)</f>
        <v>0</v>
      </c>
      <c r="BV164" t="b" cm="1">
        <f t="array" ref="BV164">IsGreen('Large Dataset'!U164)</f>
        <v>0</v>
      </c>
    </row>
    <row r="165" spans="7:74">
      <c r="G165" t="b" cm="1">
        <f t="array" ref="G165">IsRed('Large Dataset'!I165)</f>
        <v>0</v>
      </c>
      <c r="H165" t="b" cm="1">
        <f t="array" ref="H165">IsBlue('Large Dataset'!I165)</f>
        <v>0</v>
      </c>
      <c r="I165" t="b" cm="1">
        <f t="array" ref="I165">IsPurple('Large Dataset'!I165)</f>
        <v>0</v>
      </c>
      <c r="J165" t="b" cm="1">
        <f t="array" ref="J165">IsGreen('Large Dataset'!G165)</f>
        <v>0</v>
      </c>
      <c r="P165" t="b" cm="1">
        <f t="array" ref="P165">IsRed('Large Dataset'!K165)</f>
        <v>0</v>
      </c>
      <c r="Q165" t="b" cm="1">
        <f t="array" ref="Q165">IsBlue('Large Dataset'!K165)</f>
        <v>0</v>
      </c>
      <c r="R165" t="b" cm="1">
        <f t="array" ref="R165">IsPurple('Large Dataset'!K165)</f>
        <v>0</v>
      </c>
      <c r="S165" t="b" cm="1">
        <f t="array" ref="S165">IsGreen('Large Dataset'!K165)</f>
        <v>0</v>
      </c>
      <c r="Y165" t="b" cm="1">
        <f t="array" ref="Y165">IsRed('Large Dataset'!M165)</f>
        <v>0</v>
      </c>
      <c r="Z165" t="b" cm="1">
        <f t="array" ref="Z165">IsBlue('Large Dataset'!M165)</f>
        <v>0</v>
      </c>
      <c r="AA165" t="b" cm="1">
        <f t="array" ref="AA165">IsPurple('Large Dataset'!M165)</f>
        <v>0</v>
      </c>
      <c r="AB165" t="b" cm="1">
        <f t="array" ref="AB165">IsGreen('Large Dataset'!M165)</f>
        <v>0</v>
      </c>
      <c r="AH165" t="b" cm="1">
        <f t="array" ref="AH165">IsRed('Large Dataset'!O165)</f>
        <v>0</v>
      </c>
      <c r="AI165" t="b" cm="1">
        <f t="array" ref="AI165">IsBlue('Large Dataset'!O165)</f>
        <v>0</v>
      </c>
      <c r="AJ165" t="b" cm="1">
        <f t="array" ref="AJ165">IsPurple('Large Dataset'!O165)</f>
        <v>0</v>
      </c>
      <c r="AK165" t="b" cm="1">
        <f t="array" ref="AK165">IsGreen('Large Dataset'!O165)</f>
        <v>0</v>
      </c>
      <c r="AR165" t="b" cm="1">
        <f t="array" ref="AR165">IsRed('Large Dataset'!Q165)</f>
        <v>0</v>
      </c>
      <c r="AS165" t="b" cm="1">
        <f t="array" ref="AS165">IsBlue('Large Dataset'!Q165)</f>
        <v>0</v>
      </c>
      <c r="AT165" t="b" cm="1">
        <f t="array" ref="AT165">IsPurple('Large Dataset'!Q165)</f>
        <v>0</v>
      </c>
      <c r="AU165" t="b" cm="1">
        <f t="array" ref="AU165">IsGreen('Large Dataset'!Q165)</f>
        <v>0</v>
      </c>
      <c r="BA165" t="b" cm="1">
        <f t="array" ref="BA165">IsRed('Large Dataset'!R165)</f>
        <v>0</v>
      </c>
      <c r="BB165" t="b" cm="1">
        <f t="array" ref="BB165">IsBlue('Large Dataset'!R165)</f>
        <v>0</v>
      </c>
      <c r="BC165" t="b" cm="1">
        <f t="array" ref="BC165">IsPurple('Large Dataset'!R165)</f>
        <v>0</v>
      </c>
      <c r="BD165" t="b" cm="1">
        <f t="array" ref="BD165">IsGreen('Large Dataset'!R165)</f>
        <v>0</v>
      </c>
      <c r="BJ165" t="b" cm="1">
        <f t="array" ref="BJ165">IsRed('Large Dataset'!T165)</f>
        <v>0</v>
      </c>
      <c r="BK165" t="b" cm="1">
        <f t="array" ref="BK165">IsBlue('Large Dataset'!T165)</f>
        <v>0</v>
      </c>
      <c r="BL165" t="b" cm="1">
        <f t="array" ref="BL165">IsPurple('Large Dataset'!T165)</f>
        <v>0</v>
      </c>
      <c r="BM165" t="b" cm="1">
        <f t="array" ref="BM165">IsGreen('Large Dataset'!T165)</f>
        <v>0</v>
      </c>
      <c r="BS165" t="b" cm="1">
        <f t="array" ref="BS165">IsRed('Large Dataset'!U165)</f>
        <v>0</v>
      </c>
      <c r="BT165" t="b" cm="1">
        <f t="array" ref="BT165">IsBlue('Large Dataset'!U165)</f>
        <v>0</v>
      </c>
      <c r="BU165" t="b" cm="1">
        <f t="array" ref="BU165">IsPurple('Large Dataset'!U165)</f>
        <v>0</v>
      </c>
      <c r="BV165" t="b" cm="1">
        <f t="array" ref="BV165">IsGreen('Large Dataset'!U165)</f>
        <v>0</v>
      </c>
    </row>
    <row r="166" spans="7:74">
      <c r="G166" t="b" cm="1">
        <f t="array" ref="G166">IsRed('Large Dataset'!I166)</f>
        <v>0</v>
      </c>
      <c r="H166" t="b" cm="1">
        <f t="array" ref="H166">IsBlue('Large Dataset'!I166)</f>
        <v>0</v>
      </c>
      <c r="I166" t="b" cm="1">
        <f t="array" ref="I166">IsPurple('Large Dataset'!I166)</f>
        <v>0</v>
      </c>
      <c r="J166" t="b" cm="1">
        <f t="array" ref="J166">IsGreen('Large Dataset'!G166)</f>
        <v>0</v>
      </c>
      <c r="P166" t="b" cm="1">
        <f t="array" ref="P166">IsRed('Large Dataset'!K166)</f>
        <v>0</v>
      </c>
      <c r="Q166" t="b" cm="1">
        <f t="array" ref="Q166">IsBlue('Large Dataset'!K166)</f>
        <v>0</v>
      </c>
      <c r="R166" t="b" cm="1">
        <f t="array" ref="R166">IsPurple('Large Dataset'!K166)</f>
        <v>0</v>
      </c>
      <c r="S166" t="b" cm="1">
        <f t="array" ref="S166">IsGreen('Large Dataset'!K166)</f>
        <v>0</v>
      </c>
      <c r="Y166" t="b" cm="1">
        <f t="array" ref="Y166">IsRed('Large Dataset'!M166)</f>
        <v>0</v>
      </c>
      <c r="Z166" t="b" cm="1">
        <f t="array" ref="Z166">IsBlue('Large Dataset'!M166)</f>
        <v>0</v>
      </c>
      <c r="AA166" t="b" cm="1">
        <f t="array" ref="AA166">IsPurple('Large Dataset'!M166)</f>
        <v>0</v>
      </c>
      <c r="AB166" t="b" cm="1">
        <f t="array" ref="AB166">IsGreen('Large Dataset'!M166)</f>
        <v>0</v>
      </c>
      <c r="AH166" t="b" cm="1">
        <f t="array" ref="AH166">IsRed('Large Dataset'!O166)</f>
        <v>0</v>
      </c>
      <c r="AI166" t="b" cm="1">
        <f t="array" ref="AI166">IsBlue('Large Dataset'!O166)</f>
        <v>0</v>
      </c>
      <c r="AJ166" t="b" cm="1">
        <f t="array" ref="AJ166">IsPurple('Large Dataset'!O166)</f>
        <v>0</v>
      </c>
      <c r="AK166" t="b" cm="1">
        <f t="array" ref="AK166">IsGreen('Large Dataset'!O166)</f>
        <v>0</v>
      </c>
      <c r="AR166" t="b" cm="1">
        <f t="array" ref="AR166">IsRed('Large Dataset'!Q166)</f>
        <v>0</v>
      </c>
      <c r="AS166" t="b" cm="1">
        <f t="array" ref="AS166">IsBlue('Large Dataset'!Q166)</f>
        <v>0</v>
      </c>
      <c r="AT166" t="b" cm="1">
        <f t="array" ref="AT166">IsPurple('Large Dataset'!Q166)</f>
        <v>0</v>
      </c>
      <c r="AU166" t="b" cm="1">
        <f t="array" ref="AU166">IsGreen('Large Dataset'!Q166)</f>
        <v>0</v>
      </c>
      <c r="BA166" t="b" cm="1">
        <f t="array" ref="BA166">IsRed('Large Dataset'!R166)</f>
        <v>0</v>
      </c>
      <c r="BB166" t="b" cm="1">
        <f t="array" ref="BB166">IsBlue('Large Dataset'!R166)</f>
        <v>0</v>
      </c>
      <c r="BC166" t="b" cm="1">
        <f t="array" ref="BC166">IsPurple('Large Dataset'!R166)</f>
        <v>0</v>
      </c>
      <c r="BD166" t="b" cm="1">
        <f t="array" ref="BD166">IsGreen('Large Dataset'!R166)</f>
        <v>0</v>
      </c>
      <c r="BJ166" t="b" cm="1">
        <f t="array" ref="BJ166">IsRed('Large Dataset'!T166)</f>
        <v>0</v>
      </c>
      <c r="BK166" t="b" cm="1">
        <f t="array" ref="BK166">IsBlue('Large Dataset'!T166)</f>
        <v>0</v>
      </c>
      <c r="BL166" t="b" cm="1">
        <f t="array" ref="BL166">IsPurple('Large Dataset'!T166)</f>
        <v>0</v>
      </c>
      <c r="BM166" t="b" cm="1">
        <f t="array" ref="BM166">IsGreen('Large Dataset'!T166)</f>
        <v>0</v>
      </c>
      <c r="BS166" t="b" cm="1">
        <f t="array" ref="BS166">IsRed('Large Dataset'!U166)</f>
        <v>0</v>
      </c>
      <c r="BT166" t="b" cm="1">
        <f t="array" ref="BT166">IsBlue('Large Dataset'!U166)</f>
        <v>0</v>
      </c>
      <c r="BU166" t="b" cm="1">
        <f t="array" ref="BU166">IsPurple('Large Dataset'!U166)</f>
        <v>0</v>
      </c>
      <c r="BV166" t="b" cm="1">
        <f t="array" ref="BV166">IsGreen('Large Dataset'!U166)</f>
        <v>0</v>
      </c>
    </row>
    <row r="167" spans="7:74">
      <c r="G167" t="b" cm="1">
        <f t="array" ref="G167">IsRed('Large Dataset'!I167)</f>
        <v>0</v>
      </c>
      <c r="H167" t="b" cm="1">
        <f t="array" ref="H167">IsBlue('Large Dataset'!I167)</f>
        <v>0</v>
      </c>
      <c r="I167" t="b" cm="1">
        <f t="array" ref="I167">IsPurple('Large Dataset'!I167)</f>
        <v>0</v>
      </c>
      <c r="J167" t="b" cm="1">
        <f t="array" ref="J167">IsGreen('Large Dataset'!G167)</f>
        <v>0</v>
      </c>
      <c r="P167" t="b" cm="1">
        <f t="array" ref="P167">IsRed('Large Dataset'!K167)</f>
        <v>0</v>
      </c>
      <c r="Q167" t="b" cm="1">
        <f t="array" ref="Q167">IsBlue('Large Dataset'!K167)</f>
        <v>0</v>
      </c>
      <c r="R167" t="b" cm="1">
        <f t="array" ref="R167">IsPurple('Large Dataset'!K167)</f>
        <v>0</v>
      </c>
      <c r="S167" t="b" cm="1">
        <f t="array" ref="S167">IsGreen('Large Dataset'!K167)</f>
        <v>0</v>
      </c>
      <c r="Y167" t="b" cm="1">
        <f t="array" ref="Y167">IsRed('Large Dataset'!M167)</f>
        <v>0</v>
      </c>
      <c r="Z167" t="b" cm="1">
        <f t="array" ref="Z167">IsBlue('Large Dataset'!M167)</f>
        <v>0</v>
      </c>
      <c r="AA167" t="b" cm="1">
        <f t="array" ref="AA167">IsPurple('Large Dataset'!M167)</f>
        <v>0</v>
      </c>
      <c r="AB167" t="b" cm="1">
        <f t="array" ref="AB167">IsGreen('Large Dataset'!M167)</f>
        <v>0</v>
      </c>
      <c r="AH167" t="b" cm="1">
        <f t="array" ref="AH167">IsRed('Large Dataset'!O167)</f>
        <v>0</v>
      </c>
      <c r="AI167" t="b" cm="1">
        <f t="array" ref="AI167">IsBlue('Large Dataset'!O167)</f>
        <v>0</v>
      </c>
      <c r="AJ167" t="b" cm="1">
        <f t="array" ref="AJ167">IsPurple('Large Dataset'!O167)</f>
        <v>0</v>
      </c>
      <c r="AK167" t="b" cm="1">
        <f t="array" ref="AK167">IsGreen('Large Dataset'!O167)</f>
        <v>0</v>
      </c>
      <c r="AR167" t="b" cm="1">
        <f t="array" ref="AR167">IsRed('Large Dataset'!Q167)</f>
        <v>0</v>
      </c>
      <c r="AS167" t="b" cm="1">
        <f t="array" ref="AS167">IsBlue('Large Dataset'!Q167)</f>
        <v>0</v>
      </c>
      <c r="AT167" t="b" cm="1">
        <f t="array" ref="AT167">IsPurple('Large Dataset'!Q167)</f>
        <v>0</v>
      </c>
      <c r="AU167" t="b" cm="1">
        <f t="array" ref="AU167">IsGreen('Large Dataset'!Q167)</f>
        <v>0</v>
      </c>
      <c r="BA167" t="b" cm="1">
        <f t="array" ref="BA167">IsRed('Large Dataset'!R167)</f>
        <v>0</v>
      </c>
      <c r="BB167" t="b" cm="1">
        <f t="array" ref="BB167">IsBlue('Large Dataset'!R167)</f>
        <v>0</v>
      </c>
      <c r="BC167" t="b" cm="1">
        <f t="array" ref="BC167">IsPurple('Large Dataset'!R167)</f>
        <v>0</v>
      </c>
      <c r="BD167" t="b" cm="1">
        <f t="array" ref="BD167">IsGreen('Large Dataset'!R167)</f>
        <v>0</v>
      </c>
      <c r="BJ167" t="b" cm="1">
        <f t="array" ref="BJ167">IsRed('Large Dataset'!T167)</f>
        <v>0</v>
      </c>
      <c r="BK167" t="b" cm="1">
        <f t="array" ref="BK167">IsBlue('Large Dataset'!T167)</f>
        <v>0</v>
      </c>
      <c r="BL167" t="b" cm="1">
        <f t="array" ref="BL167">IsPurple('Large Dataset'!T167)</f>
        <v>0</v>
      </c>
      <c r="BM167" t="b" cm="1">
        <f t="array" ref="BM167">IsGreen('Large Dataset'!T167)</f>
        <v>0</v>
      </c>
      <c r="BS167" t="b" cm="1">
        <f t="array" ref="BS167">IsRed('Large Dataset'!U167)</f>
        <v>0</v>
      </c>
      <c r="BT167" t="b" cm="1">
        <f t="array" ref="BT167">IsBlue('Large Dataset'!U167)</f>
        <v>0</v>
      </c>
      <c r="BU167" t="b" cm="1">
        <f t="array" ref="BU167">IsPurple('Large Dataset'!U167)</f>
        <v>0</v>
      </c>
      <c r="BV167" t="b" cm="1">
        <f t="array" ref="BV167">IsGreen('Large Dataset'!U167)</f>
        <v>0</v>
      </c>
    </row>
    <row r="168" spans="7:74">
      <c r="G168" t="b" cm="1">
        <f t="array" ref="G168">IsRed('Large Dataset'!I168)</f>
        <v>0</v>
      </c>
      <c r="H168" t="b" cm="1">
        <f t="array" ref="H168">IsBlue('Large Dataset'!I168)</f>
        <v>0</v>
      </c>
      <c r="I168" t="b" cm="1">
        <f t="array" ref="I168">IsPurple('Large Dataset'!I168)</f>
        <v>0</v>
      </c>
      <c r="J168" t="b" cm="1">
        <f t="array" ref="J168">IsGreen('Large Dataset'!G168)</f>
        <v>0</v>
      </c>
      <c r="P168" t="b" cm="1">
        <f t="array" ref="P168">IsRed('Large Dataset'!K168)</f>
        <v>0</v>
      </c>
      <c r="Q168" t="b" cm="1">
        <f t="array" ref="Q168">IsBlue('Large Dataset'!K168)</f>
        <v>0</v>
      </c>
      <c r="R168" t="b" cm="1">
        <f t="array" ref="R168">IsPurple('Large Dataset'!K168)</f>
        <v>0</v>
      </c>
      <c r="S168" t="b" cm="1">
        <f t="array" ref="S168">IsGreen('Large Dataset'!K168)</f>
        <v>0</v>
      </c>
      <c r="Y168" t="b" cm="1">
        <f t="array" ref="Y168">IsRed('Large Dataset'!M168)</f>
        <v>0</v>
      </c>
      <c r="Z168" t="b" cm="1">
        <f t="array" ref="Z168">IsBlue('Large Dataset'!M168)</f>
        <v>0</v>
      </c>
      <c r="AA168" t="b" cm="1">
        <f t="array" ref="AA168">IsPurple('Large Dataset'!M168)</f>
        <v>0</v>
      </c>
      <c r="AB168" t="b" cm="1">
        <f t="array" ref="AB168">IsGreen('Large Dataset'!M168)</f>
        <v>0</v>
      </c>
      <c r="AH168" t="b" cm="1">
        <f t="array" ref="AH168">IsRed('Large Dataset'!O168)</f>
        <v>0</v>
      </c>
      <c r="AI168" t="b" cm="1">
        <f t="array" ref="AI168">IsBlue('Large Dataset'!O168)</f>
        <v>0</v>
      </c>
      <c r="AJ168" t="b" cm="1">
        <f t="array" ref="AJ168">IsPurple('Large Dataset'!O168)</f>
        <v>0</v>
      </c>
      <c r="AK168" t="b" cm="1">
        <f t="array" ref="AK168">IsGreen('Large Dataset'!O168)</f>
        <v>0</v>
      </c>
      <c r="AR168" t="b" cm="1">
        <f t="array" ref="AR168">IsRed('Large Dataset'!Q168)</f>
        <v>0</v>
      </c>
      <c r="AS168" t="b" cm="1">
        <f t="array" ref="AS168">IsBlue('Large Dataset'!Q168)</f>
        <v>0</v>
      </c>
      <c r="AT168" t="b" cm="1">
        <f t="array" ref="AT168">IsPurple('Large Dataset'!Q168)</f>
        <v>0</v>
      </c>
      <c r="AU168" t="b" cm="1">
        <f t="array" ref="AU168">IsGreen('Large Dataset'!Q168)</f>
        <v>0</v>
      </c>
      <c r="BA168" t="b" cm="1">
        <f t="array" ref="BA168">IsRed('Large Dataset'!R168)</f>
        <v>0</v>
      </c>
      <c r="BB168" t="b" cm="1">
        <f t="array" ref="BB168">IsBlue('Large Dataset'!R168)</f>
        <v>0</v>
      </c>
      <c r="BC168" t="b" cm="1">
        <f t="array" ref="BC168">IsPurple('Large Dataset'!R168)</f>
        <v>0</v>
      </c>
      <c r="BD168" t="b" cm="1">
        <f t="array" ref="BD168">IsGreen('Large Dataset'!R168)</f>
        <v>0</v>
      </c>
      <c r="BJ168" t="b" cm="1">
        <f t="array" ref="BJ168">IsRed('Large Dataset'!T168)</f>
        <v>0</v>
      </c>
      <c r="BK168" t="b" cm="1">
        <f t="array" ref="BK168">IsBlue('Large Dataset'!T168)</f>
        <v>0</v>
      </c>
      <c r="BL168" t="b" cm="1">
        <f t="array" ref="BL168">IsPurple('Large Dataset'!T168)</f>
        <v>0</v>
      </c>
      <c r="BM168" t="b" cm="1">
        <f t="array" ref="BM168">IsGreen('Large Dataset'!T168)</f>
        <v>0</v>
      </c>
      <c r="BS168" t="b" cm="1">
        <f t="array" ref="BS168">IsRed('Large Dataset'!U168)</f>
        <v>0</v>
      </c>
      <c r="BT168" t="b" cm="1">
        <f t="array" ref="BT168">IsBlue('Large Dataset'!U168)</f>
        <v>0</v>
      </c>
      <c r="BU168" t="b" cm="1">
        <f t="array" ref="BU168">IsPurple('Large Dataset'!U168)</f>
        <v>0</v>
      </c>
      <c r="BV168" t="b" cm="1">
        <f t="array" ref="BV168">IsGreen('Large Dataset'!U168)</f>
        <v>0</v>
      </c>
    </row>
    <row r="169" spans="7:74">
      <c r="G169" t="b" cm="1">
        <f t="array" ref="G169">IsRed('Large Dataset'!I169)</f>
        <v>0</v>
      </c>
      <c r="H169" t="b" cm="1">
        <f t="array" ref="H169">IsBlue('Large Dataset'!I169)</f>
        <v>0</v>
      </c>
      <c r="I169" t="b" cm="1">
        <f t="array" ref="I169">IsPurple('Large Dataset'!I169)</f>
        <v>0</v>
      </c>
      <c r="J169" t="b" cm="1">
        <f t="array" ref="J169">IsGreen('Large Dataset'!G169)</f>
        <v>0</v>
      </c>
      <c r="P169" t="b" cm="1">
        <f t="array" ref="P169">IsRed('Large Dataset'!K169)</f>
        <v>0</v>
      </c>
      <c r="Q169" t="b" cm="1">
        <f t="array" ref="Q169">IsBlue('Large Dataset'!K169)</f>
        <v>0</v>
      </c>
      <c r="R169" t="b" cm="1">
        <f t="array" ref="R169">IsPurple('Large Dataset'!K169)</f>
        <v>0</v>
      </c>
      <c r="S169" t="b" cm="1">
        <f t="array" ref="S169">IsGreen('Large Dataset'!K169)</f>
        <v>0</v>
      </c>
      <c r="Y169" t="b" cm="1">
        <f t="array" ref="Y169">IsRed('Large Dataset'!M169)</f>
        <v>0</v>
      </c>
      <c r="Z169" t="b" cm="1">
        <f t="array" ref="Z169">IsBlue('Large Dataset'!M169)</f>
        <v>0</v>
      </c>
      <c r="AA169" t="b" cm="1">
        <f t="array" ref="AA169">IsPurple('Large Dataset'!M169)</f>
        <v>0</v>
      </c>
      <c r="AB169" t="b" cm="1">
        <f t="array" ref="AB169">IsGreen('Large Dataset'!M169)</f>
        <v>0</v>
      </c>
      <c r="AH169" t="b" cm="1">
        <f t="array" ref="AH169">IsRed('Large Dataset'!O169)</f>
        <v>0</v>
      </c>
      <c r="AI169" t="b" cm="1">
        <f t="array" ref="AI169">IsBlue('Large Dataset'!O169)</f>
        <v>0</v>
      </c>
      <c r="AJ169" t="b" cm="1">
        <f t="array" ref="AJ169">IsPurple('Large Dataset'!O169)</f>
        <v>0</v>
      </c>
      <c r="AK169" t="b" cm="1">
        <f t="array" ref="AK169">IsGreen('Large Dataset'!O169)</f>
        <v>0</v>
      </c>
      <c r="AR169" t="b" cm="1">
        <f t="array" ref="AR169">IsRed('Large Dataset'!Q169)</f>
        <v>0</v>
      </c>
      <c r="AS169" t="b" cm="1">
        <f t="array" ref="AS169">IsBlue('Large Dataset'!Q169)</f>
        <v>0</v>
      </c>
      <c r="AT169" t="b" cm="1">
        <f t="array" ref="AT169">IsPurple('Large Dataset'!Q169)</f>
        <v>0</v>
      </c>
      <c r="AU169" t="b" cm="1">
        <f t="array" ref="AU169">IsGreen('Large Dataset'!Q169)</f>
        <v>0</v>
      </c>
      <c r="BA169" t="b" cm="1">
        <f t="array" ref="BA169">IsRed('Large Dataset'!R169)</f>
        <v>0</v>
      </c>
      <c r="BB169" t="b" cm="1">
        <f t="array" ref="BB169">IsBlue('Large Dataset'!R169)</f>
        <v>0</v>
      </c>
      <c r="BC169" t="b" cm="1">
        <f t="array" ref="BC169">IsPurple('Large Dataset'!R169)</f>
        <v>0</v>
      </c>
      <c r="BD169" t="b" cm="1">
        <f t="array" ref="BD169">IsGreen('Large Dataset'!R169)</f>
        <v>0</v>
      </c>
      <c r="BJ169" t="b" cm="1">
        <f t="array" ref="BJ169">IsRed('Large Dataset'!T169)</f>
        <v>0</v>
      </c>
      <c r="BK169" t="b" cm="1">
        <f t="array" ref="BK169">IsBlue('Large Dataset'!T169)</f>
        <v>0</v>
      </c>
      <c r="BL169" t="b" cm="1">
        <f t="array" ref="BL169">IsPurple('Large Dataset'!T169)</f>
        <v>0</v>
      </c>
      <c r="BM169" t="b" cm="1">
        <f t="array" ref="BM169">IsGreen('Large Dataset'!T169)</f>
        <v>0</v>
      </c>
      <c r="BS169" t="b" cm="1">
        <f t="array" ref="BS169">IsRed('Large Dataset'!U169)</f>
        <v>0</v>
      </c>
      <c r="BT169" t="b" cm="1">
        <f t="array" ref="BT169">IsBlue('Large Dataset'!U169)</f>
        <v>0</v>
      </c>
      <c r="BU169" t="b" cm="1">
        <f t="array" ref="BU169">IsPurple('Large Dataset'!U169)</f>
        <v>0</v>
      </c>
      <c r="BV169" t="b" cm="1">
        <f t="array" ref="BV169">IsGreen('Large Dataset'!U169)</f>
        <v>0</v>
      </c>
    </row>
    <row r="170" spans="7:74">
      <c r="G170" t="b" cm="1">
        <f t="array" ref="G170">IsRed('Large Dataset'!I170)</f>
        <v>0</v>
      </c>
      <c r="H170" t="b" cm="1">
        <f t="array" ref="H170">IsBlue('Large Dataset'!I170)</f>
        <v>0</v>
      </c>
      <c r="I170" t="b" cm="1">
        <f t="array" ref="I170">IsPurple('Large Dataset'!I170)</f>
        <v>0</v>
      </c>
      <c r="J170" t="b" cm="1">
        <f t="array" ref="J170">IsGreen('Large Dataset'!G170)</f>
        <v>0</v>
      </c>
      <c r="P170" t="b" cm="1">
        <f t="array" ref="P170">IsRed('Large Dataset'!K170)</f>
        <v>0</v>
      </c>
      <c r="Q170" t="b" cm="1">
        <f t="array" ref="Q170">IsBlue('Large Dataset'!K170)</f>
        <v>0</v>
      </c>
      <c r="R170" t="b" cm="1">
        <f t="array" ref="R170">IsPurple('Large Dataset'!K170)</f>
        <v>0</v>
      </c>
      <c r="S170" t="b" cm="1">
        <f t="array" ref="S170">IsGreen('Large Dataset'!K170)</f>
        <v>0</v>
      </c>
      <c r="Y170" t="b" cm="1">
        <f t="array" ref="Y170">IsRed('Large Dataset'!M170)</f>
        <v>0</v>
      </c>
      <c r="Z170" t="b" cm="1">
        <f t="array" ref="Z170">IsBlue('Large Dataset'!M170)</f>
        <v>0</v>
      </c>
      <c r="AA170" t="b" cm="1">
        <f t="array" ref="AA170">IsPurple('Large Dataset'!M170)</f>
        <v>0</v>
      </c>
      <c r="AB170" t="b" cm="1">
        <f t="array" ref="AB170">IsGreen('Large Dataset'!M170)</f>
        <v>0</v>
      </c>
      <c r="AH170" t="b" cm="1">
        <f t="array" ref="AH170">IsRed('Large Dataset'!O170)</f>
        <v>0</v>
      </c>
      <c r="AI170" t="b" cm="1">
        <f t="array" ref="AI170">IsBlue('Large Dataset'!O170)</f>
        <v>0</v>
      </c>
      <c r="AJ170" t="b" cm="1">
        <f t="array" ref="AJ170">IsPurple('Large Dataset'!O170)</f>
        <v>0</v>
      </c>
      <c r="AK170" t="b" cm="1">
        <f t="array" ref="AK170">IsGreen('Large Dataset'!O170)</f>
        <v>0</v>
      </c>
      <c r="AR170" t="b" cm="1">
        <f t="array" ref="AR170">IsRed('Large Dataset'!Q170)</f>
        <v>0</v>
      </c>
      <c r="AS170" t="b" cm="1">
        <f t="array" ref="AS170">IsBlue('Large Dataset'!Q170)</f>
        <v>0</v>
      </c>
      <c r="AT170" t="b" cm="1">
        <f t="array" ref="AT170">IsPurple('Large Dataset'!Q170)</f>
        <v>0</v>
      </c>
      <c r="AU170" t="b" cm="1">
        <f t="array" ref="AU170">IsGreen('Large Dataset'!Q170)</f>
        <v>0</v>
      </c>
      <c r="BA170" t="b" cm="1">
        <f t="array" ref="BA170">IsRed('Large Dataset'!R170)</f>
        <v>0</v>
      </c>
      <c r="BB170" t="b" cm="1">
        <f t="array" ref="BB170">IsBlue('Large Dataset'!R170)</f>
        <v>0</v>
      </c>
      <c r="BC170" t="b" cm="1">
        <f t="array" ref="BC170">IsPurple('Large Dataset'!R170)</f>
        <v>0</v>
      </c>
      <c r="BD170" t="b" cm="1">
        <f t="array" ref="BD170">IsGreen('Large Dataset'!R170)</f>
        <v>0</v>
      </c>
      <c r="BJ170" t="b" cm="1">
        <f t="array" ref="BJ170">IsRed('Large Dataset'!T170)</f>
        <v>0</v>
      </c>
      <c r="BK170" t="b" cm="1">
        <f t="array" ref="BK170">IsBlue('Large Dataset'!T170)</f>
        <v>0</v>
      </c>
      <c r="BL170" t="b" cm="1">
        <f t="array" ref="BL170">IsPurple('Large Dataset'!T170)</f>
        <v>0</v>
      </c>
      <c r="BM170" t="b" cm="1">
        <f t="array" ref="BM170">IsGreen('Large Dataset'!T170)</f>
        <v>0</v>
      </c>
      <c r="BS170" t="b" cm="1">
        <f t="array" ref="BS170">IsRed('Large Dataset'!U170)</f>
        <v>0</v>
      </c>
      <c r="BT170" t="b" cm="1">
        <f t="array" ref="BT170">IsBlue('Large Dataset'!U170)</f>
        <v>0</v>
      </c>
      <c r="BU170" t="b" cm="1">
        <f t="array" ref="BU170">IsPurple('Large Dataset'!U170)</f>
        <v>0</v>
      </c>
      <c r="BV170" t="b" cm="1">
        <f t="array" ref="BV170">IsGreen('Large Dataset'!U170)</f>
        <v>0</v>
      </c>
    </row>
    <row r="171" spans="7:74">
      <c r="G171" t="b" cm="1">
        <f t="array" ref="G171">IsRed('Large Dataset'!I171)</f>
        <v>0</v>
      </c>
      <c r="H171" t="b" cm="1">
        <f t="array" ref="H171">IsBlue('Large Dataset'!I171)</f>
        <v>0</v>
      </c>
      <c r="I171" t="b" cm="1">
        <f t="array" ref="I171">IsPurple('Large Dataset'!I171)</f>
        <v>0</v>
      </c>
      <c r="J171" t="b" cm="1">
        <f t="array" ref="J171">IsGreen('Large Dataset'!G171)</f>
        <v>0</v>
      </c>
      <c r="P171" t="b" cm="1">
        <f t="array" ref="P171">IsRed('Large Dataset'!K171)</f>
        <v>0</v>
      </c>
      <c r="Q171" t="b" cm="1">
        <f t="array" ref="Q171">IsBlue('Large Dataset'!K171)</f>
        <v>0</v>
      </c>
      <c r="R171" t="b" cm="1">
        <f t="array" ref="R171">IsPurple('Large Dataset'!K171)</f>
        <v>0</v>
      </c>
      <c r="S171" t="b" cm="1">
        <f t="array" ref="S171">IsGreen('Large Dataset'!K171)</f>
        <v>0</v>
      </c>
      <c r="Y171" t="b" cm="1">
        <f t="array" ref="Y171">IsRed('Large Dataset'!M171)</f>
        <v>0</v>
      </c>
      <c r="Z171" t="b" cm="1">
        <f t="array" ref="Z171">IsBlue('Large Dataset'!M171)</f>
        <v>0</v>
      </c>
      <c r="AA171" t="b" cm="1">
        <f t="array" ref="AA171">IsPurple('Large Dataset'!M171)</f>
        <v>0</v>
      </c>
      <c r="AB171" t="b" cm="1">
        <f t="array" ref="AB171">IsGreen('Large Dataset'!M171)</f>
        <v>0</v>
      </c>
      <c r="AH171" t="b" cm="1">
        <f t="array" ref="AH171">IsRed('Large Dataset'!O171)</f>
        <v>0</v>
      </c>
      <c r="AI171" t="b" cm="1">
        <f t="array" ref="AI171">IsBlue('Large Dataset'!O171)</f>
        <v>0</v>
      </c>
      <c r="AJ171" t="b" cm="1">
        <f t="array" ref="AJ171">IsPurple('Large Dataset'!O171)</f>
        <v>0</v>
      </c>
      <c r="AK171" t="b" cm="1">
        <f t="array" ref="AK171">IsGreen('Large Dataset'!O171)</f>
        <v>0</v>
      </c>
      <c r="AR171" t="b" cm="1">
        <f t="array" ref="AR171">IsRed('Large Dataset'!Q171)</f>
        <v>0</v>
      </c>
      <c r="AS171" t="b" cm="1">
        <f t="array" ref="AS171">IsBlue('Large Dataset'!Q171)</f>
        <v>0</v>
      </c>
      <c r="AT171" t="b" cm="1">
        <f t="array" ref="AT171">IsPurple('Large Dataset'!Q171)</f>
        <v>0</v>
      </c>
      <c r="AU171" t="b" cm="1">
        <f t="array" ref="AU171">IsGreen('Large Dataset'!Q171)</f>
        <v>0</v>
      </c>
      <c r="BA171" t="b" cm="1">
        <f t="array" ref="BA171">IsRed('Large Dataset'!R171)</f>
        <v>0</v>
      </c>
      <c r="BB171" t="b" cm="1">
        <f t="array" ref="BB171">IsBlue('Large Dataset'!R171)</f>
        <v>0</v>
      </c>
      <c r="BC171" t="b" cm="1">
        <f t="array" ref="BC171">IsPurple('Large Dataset'!R171)</f>
        <v>0</v>
      </c>
      <c r="BD171" t="b" cm="1">
        <f t="array" ref="BD171">IsGreen('Large Dataset'!R171)</f>
        <v>0</v>
      </c>
      <c r="BJ171" t="b" cm="1">
        <f t="array" ref="BJ171">IsRed('Large Dataset'!T171)</f>
        <v>0</v>
      </c>
      <c r="BK171" t="b" cm="1">
        <f t="array" ref="BK171">IsBlue('Large Dataset'!T171)</f>
        <v>0</v>
      </c>
      <c r="BL171" t="b" cm="1">
        <f t="array" ref="BL171">IsPurple('Large Dataset'!T171)</f>
        <v>0</v>
      </c>
      <c r="BM171" t="b" cm="1">
        <f t="array" ref="BM171">IsGreen('Large Dataset'!T171)</f>
        <v>0</v>
      </c>
      <c r="BS171" t="b" cm="1">
        <f t="array" ref="BS171">IsRed('Large Dataset'!U171)</f>
        <v>0</v>
      </c>
      <c r="BT171" t="b" cm="1">
        <f t="array" ref="BT171">IsBlue('Large Dataset'!U171)</f>
        <v>0</v>
      </c>
      <c r="BU171" t="b" cm="1">
        <f t="array" ref="BU171">IsPurple('Large Dataset'!U171)</f>
        <v>0</v>
      </c>
      <c r="BV171" t="b" cm="1">
        <f t="array" ref="BV171">IsGreen('Large Dataset'!U171)</f>
        <v>0</v>
      </c>
    </row>
    <row r="172" spans="7:74">
      <c r="G172" t="b" cm="1">
        <f t="array" ref="G172">IsRed('Large Dataset'!I172)</f>
        <v>0</v>
      </c>
      <c r="H172" t="b" cm="1">
        <f t="array" ref="H172">IsBlue('Large Dataset'!I172)</f>
        <v>0</v>
      </c>
      <c r="I172" t="b" cm="1">
        <f t="array" ref="I172">IsPurple('Large Dataset'!I172)</f>
        <v>0</v>
      </c>
      <c r="J172" t="b" cm="1">
        <f t="array" ref="J172">IsGreen('Large Dataset'!G172)</f>
        <v>0</v>
      </c>
      <c r="P172" t="b" cm="1">
        <f t="array" ref="P172">IsRed('Large Dataset'!K172)</f>
        <v>0</v>
      </c>
      <c r="Q172" t="b" cm="1">
        <f t="array" ref="Q172">IsBlue('Large Dataset'!K172)</f>
        <v>0</v>
      </c>
      <c r="R172" t="b" cm="1">
        <f t="array" ref="R172">IsPurple('Large Dataset'!K172)</f>
        <v>0</v>
      </c>
      <c r="S172" t="b" cm="1">
        <f t="array" ref="S172">IsGreen('Large Dataset'!K172)</f>
        <v>0</v>
      </c>
      <c r="Y172" t="b" cm="1">
        <f t="array" ref="Y172">IsRed('Large Dataset'!M172)</f>
        <v>0</v>
      </c>
      <c r="Z172" t="b" cm="1">
        <f t="array" ref="Z172">IsBlue('Large Dataset'!M172)</f>
        <v>0</v>
      </c>
      <c r="AA172" t="b" cm="1">
        <f t="array" ref="AA172">IsPurple('Large Dataset'!M172)</f>
        <v>0</v>
      </c>
      <c r="AB172" t="b" cm="1">
        <f t="array" ref="AB172">IsGreen('Large Dataset'!M172)</f>
        <v>0</v>
      </c>
      <c r="AH172" t="b" cm="1">
        <f t="array" ref="AH172">IsRed('Large Dataset'!O172)</f>
        <v>0</v>
      </c>
      <c r="AI172" t="b" cm="1">
        <f t="array" ref="AI172">IsBlue('Large Dataset'!O172)</f>
        <v>0</v>
      </c>
      <c r="AJ172" t="b" cm="1">
        <f t="array" ref="AJ172">IsPurple('Large Dataset'!O172)</f>
        <v>0</v>
      </c>
      <c r="AK172" t="b" cm="1">
        <f t="array" ref="AK172">IsGreen('Large Dataset'!O172)</f>
        <v>0</v>
      </c>
      <c r="AR172" t="b" cm="1">
        <f t="array" ref="AR172">IsRed('Large Dataset'!Q172)</f>
        <v>0</v>
      </c>
      <c r="AS172" t="b" cm="1">
        <f t="array" ref="AS172">IsBlue('Large Dataset'!Q172)</f>
        <v>0</v>
      </c>
      <c r="AT172" t="b" cm="1">
        <f t="array" ref="AT172">IsPurple('Large Dataset'!Q172)</f>
        <v>0</v>
      </c>
      <c r="AU172" t="b" cm="1">
        <f t="array" ref="AU172">IsGreen('Large Dataset'!Q172)</f>
        <v>0</v>
      </c>
      <c r="BA172" t="b" cm="1">
        <f t="array" ref="BA172">IsRed('Large Dataset'!R172)</f>
        <v>0</v>
      </c>
      <c r="BB172" t="b" cm="1">
        <f t="array" ref="BB172">IsBlue('Large Dataset'!R172)</f>
        <v>0</v>
      </c>
      <c r="BC172" t="b" cm="1">
        <f t="array" ref="BC172">IsPurple('Large Dataset'!R172)</f>
        <v>0</v>
      </c>
      <c r="BD172" t="b" cm="1">
        <f t="array" ref="BD172">IsGreen('Large Dataset'!R172)</f>
        <v>0</v>
      </c>
      <c r="BJ172" t="b" cm="1">
        <f t="array" ref="BJ172">IsRed('Large Dataset'!T172)</f>
        <v>0</v>
      </c>
      <c r="BK172" t="b" cm="1">
        <f t="array" ref="BK172">IsBlue('Large Dataset'!T172)</f>
        <v>0</v>
      </c>
      <c r="BL172" t="b" cm="1">
        <f t="array" ref="BL172">IsPurple('Large Dataset'!T172)</f>
        <v>0</v>
      </c>
      <c r="BM172" t="b" cm="1">
        <f t="array" ref="BM172">IsGreen('Large Dataset'!T172)</f>
        <v>0</v>
      </c>
      <c r="BS172" t="b" cm="1">
        <f t="array" ref="BS172">IsRed('Large Dataset'!U172)</f>
        <v>0</v>
      </c>
      <c r="BT172" t="b" cm="1">
        <f t="array" ref="BT172">IsBlue('Large Dataset'!U172)</f>
        <v>0</v>
      </c>
      <c r="BU172" t="b" cm="1">
        <f t="array" ref="BU172">IsPurple('Large Dataset'!U172)</f>
        <v>0</v>
      </c>
      <c r="BV172" t="b" cm="1">
        <f t="array" ref="BV172">IsGreen('Large Dataset'!U172)</f>
        <v>0</v>
      </c>
    </row>
    <row r="173" spans="7:74">
      <c r="G173" t="b" cm="1">
        <f t="array" ref="G173">IsRed('Large Dataset'!I173)</f>
        <v>0</v>
      </c>
      <c r="H173" t="b" cm="1">
        <f t="array" ref="H173">IsBlue('Large Dataset'!I173)</f>
        <v>0</v>
      </c>
      <c r="I173" t="b" cm="1">
        <f t="array" ref="I173">IsPurple('Large Dataset'!I173)</f>
        <v>0</v>
      </c>
      <c r="J173" t="b" cm="1">
        <f t="array" ref="J173">IsGreen('Large Dataset'!G173)</f>
        <v>0</v>
      </c>
      <c r="P173" t="b" cm="1">
        <f t="array" ref="P173">IsRed('Large Dataset'!K173)</f>
        <v>0</v>
      </c>
      <c r="Q173" t="b" cm="1">
        <f t="array" ref="Q173">IsBlue('Large Dataset'!K173)</f>
        <v>0</v>
      </c>
      <c r="R173" t="b" cm="1">
        <f t="array" ref="R173">IsPurple('Large Dataset'!K173)</f>
        <v>0</v>
      </c>
      <c r="S173" t="b" cm="1">
        <f t="array" ref="S173">IsGreen('Large Dataset'!K173)</f>
        <v>0</v>
      </c>
      <c r="Y173" t="b" cm="1">
        <f t="array" ref="Y173">IsRed('Large Dataset'!M173)</f>
        <v>0</v>
      </c>
      <c r="Z173" t="b" cm="1">
        <f t="array" ref="Z173">IsBlue('Large Dataset'!M173)</f>
        <v>0</v>
      </c>
      <c r="AA173" t="b" cm="1">
        <f t="array" ref="AA173">IsPurple('Large Dataset'!M173)</f>
        <v>0</v>
      </c>
      <c r="AB173" t="b" cm="1">
        <f t="array" ref="AB173">IsGreen('Large Dataset'!M173)</f>
        <v>0</v>
      </c>
      <c r="AH173" t="b" cm="1">
        <f t="array" ref="AH173">IsRed('Large Dataset'!O173)</f>
        <v>0</v>
      </c>
      <c r="AI173" t="b" cm="1">
        <f t="array" ref="AI173">IsBlue('Large Dataset'!O173)</f>
        <v>0</v>
      </c>
      <c r="AJ173" t="b" cm="1">
        <f t="array" ref="AJ173">IsPurple('Large Dataset'!O173)</f>
        <v>0</v>
      </c>
      <c r="AK173" t="b" cm="1">
        <f t="array" ref="AK173">IsGreen('Large Dataset'!O173)</f>
        <v>0</v>
      </c>
      <c r="AR173" t="b" cm="1">
        <f t="array" ref="AR173">IsRed('Large Dataset'!Q173)</f>
        <v>0</v>
      </c>
      <c r="AS173" t="b" cm="1">
        <f t="array" ref="AS173">IsBlue('Large Dataset'!Q173)</f>
        <v>0</v>
      </c>
      <c r="AT173" t="b" cm="1">
        <f t="array" ref="AT173">IsPurple('Large Dataset'!Q173)</f>
        <v>0</v>
      </c>
      <c r="AU173" t="b" cm="1">
        <f t="array" ref="AU173">IsGreen('Large Dataset'!Q173)</f>
        <v>0</v>
      </c>
      <c r="BA173" t="b" cm="1">
        <f t="array" ref="BA173">IsRed('Large Dataset'!R173)</f>
        <v>0</v>
      </c>
      <c r="BB173" t="b" cm="1">
        <f t="array" ref="BB173">IsBlue('Large Dataset'!R173)</f>
        <v>0</v>
      </c>
      <c r="BC173" t="b" cm="1">
        <f t="array" ref="BC173">IsPurple('Large Dataset'!R173)</f>
        <v>0</v>
      </c>
      <c r="BD173" t="b" cm="1">
        <f t="array" ref="BD173">IsGreen('Large Dataset'!R173)</f>
        <v>0</v>
      </c>
      <c r="BJ173" t="b" cm="1">
        <f t="array" ref="BJ173">IsRed('Large Dataset'!T173)</f>
        <v>0</v>
      </c>
      <c r="BK173" t="b" cm="1">
        <f t="array" ref="BK173">IsBlue('Large Dataset'!T173)</f>
        <v>0</v>
      </c>
      <c r="BL173" t="b" cm="1">
        <f t="array" ref="BL173">IsPurple('Large Dataset'!T173)</f>
        <v>0</v>
      </c>
      <c r="BM173" t="b" cm="1">
        <f t="array" ref="BM173">IsGreen('Large Dataset'!T173)</f>
        <v>0</v>
      </c>
      <c r="BS173" t="b" cm="1">
        <f t="array" ref="BS173">IsRed('Large Dataset'!U173)</f>
        <v>0</v>
      </c>
      <c r="BT173" t="b" cm="1">
        <f t="array" ref="BT173">IsBlue('Large Dataset'!U173)</f>
        <v>0</v>
      </c>
      <c r="BU173" t="b" cm="1">
        <f t="array" ref="BU173">IsPurple('Large Dataset'!U173)</f>
        <v>0</v>
      </c>
      <c r="BV173" t="b" cm="1">
        <f t="array" ref="BV173">IsGreen('Large Dataset'!U173)</f>
        <v>0</v>
      </c>
    </row>
    <row r="174" spans="7:74">
      <c r="G174" t="b" cm="1">
        <f t="array" ref="G174">IsRed('Large Dataset'!I174)</f>
        <v>0</v>
      </c>
      <c r="H174" t="b" cm="1">
        <f t="array" ref="H174">IsBlue('Large Dataset'!I174)</f>
        <v>0</v>
      </c>
      <c r="I174" t="b" cm="1">
        <f t="array" ref="I174">IsPurple('Large Dataset'!I174)</f>
        <v>0</v>
      </c>
      <c r="J174" t="b" cm="1">
        <f t="array" ref="J174">IsGreen('Large Dataset'!G174)</f>
        <v>0</v>
      </c>
      <c r="P174" t="b" cm="1">
        <f t="array" ref="P174">IsRed('Large Dataset'!K174)</f>
        <v>0</v>
      </c>
      <c r="Q174" t="b" cm="1">
        <f t="array" ref="Q174">IsBlue('Large Dataset'!K174)</f>
        <v>0</v>
      </c>
      <c r="R174" t="b" cm="1">
        <f t="array" ref="R174">IsPurple('Large Dataset'!K174)</f>
        <v>0</v>
      </c>
      <c r="S174" t="b" cm="1">
        <f t="array" ref="S174">IsGreen('Large Dataset'!K174)</f>
        <v>0</v>
      </c>
      <c r="Y174" t="b" cm="1">
        <f t="array" ref="Y174">IsRed('Large Dataset'!M174)</f>
        <v>0</v>
      </c>
      <c r="Z174" t="b" cm="1">
        <f t="array" ref="Z174">IsBlue('Large Dataset'!M174)</f>
        <v>0</v>
      </c>
      <c r="AA174" t="b" cm="1">
        <f t="array" ref="AA174">IsPurple('Large Dataset'!M174)</f>
        <v>0</v>
      </c>
      <c r="AB174" t="b" cm="1">
        <f t="array" ref="AB174">IsGreen('Large Dataset'!M174)</f>
        <v>0</v>
      </c>
      <c r="AH174" t="b" cm="1">
        <f t="array" ref="AH174">IsRed('Large Dataset'!O174)</f>
        <v>0</v>
      </c>
      <c r="AI174" t="b" cm="1">
        <f t="array" ref="AI174">IsBlue('Large Dataset'!O174)</f>
        <v>0</v>
      </c>
      <c r="AJ174" t="b" cm="1">
        <f t="array" ref="AJ174">IsPurple('Large Dataset'!O174)</f>
        <v>0</v>
      </c>
      <c r="AK174" t="b" cm="1">
        <f t="array" ref="AK174">IsGreen('Large Dataset'!O174)</f>
        <v>0</v>
      </c>
      <c r="AR174" t="b" cm="1">
        <f t="array" ref="AR174">IsRed('Large Dataset'!Q174)</f>
        <v>0</v>
      </c>
      <c r="AS174" t="b" cm="1">
        <f t="array" ref="AS174">IsBlue('Large Dataset'!Q174)</f>
        <v>0</v>
      </c>
      <c r="AT174" t="b" cm="1">
        <f t="array" ref="AT174">IsPurple('Large Dataset'!Q174)</f>
        <v>0</v>
      </c>
      <c r="AU174" t="b" cm="1">
        <f t="array" ref="AU174">IsGreen('Large Dataset'!Q174)</f>
        <v>0</v>
      </c>
      <c r="BA174" t="b" cm="1">
        <f t="array" ref="BA174">IsRed('Large Dataset'!R174)</f>
        <v>0</v>
      </c>
      <c r="BB174" t="b" cm="1">
        <f t="array" ref="BB174">IsBlue('Large Dataset'!R174)</f>
        <v>0</v>
      </c>
      <c r="BC174" t="b" cm="1">
        <f t="array" ref="BC174">IsPurple('Large Dataset'!R174)</f>
        <v>0</v>
      </c>
      <c r="BD174" t="b" cm="1">
        <f t="array" ref="BD174">IsGreen('Large Dataset'!R174)</f>
        <v>0</v>
      </c>
      <c r="BJ174" t="b" cm="1">
        <f t="array" ref="BJ174">IsRed('Large Dataset'!T174)</f>
        <v>0</v>
      </c>
      <c r="BK174" t="b" cm="1">
        <f t="array" ref="BK174">IsBlue('Large Dataset'!T174)</f>
        <v>0</v>
      </c>
      <c r="BL174" t="b" cm="1">
        <f t="array" ref="BL174">IsPurple('Large Dataset'!T174)</f>
        <v>0</v>
      </c>
      <c r="BM174" t="b" cm="1">
        <f t="array" ref="BM174">IsGreen('Large Dataset'!T174)</f>
        <v>0</v>
      </c>
      <c r="BS174" t="b" cm="1">
        <f t="array" ref="BS174">IsRed('Large Dataset'!U174)</f>
        <v>0</v>
      </c>
      <c r="BT174" t="b" cm="1">
        <f t="array" ref="BT174">IsBlue('Large Dataset'!U174)</f>
        <v>0</v>
      </c>
      <c r="BU174" t="b" cm="1">
        <f t="array" ref="BU174">IsPurple('Large Dataset'!U174)</f>
        <v>0</v>
      </c>
      <c r="BV174" t="b" cm="1">
        <f t="array" ref="BV174">IsGreen('Large Dataset'!U174)</f>
        <v>0</v>
      </c>
    </row>
    <row r="175" spans="7:74">
      <c r="G175" t="b" cm="1">
        <f t="array" ref="G175">IsRed('Large Dataset'!I175)</f>
        <v>0</v>
      </c>
      <c r="H175" t="b" cm="1">
        <f t="array" ref="H175">IsBlue('Large Dataset'!I175)</f>
        <v>0</v>
      </c>
      <c r="I175" t="b" cm="1">
        <f t="array" ref="I175">IsPurple('Large Dataset'!I175)</f>
        <v>0</v>
      </c>
      <c r="J175" t="b" cm="1">
        <f t="array" ref="J175">IsGreen('Large Dataset'!G175)</f>
        <v>0</v>
      </c>
      <c r="P175" t="b" cm="1">
        <f t="array" ref="P175">IsRed('Large Dataset'!K175)</f>
        <v>0</v>
      </c>
      <c r="Q175" t="b" cm="1">
        <f t="array" ref="Q175">IsBlue('Large Dataset'!K175)</f>
        <v>0</v>
      </c>
      <c r="R175" t="b" cm="1">
        <f t="array" ref="R175">IsPurple('Large Dataset'!K175)</f>
        <v>0</v>
      </c>
      <c r="S175" t="b" cm="1">
        <f t="array" ref="S175">IsGreen('Large Dataset'!K175)</f>
        <v>0</v>
      </c>
      <c r="Y175" t="b" cm="1">
        <f t="array" ref="Y175">IsRed('Large Dataset'!M175)</f>
        <v>0</v>
      </c>
      <c r="Z175" t="b" cm="1">
        <f t="array" ref="Z175">IsBlue('Large Dataset'!M175)</f>
        <v>0</v>
      </c>
      <c r="AA175" t="b" cm="1">
        <f t="array" ref="AA175">IsPurple('Large Dataset'!M175)</f>
        <v>0</v>
      </c>
      <c r="AB175" t="b" cm="1">
        <f t="array" ref="AB175">IsGreen('Large Dataset'!M175)</f>
        <v>0</v>
      </c>
      <c r="AH175" t="b" cm="1">
        <f t="array" ref="AH175">IsRed('Large Dataset'!O175)</f>
        <v>0</v>
      </c>
      <c r="AI175" t="b" cm="1">
        <f t="array" ref="AI175">IsBlue('Large Dataset'!O175)</f>
        <v>0</v>
      </c>
      <c r="AJ175" t="b" cm="1">
        <f t="array" ref="AJ175">IsPurple('Large Dataset'!O175)</f>
        <v>0</v>
      </c>
      <c r="AK175" t="b" cm="1">
        <f t="array" ref="AK175">IsGreen('Large Dataset'!O175)</f>
        <v>0</v>
      </c>
      <c r="AR175" t="b" cm="1">
        <f t="array" ref="AR175">IsRed('Large Dataset'!Q175)</f>
        <v>0</v>
      </c>
      <c r="AS175" t="b" cm="1">
        <f t="array" ref="AS175">IsBlue('Large Dataset'!Q175)</f>
        <v>0</v>
      </c>
      <c r="AT175" t="b" cm="1">
        <f t="array" ref="AT175">IsPurple('Large Dataset'!Q175)</f>
        <v>0</v>
      </c>
      <c r="AU175" t="b" cm="1">
        <f t="array" ref="AU175">IsGreen('Large Dataset'!Q175)</f>
        <v>0</v>
      </c>
      <c r="BA175" t="b" cm="1">
        <f t="array" ref="BA175">IsRed('Large Dataset'!R175)</f>
        <v>0</v>
      </c>
      <c r="BB175" t="b" cm="1">
        <f t="array" ref="BB175">IsBlue('Large Dataset'!R175)</f>
        <v>0</v>
      </c>
      <c r="BC175" t="b" cm="1">
        <f t="array" ref="BC175">IsPurple('Large Dataset'!R175)</f>
        <v>0</v>
      </c>
      <c r="BD175" t="b" cm="1">
        <f t="array" ref="BD175">IsGreen('Large Dataset'!R175)</f>
        <v>0</v>
      </c>
      <c r="BJ175" t="b" cm="1">
        <f t="array" ref="BJ175">IsRed('Large Dataset'!T175)</f>
        <v>0</v>
      </c>
      <c r="BK175" t="b" cm="1">
        <f t="array" ref="BK175">IsBlue('Large Dataset'!T175)</f>
        <v>0</v>
      </c>
      <c r="BL175" t="b" cm="1">
        <f t="array" ref="BL175">IsPurple('Large Dataset'!T175)</f>
        <v>0</v>
      </c>
      <c r="BM175" t="b" cm="1">
        <f t="array" ref="BM175">IsGreen('Large Dataset'!T175)</f>
        <v>0</v>
      </c>
      <c r="BS175" t="b" cm="1">
        <f t="array" ref="BS175">IsRed('Large Dataset'!U175)</f>
        <v>0</v>
      </c>
      <c r="BT175" t="b" cm="1">
        <f t="array" ref="BT175">IsBlue('Large Dataset'!U175)</f>
        <v>0</v>
      </c>
      <c r="BU175" t="b" cm="1">
        <f t="array" ref="BU175">IsPurple('Large Dataset'!U175)</f>
        <v>0</v>
      </c>
      <c r="BV175" t="b" cm="1">
        <f t="array" ref="BV175">IsGreen('Large Dataset'!U175)</f>
        <v>0</v>
      </c>
    </row>
    <row r="176" spans="7:74">
      <c r="G176" t="b" cm="1">
        <f t="array" ref="G176">IsRed('Large Dataset'!I176)</f>
        <v>0</v>
      </c>
      <c r="H176" t="b" cm="1">
        <f t="array" ref="H176">IsBlue('Large Dataset'!I176)</f>
        <v>0</v>
      </c>
      <c r="I176" t="b" cm="1">
        <f t="array" ref="I176">IsPurple('Large Dataset'!I176)</f>
        <v>0</v>
      </c>
      <c r="J176" t="b" cm="1">
        <f t="array" ref="J176">IsGreen('Large Dataset'!G176)</f>
        <v>0</v>
      </c>
      <c r="P176" t="b" cm="1">
        <f t="array" ref="P176">IsRed('Large Dataset'!K176)</f>
        <v>0</v>
      </c>
      <c r="Q176" t="b" cm="1">
        <f t="array" ref="Q176">IsBlue('Large Dataset'!K176)</f>
        <v>0</v>
      </c>
      <c r="R176" t="b" cm="1">
        <f t="array" ref="R176">IsPurple('Large Dataset'!K176)</f>
        <v>0</v>
      </c>
      <c r="S176" t="b" cm="1">
        <f t="array" ref="S176">IsGreen('Large Dataset'!K176)</f>
        <v>0</v>
      </c>
      <c r="Y176" t="b" cm="1">
        <f t="array" ref="Y176">IsRed('Large Dataset'!M176)</f>
        <v>0</v>
      </c>
      <c r="Z176" t="b" cm="1">
        <f t="array" ref="Z176">IsBlue('Large Dataset'!M176)</f>
        <v>0</v>
      </c>
      <c r="AA176" t="b" cm="1">
        <f t="array" ref="AA176">IsPurple('Large Dataset'!M176)</f>
        <v>0</v>
      </c>
      <c r="AB176" t="b" cm="1">
        <f t="array" ref="AB176">IsGreen('Large Dataset'!M176)</f>
        <v>0</v>
      </c>
      <c r="AH176" t="b" cm="1">
        <f t="array" ref="AH176">IsRed('Large Dataset'!O176)</f>
        <v>0</v>
      </c>
      <c r="AI176" t="b" cm="1">
        <f t="array" ref="AI176">IsBlue('Large Dataset'!O176)</f>
        <v>0</v>
      </c>
      <c r="AJ176" t="b" cm="1">
        <f t="array" ref="AJ176">IsPurple('Large Dataset'!O176)</f>
        <v>0</v>
      </c>
      <c r="AK176" t="b" cm="1">
        <f t="array" ref="AK176">IsGreen('Large Dataset'!O176)</f>
        <v>0</v>
      </c>
      <c r="AR176" t="b" cm="1">
        <f t="array" ref="AR176">IsRed('Large Dataset'!Q176)</f>
        <v>0</v>
      </c>
      <c r="AS176" t="b" cm="1">
        <f t="array" ref="AS176">IsBlue('Large Dataset'!Q176)</f>
        <v>0</v>
      </c>
      <c r="AT176" t="b" cm="1">
        <f t="array" ref="AT176">IsPurple('Large Dataset'!Q176)</f>
        <v>0</v>
      </c>
      <c r="AU176" t="b" cm="1">
        <f t="array" ref="AU176">IsGreen('Large Dataset'!Q176)</f>
        <v>0</v>
      </c>
      <c r="BA176" t="b" cm="1">
        <f t="array" ref="BA176">IsRed('Large Dataset'!R176)</f>
        <v>0</v>
      </c>
      <c r="BB176" t="b" cm="1">
        <f t="array" ref="BB176">IsBlue('Large Dataset'!R176)</f>
        <v>0</v>
      </c>
      <c r="BC176" t="b" cm="1">
        <f t="array" ref="BC176">IsPurple('Large Dataset'!R176)</f>
        <v>0</v>
      </c>
      <c r="BD176" t="b" cm="1">
        <f t="array" ref="BD176">IsGreen('Large Dataset'!R176)</f>
        <v>0</v>
      </c>
      <c r="BJ176" t="b" cm="1">
        <f t="array" ref="BJ176">IsRed('Large Dataset'!T176)</f>
        <v>0</v>
      </c>
      <c r="BK176" t="b" cm="1">
        <f t="array" ref="BK176">IsBlue('Large Dataset'!T176)</f>
        <v>0</v>
      </c>
      <c r="BL176" t="b" cm="1">
        <f t="array" ref="BL176">IsPurple('Large Dataset'!T176)</f>
        <v>0</v>
      </c>
      <c r="BM176" t="b" cm="1">
        <f t="array" ref="BM176">IsGreen('Large Dataset'!T176)</f>
        <v>0</v>
      </c>
      <c r="BS176" t="b" cm="1">
        <f t="array" ref="BS176">IsRed('Large Dataset'!U176)</f>
        <v>0</v>
      </c>
      <c r="BT176" t="b" cm="1">
        <f t="array" ref="BT176">IsBlue('Large Dataset'!U176)</f>
        <v>0</v>
      </c>
      <c r="BU176" t="b" cm="1">
        <f t="array" ref="BU176">IsPurple('Large Dataset'!U176)</f>
        <v>0</v>
      </c>
      <c r="BV176" t="b" cm="1">
        <f t="array" ref="BV176">IsGreen('Large Dataset'!U176)</f>
        <v>0</v>
      </c>
    </row>
    <row r="177" spans="7:74">
      <c r="G177" t="b" cm="1">
        <f t="array" ref="G177">IsRed('Large Dataset'!I177)</f>
        <v>0</v>
      </c>
      <c r="H177" t="b" cm="1">
        <f t="array" ref="H177">IsBlue('Large Dataset'!I177)</f>
        <v>0</v>
      </c>
      <c r="I177" t="b" cm="1">
        <f t="array" ref="I177">IsPurple('Large Dataset'!I177)</f>
        <v>0</v>
      </c>
      <c r="J177" t="b" cm="1">
        <f t="array" ref="J177">IsGreen('Large Dataset'!G177)</f>
        <v>0</v>
      </c>
      <c r="P177" t="b" cm="1">
        <f t="array" ref="P177">IsRed('Large Dataset'!K177)</f>
        <v>1</v>
      </c>
      <c r="Q177" t="b" cm="1">
        <f t="array" ref="Q177">IsBlue('Large Dataset'!K177)</f>
        <v>0</v>
      </c>
      <c r="R177" t="b" cm="1">
        <f t="array" ref="R177">IsPurple('Large Dataset'!K177)</f>
        <v>0</v>
      </c>
      <c r="S177" t="b" cm="1">
        <f t="array" ref="S177">IsGreen('Large Dataset'!K177)</f>
        <v>0</v>
      </c>
      <c r="Y177" t="b" cm="1">
        <f t="array" ref="Y177">IsRed('Large Dataset'!M177)</f>
        <v>0</v>
      </c>
      <c r="Z177" t="b" cm="1">
        <f t="array" ref="Z177">IsBlue('Large Dataset'!M177)</f>
        <v>0</v>
      </c>
      <c r="AA177" t="b" cm="1">
        <f t="array" ref="AA177">IsPurple('Large Dataset'!M177)</f>
        <v>0</v>
      </c>
      <c r="AB177" t="b" cm="1">
        <f t="array" ref="AB177">IsGreen('Large Dataset'!M177)</f>
        <v>0</v>
      </c>
      <c r="AH177" t="b" cm="1">
        <f t="array" ref="AH177">IsRed('Large Dataset'!O177)</f>
        <v>0</v>
      </c>
      <c r="AI177" t="b" cm="1">
        <f t="array" ref="AI177">IsBlue('Large Dataset'!O177)</f>
        <v>1</v>
      </c>
      <c r="AJ177" t="b" cm="1">
        <f t="array" ref="AJ177">IsPurple('Large Dataset'!O177)</f>
        <v>0</v>
      </c>
      <c r="AK177" t="b" cm="1">
        <f t="array" ref="AK177">IsGreen('Large Dataset'!O177)</f>
        <v>0</v>
      </c>
      <c r="AR177" t="b" cm="1">
        <f t="array" ref="AR177">IsRed('Large Dataset'!Q177)</f>
        <v>0</v>
      </c>
      <c r="AS177" t="b" cm="1">
        <f t="array" ref="AS177">IsBlue('Large Dataset'!Q177)</f>
        <v>0</v>
      </c>
      <c r="AT177" t="b" cm="1">
        <f t="array" ref="AT177">IsPurple('Large Dataset'!Q177)</f>
        <v>0</v>
      </c>
      <c r="AU177" t="b" cm="1">
        <f t="array" ref="AU177">IsGreen('Large Dataset'!Q177)</f>
        <v>0</v>
      </c>
      <c r="BA177" t="b" cm="1">
        <f t="array" ref="BA177">IsRed('Large Dataset'!R177)</f>
        <v>0</v>
      </c>
      <c r="BB177" t="b" cm="1">
        <f t="array" ref="BB177">IsBlue('Large Dataset'!R177)</f>
        <v>0</v>
      </c>
      <c r="BC177" t="b" cm="1">
        <f t="array" ref="BC177">IsPurple('Large Dataset'!R177)</f>
        <v>0</v>
      </c>
      <c r="BD177" t="b" cm="1">
        <f t="array" ref="BD177">IsGreen('Large Dataset'!R177)</f>
        <v>0</v>
      </c>
      <c r="BJ177" t="b" cm="1">
        <f t="array" ref="BJ177">IsRed('Large Dataset'!T177)</f>
        <v>0</v>
      </c>
      <c r="BK177" t="b" cm="1">
        <f t="array" ref="BK177">IsBlue('Large Dataset'!T177)</f>
        <v>0</v>
      </c>
      <c r="BL177" t="b" cm="1">
        <f t="array" ref="BL177">IsPurple('Large Dataset'!T177)</f>
        <v>0</v>
      </c>
      <c r="BM177" t="b" cm="1">
        <f t="array" ref="BM177">IsGreen('Large Dataset'!T177)</f>
        <v>0</v>
      </c>
      <c r="BS177" t="b" cm="1">
        <f t="array" ref="BS177">IsRed('Large Dataset'!U177)</f>
        <v>0</v>
      </c>
      <c r="BT177" t="b" cm="1">
        <f t="array" ref="BT177">IsBlue('Large Dataset'!U177)</f>
        <v>0</v>
      </c>
      <c r="BU177" t="b" cm="1">
        <f t="array" ref="BU177">IsPurple('Large Dataset'!U177)</f>
        <v>0</v>
      </c>
      <c r="BV177" t="b" cm="1">
        <f t="array" ref="BV177">IsGreen('Large Dataset'!U177)</f>
        <v>0</v>
      </c>
    </row>
    <row r="178" spans="7:74">
      <c r="G178" t="b" cm="1">
        <f t="array" ref="G178">IsRed('Large Dataset'!I178)</f>
        <v>1</v>
      </c>
      <c r="H178" t="b" cm="1">
        <f t="array" ref="H178">IsBlue('Large Dataset'!I178)</f>
        <v>0</v>
      </c>
      <c r="I178" t="b" cm="1">
        <f t="array" ref="I178">IsPurple('Large Dataset'!I178)</f>
        <v>0</v>
      </c>
      <c r="J178" t="b" cm="1">
        <f t="array" ref="J178">IsGreen('Large Dataset'!G178)</f>
        <v>0</v>
      </c>
      <c r="P178" t="b" cm="1">
        <f t="array" ref="P178">IsRed('Large Dataset'!K178)</f>
        <v>0</v>
      </c>
      <c r="Q178" t="b" cm="1">
        <f t="array" ref="Q178">IsBlue('Large Dataset'!K178)</f>
        <v>0</v>
      </c>
      <c r="R178" t="b" cm="1">
        <f t="array" ref="R178">IsPurple('Large Dataset'!K178)</f>
        <v>0</v>
      </c>
      <c r="S178" t="b" cm="1">
        <f t="array" ref="S178">IsGreen('Large Dataset'!K178)</f>
        <v>0</v>
      </c>
      <c r="Y178" t="b" cm="1">
        <f t="array" ref="Y178">IsRed('Large Dataset'!M178)</f>
        <v>1</v>
      </c>
      <c r="Z178" t="b" cm="1">
        <f t="array" ref="Z178">IsBlue('Large Dataset'!M178)</f>
        <v>0</v>
      </c>
      <c r="AA178" t="b" cm="1">
        <f t="array" ref="AA178">IsPurple('Large Dataset'!M178)</f>
        <v>0</v>
      </c>
      <c r="AB178" t="b" cm="1">
        <f t="array" ref="AB178">IsGreen('Large Dataset'!M178)</f>
        <v>0</v>
      </c>
      <c r="AH178" t="b" cm="1">
        <f t="array" ref="AH178">IsRed('Large Dataset'!O178)</f>
        <v>0</v>
      </c>
      <c r="AI178" t="b" cm="1">
        <f t="array" ref="AI178">IsBlue('Large Dataset'!O178)</f>
        <v>1</v>
      </c>
      <c r="AJ178" t="b" cm="1">
        <f t="array" ref="AJ178">IsPurple('Large Dataset'!O178)</f>
        <v>0</v>
      </c>
      <c r="AK178" t="b" cm="1">
        <f t="array" ref="AK178">IsGreen('Large Dataset'!O178)</f>
        <v>0</v>
      </c>
      <c r="AR178" t="b" cm="1">
        <f t="array" ref="AR178">IsRed('Large Dataset'!Q178)</f>
        <v>0</v>
      </c>
      <c r="AS178" t="b" cm="1">
        <f t="array" ref="AS178">IsBlue('Large Dataset'!Q178)</f>
        <v>0</v>
      </c>
      <c r="AT178" t="b" cm="1">
        <f t="array" ref="AT178">IsPurple('Large Dataset'!Q178)</f>
        <v>0</v>
      </c>
      <c r="AU178" t="b" cm="1">
        <f t="array" ref="AU178">IsGreen('Large Dataset'!Q178)</f>
        <v>0</v>
      </c>
      <c r="BA178" t="b" cm="1">
        <f t="array" ref="BA178">IsRed('Large Dataset'!R178)</f>
        <v>0</v>
      </c>
      <c r="BB178" t="b" cm="1">
        <f t="array" ref="BB178">IsBlue('Large Dataset'!R178)</f>
        <v>0</v>
      </c>
      <c r="BC178" t="b" cm="1">
        <f t="array" ref="BC178">IsPurple('Large Dataset'!R178)</f>
        <v>0</v>
      </c>
      <c r="BD178" t="b" cm="1">
        <f t="array" ref="BD178">IsGreen('Large Dataset'!R178)</f>
        <v>0</v>
      </c>
      <c r="BJ178" t="b" cm="1">
        <f t="array" ref="BJ178">IsRed('Large Dataset'!T178)</f>
        <v>0</v>
      </c>
      <c r="BK178" t="b" cm="1">
        <f t="array" ref="BK178">IsBlue('Large Dataset'!T178)</f>
        <v>0</v>
      </c>
      <c r="BL178" t="b" cm="1">
        <f t="array" ref="BL178">IsPurple('Large Dataset'!T178)</f>
        <v>0</v>
      </c>
      <c r="BM178" t="b" cm="1">
        <f t="array" ref="BM178">IsGreen('Large Dataset'!T178)</f>
        <v>0</v>
      </c>
      <c r="BS178" t="b" cm="1">
        <f t="array" ref="BS178">IsRed('Large Dataset'!U178)</f>
        <v>0</v>
      </c>
      <c r="BT178" t="b" cm="1">
        <f t="array" ref="BT178">IsBlue('Large Dataset'!U178)</f>
        <v>0</v>
      </c>
      <c r="BU178" t="b" cm="1">
        <f t="array" ref="BU178">IsPurple('Large Dataset'!U178)</f>
        <v>0</v>
      </c>
      <c r="BV178" t="b" cm="1">
        <f t="array" ref="BV178">IsGreen('Large Dataset'!U178)</f>
        <v>0</v>
      </c>
    </row>
    <row r="179" spans="7:74">
      <c r="G179" t="b" cm="1">
        <f t="array" ref="G179">IsRed('Large Dataset'!I179)</f>
        <v>0</v>
      </c>
      <c r="H179" t="b" cm="1">
        <f t="array" ref="H179">IsBlue('Large Dataset'!I179)</f>
        <v>0</v>
      </c>
      <c r="I179" t="b" cm="1">
        <f t="array" ref="I179">IsPurple('Large Dataset'!I179)</f>
        <v>0</v>
      </c>
      <c r="J179" t="b" cm="1">
        <f t="array" ref="J179">IsGreen('Large Dataset'!G179)</f>
        <v>0</v>
      </c>
      <c r="P179" t="b" cm="1">
        <f t="array" ref="P179">IsRed('Large Dataset'!K179)</f>
        <v>0</v>
      </c>
      <c r="Q179" t="b" cm="1">
        <f t="array" ref="Q179">IsBlue('Large Dataset'!K179)</f>
        <v>0</v>
      </c>
      <c r="R179" t="b" cm="1">
        <f t="array" ref="R179">IsPurple('Large Dataset'!K179)</f>
        <v>0</v>
      </c>
      <c r="S179" t="b" cm="1">
        <f t="array" ref="S179">IsGreen('Large Dataset'!K179)</f>
        <v>0</v>
      </c>
      <c r="Y179" t="b" cm="1">
        <f t="array" ref="Y179">IsRed('Large Dataset'!M179)</f>
        <v>0</v>
      </c>
      <c r="Z179" t="b" cm="1">
        <f t="array" ref="Z179">IsBlue('Large Dataset'!M179)</f>
        <v>0</v>
      </c>
      <c r="AA179" t="b" cm="1">
        <f t="array" ref="AA179">IsPurple('Large Dataset'!M179)</f>
        <v>0</v>
      </c>
      <c r="AB179" t="b" cm="1">
        <f t="array" ref="AB179">IsGreen('Large Dataset'!M179)</f>
        <v>0</v>
      </c>
      <c r="AH179" t="b" cm="1">
        <f t="array" ref="AH179">IsRed('Large Dataset'!O179)</f>
        <v>0</v>
      </c>
      <c r="AI179" t="b" cm="1">
        <f t="array" ref="AI179">IsBlue('Large Dataset'!O179)</f>
        <v>1</v>
      </c>
      <c r="AJ179" t="b" cm="1">
        <f t="array" ref="AJ179">IsPurple('Large Dataset'!O179)</f>
        <v>0</v>
      </c>
      <c r="AK179" t="b" cm="1">
        <f t="array" ref="AK179">IsGreen('Large Dataset'!O179)</f>
        <v>0</v>
      </c>
      <c r="AR179" t="b" cm="1">
        <f t="array" ref="AR179">IsRed('Large Dataset'!Q179)</f>
        <v>0</v>
      </c>
      <c r="AS179" t="b" cm="1">
        <f t="array" ref="AS179">IsBlue('Large Dataset'!Q179)</f>
        <v>0</v>
      </c>
      <c r="AT179" t="b" cm="1">
        <f t="array" ref="AT179">IsPurple('Large Dataset'!Q179)</f>
        <v>0</v>
      </c>
      <c r="AU179" t="b" cm="1">
        <f t="array" ref="AU179">IsGreen('Large Dataset'!Q179)</f>
        <v>0</v>
      </c>
      <c r="BA179" t="b" cm="1">
        <f t="array" ref="BA179">IsRed('Large Dataset'!R179)</f>
        <v>0</v>
      </c>
      <c r="BB179" t="b" cm="1">
        <f t="array" ref="BB179">IsBlue('Large Dataset'!R179)</f>
        <v>0</v>
      </c>
      <c r="BC179" t="b" cm="1">
        <f t="array" ref="BC179">IsPurple('Large Dataset'!R179)</f>
        <v>0</v>
      </c>
      <c r="BD179" t="b" cm="1">
        <f t="array" ref="BD179">IsGreen('Large Dataset'!R179)</f>
        <v>0</v>
      </c>
      <c r="BJ179" t="b" cm="1">
        <f t="array" ref="BJ179">IsRed('Large Dataset'!T179)</f>
        <v>0</v>
      </c>
      <c r="BK179" t="b" cm="1">
        <f t="array" ref="BK179">IsBlue('Large Dataset'!T179)</f>
        <v>0</v>
      </c>
      <c r="BL179" t="b" cm="1">
        <f t="array" ref="BL179">IsPurple('Large Dataset'!T179)</f>
        <v>0</v>
      </c>
      <c r="BM179" t="b" cm="1">
        <f t="array" ref="BM179">IsGreen('Large Dataset'!T179)</f>
        <v>0</v>
      </c>
      <c r="BS179" t="b" cm="1">
        <f t="array" ref="BS179">IsRed('Large Dataset'!U179)</f>
        <v>0</v>
      </c>
      <c r="BT179" t="b" cm="1">
        <f t="array" ref="BT179">IsBlue('Large Dataset'!U179)</f>
        <v>0</v>
      </c>
      <c r="BU179" t="b" cm="1">
        <f t="array" ref="BU179">IsPurple('Large Dataset'!U179)</f>
        <v>0</v>
      </c>
      <c r="BV179" t="b" cm="1">
        <f t="array" ref="BV179">IsGreen('Large Dataset'!U179)</f>
        <v>0</v>
      </c>
    </row>
    <row r="180" spans="7:74">
      <c r="G180" t="b" cm="1">
        <f t="array" ref="G180">IsRed('Large Dataset'!I180)</f>
        <v>0</v>
      </c>
      <c r="H180" t="b" cm="1">
        <f t="array" ref="H180">IsBlue('Large Dataset'!I180)</f>
        <v>0</v>
      </c>
      <c r="I180" t="b" cm="1">
        <f t="array" ref="I180">IsPurple('Large Dataset'!I180)</f>
        <v>0</v>
      </c>
      <c r="J180" t="b" cm="1">
        <f t="array" ref="J180">IsGreen('Large Dataset'!G180)</f>
        <v>0</v>
      </c>
      <c r="P180" t="b" cm="1">
        <f t="array" ref="P180">IsRed('Large Dataset'!K180)</f>
        <v>0</v>
      </c>
      <c r="Q180" t="b" cm="1">
        <f t="array" ref="Q180">IsBlue('Large Dataset'!K180)</f>
        <v>0</v>
      </c>
      <c r="R180" t="b" cm="1">
        <f t="array" ref="R180">IsPurple('Large Dataset'!K180)</f>
        <v>0</v>
      </c>
      <c r="S180" t="b" cm="1">
        <f t="array" ref="S180">IsGreen('Large Dataset'!K180)</f>
        <v>0</v>
      </c>
      <c r="Y180" t="b" cm="1">
        <f t="array" ref="Y180">IsRed('Large Dataset'!M180)</f>
        <v>0</v>
      </c>
      <c r="Z180" t="b" cm="1">
        <f t="array" ref="Z180">IsBlue('Large Dataset'!M180)</f>
        <v>0</v>
      </c>
      <c r="AA180" t="b" cm="1">
        <f t="array" ref="AA180">IsPurple('Large Dataset'!M180)</f>
        <v>0</v>
      </c>
      <c r="AB180" t="b" cm="1">
        <f t="array" ref="AB180">IsGreen('Large Dataset'!M180)</f>
        <v>0</v>
      </c>
      <c r="AH180" t="b" cm="1">
        <f t="array" ref="AH180">IsRed('Large Dataset'!O180)</f>
        <v>0</v>
      </c>
      <c r="AI180" t="b" cm="1">
        <f t="array" ref="AI180">IsBlue('Large Dataset'!O180)</f>
        <v>0</v>
      </c>
      <c r="AJ180" t="b" cm="1">
        <f t="array" ref="AJ180">IsPurple('Large Dataset'!O180)</f>
        <v>0</v>
      </c>
      <c r="AK180" t="b" cm="1">
        <f t="array" ref="AK180">IsGreen('Large Dataset'!O180)</f>
        <v>0</v>
      </c>
      <c r="AR180" t="b" cm="1">
        <f t="array" ref="AR180">IsRed('Large Dataset'!Q180)</f>
        <v>0</v>
      </c>
      <c r="AS180" t="b" cm="1">
        <f t="array" ref="AS180">IsBlue('Large Dataset'!Q180)</f>
        <v>0</v>
      </c>
      <c r="AT180" t="b" cm="1">
        <f t="array" ref="AT180">IsPurple('Large Dataset'!Q180)</f>
        <v>0</v>
      </c>
      <c r="AU180" t="b" cm="1">
        <f t="array" ref="AU180">IsGreen('Large Dataset'!Q180)</f>
        <v>0</v>
      </c>
      <c r="BA180" t="b" cm="1">
        <f t="array" ref="BA180">IsRed('Large Dataset'!R180)</f>
        <v>0</v>
      </c>
      <c r="BB180" t="b" cm="1">
        <f t="array" ref="BB180">IsBlue('Large Dataset'!R180)</f>
        <v>0</v>
      </c>
      <c r="BC180" t="b" cm="1">
        <f t="array" ref="BC180">IsPurple('Large Dataset'!R180)</f>
        <v>0</v>
      </c>
      <c r="BD180" t="b" cm="1">
        <f t="array" ref="BD180">IsGreen('Large Dataset'!R180)</f>
        <v>0</v>
      </c>
      <c r="BJ180" t="b" cm="1">
        <f t="array" ref="BJ180">IsRed('Large Dataset'!T180)</f>
        <v>0</v>
      </c>
      <c r="BK180" t="b" cm="1">
        <f t="array" ref="BK180">IsBlue('Large Dataset'!T180)</f>
        <v>0</v>
      </c>
      <c r="BL180" t="b" cm="1">
        <f t="array" ref="BL180">IsPurple('Large Dataset'!T180)</f>
        <v>0</v>
      </c>
      <c r="BM180" t="b" cm="1">
        <f t="array" ref="BM180">IsGreen('Large Dataset'!T180)</f>
        <v>0</v>
      </c>
      <c r="BS180" t="b" cm="1">
        <f t="array" ref="BS180">IsRed('Large Dataset'!U180)</f>
        <v>0</v>
      </c>
      <c r="BT180" t="b" cm="1">
        <f t="array" ref="BT180">IsBlue('Large Dataset'!U180)</f>
        <v>0</v>
      </c>
      <c r="BU180" t="b" cm="1">
        <f t="array" ref="BU180">IsPurple('Large Dataset'!U180)</f>
        <v>0</v>
      </c>
      <c r="BV180" t="b" cm="1">
        <f t="array" ref="BV180">IsGreen('Large Dataset'!U180)</f>
        <v>0</v>
      </c>
    </row>
    <row r="181" spans="7:74">
      <c r="G181" t="b" cm="1">
        <f t="array" ref="G181">IsRed('Large Dataset'!I181)</f>
        <v>0</v>
      </c>
      <c r="H181" t="b" cm="1">
        <f t="array" ref="H181">IsBlue('Large Dataset'!I181)</f>
        <v>1</v>
      </c>
      <c r="I181" t="b" cm="1">
        <f t="array" ref="I181">IsPurple('Large Dataset'!I181)</f>
        <v>0</v>
      </c>
      <c r="J181" t="b" cm="1">
        <f t="array" ref="J181">IsGreen('Large Dataset'!G181)</f>
        <v>0</v>
      </c>
      <c r="P181" t="b" cm="1">
        <f t="array" ref="P181">IsRed('Large Dataset'!K181)</f>
        <v>0</v>
      </c>
      <c r="Q181" t="b" cm="1">
        <f t="array" ref="Q181">IsBlue('Large Dataset'!K181)</f>
        <v>0</v>
      </c>
      <c r="R181" t="b" cm="1">
        <f t="array" ref="R181">IsPurple('Large Dataset'!K181)</f>
        <v>0</v>
      </c>
      <c r="S181" t="b" cm="1">
        <f t="array" ref="S181">IsGreen('Large Dataset'!K181)</f>
        <v>0</v>
      </c>
      <c r="Y181" t="b" cm="1">
        <f t="array" ref="Y181">IsRed('Large Dataset'!M181)</f>
        <v>0</v>
      </c>
      <c r="Z181" t="b" cm="1">
        <f t="array" ref="Z181">IsBlue('Large Dataset'!M181)</f>
        <v>0</v>
      </c>
      <c r="AA181" t="b" cm="1">
        <f t="array" ref="AA181">IsPurple('Large Dataset'!M181)</f>
        <v>0</v>
      </c>
      <c r="AB181" t="b" cm="1">
        <f t="array" ref="AB181">IsGreen('Large Dataset'!M181)</f>
        <v>0</v>
      </c>
      <c r="AH181" t="b" cm="1">
        <f t="array" ref="AH181">IsRed('Large Dataset'!O181)</f>
        <v>0</v>
      </c>
      <c r="AI181" t="b" cm="1">
        <f t="array" ref="AI181">IsBlue('Large Dataset'!O181)</f>
        <v>1</v>
      </c>
      <c r="AJ181" t="b" cm="1">
        <f t="array" ref="AJ181">IsPurple('Large Dataset'!O181)</f>
        <v>0</v>
      </c>
      <c r="AK181" t="b" cm="1">
        <f t="array" ref="AK181">IsGreen('Large Dataset'!O181)</f>
        <v>0</v>
      </c>
      <c r="AR181" t="b" cm="1">
        <f t="array" ref="AR181">IsRed('Large Dataset'!Q181)</f>
        <v>0</v>
      </c>
      <c r="AS181" t="b" cm="1">
        <f t="array" ref="AS181">IsBlue('Large Dataset'!Q181)</f>
        <v>0</v>
      </c>
      <c r="AT181" t="b" cm="1">
        <f t="array" ref="AT181">IsPurple('Large Dataset'!Q181)</f>
        <v>0</v>
      </c>
      <c r="AU181" t="b" cm="1">
        <f t="array" ref="AU181">IsGreen('Large Dataset'!Q181)</f>
        <v>0</v>
      </c>
      <c r="BA181" t="b" cm="1">
        <f t="array" ref="BA181">IsRed('Large Dataset'!R181)</f>
        <v>0</v>
      </c>
      <c r="BB181" t="b" cm="1">
        <f t="array" ref="BB181">IsBlue('Large Dataset'!R181)</f>
        <v>0</v>
      </c>
      <c r="BC181" t="b" cm="1">
        <f t="array" ref="BC181">IsPurple('Large Dataset'!R181)</f>
        <v>0</v>
      </c>
      <c r="BD181" t="b" cm="1">
        <f t="array" ref="BD181">IsGreen('Large Dataset'!R181)</f>
        <v>0</v>
      </c>
      <c r="BJ181" t="b" cm="1">
        <f t="array" ref="BJ181">IsRed('Large Dataset'!T181)</f>
        <v>0</v>
      </c>
      <c r="BK181" t="b" cm="1">
        <f t="array" ref="BK181">IsBlue('Large Dataset'!T181)</f>
        <v>0</v>
      </c>
      <c r="BL181" t="b" cm="1">
        <f t="array" ref="BL181">IsPurple('Large Dataset'!T181)</f>
        <v>0</v>
      </c>
      <c r="BM181" t="b" cm="1">
        <f t="array" ref="BM181">IsGreen('Large Dataset'!T181)</f>
        <v>0</v>
      </c>
      <c r="BS181" t="b" cm="1">
        <f t="array" ref="BS181">IsRed('Large Dataset'!U181)</f>
        <v>0</v>
      </c>
      <c r="BT181" t="b" cm="1">
        <f t="array" ref="BT181">IsBlue('Large Dataset'!U181)</f>
        <v>0</v>
      </c>
      <c r="BU181" t="b" cm="1">
        <f t="array" ref="BU181">IsPurple('Large Dataset'!U181)</f>
        <v>0</v>
      </c>
      <c r="BV181" t="b" cm="1">
        <f t="array" ref="BV181">IsGreen('Large Dataset'!U181)</f>
        <v>0</v>
      </c>
    </row>
    <row r="182" spans="7:74">
      <c r="G182" t="b" cm="1">
        <f t="array" ref="G182">IsRed('Large Dataset'!I182)</f>
        <v>0</v>
      </c>
      <c r="H182" t="b" cm="1">
        <f t="array" ref="H182">IsBlue('Large Dataset'!I182)</f>
        <v>0</v>
      </c>
      <c r="I182" t="b" cm="1">
        <f t="array" ref="I182">IsPurple('Large Dataset'!I182)</f>
        <v>0</v>
      </c>
      <c r="J182" t="b" cm="1">
        <f t="array" ref="J182">IsGreen('Large Dataset'!G182)</f>
        <v>0</v>
      </c>
      <c r="P182" t="b" cm="1">
        <f t="array" ref="P182">IsRed('Large Dataset'!K182)</f>
        <v>0</v>
      </c>
      <c r="Q182" t="b" cm="1">
        <f t="array" ref="Q182">IsBlue('Large Dataset'!K182)</f>
        <v>0</v>
      </c>
      <c r="R182" t="b" cm="1">
        <f t="array" ref="R182">IsPurple('Large Dataset'!K182)</f>
        <v>0</v>
      </c>
      <c r="S182" t="b" cm="1">
        <f t="array" ref="S182">IsGreen('Large Dataset'!K182)</f>
        <v>0</v>
      </c>
      <c r="Y182" t="b" cm="1">
        <f t="array" ref="Y182">IsRed('Large Dataset'!M182)</f>
        <v>0</v>
      </c>
      <c r="Z182" t="b" cm="1">
        <f t="array" ref="Z182">IsBlue('Large Dataset'!M182)</f>
        <v>0</v>
      </c>
      <c r="AA182" t="b" cm="1">
        <f t="array" ref="AA182">IsPurple('Large Dataset'!M182)</f>
        <v>0</v>
      </c>
      <c r="AB182" t="b" cm="1">
        <f t="array" ref="AB182">IsGreen('Large Dataset'!M182)</f>
        <v>0</v>
      </c>
      <c r="AH182" t="b" cm="1">
        <f t="array" ref="AH182">IsRed('Large Dataset'!O182)</f>
        <v>0</v>
      </c>
      <c r="AI182" t="b" cm="1">
        <f t="array" ref="AI182">IsBlue('Large Dataset'!O182)</f>
        <v>1</v>
      </c>
      <c r="AJ182" t="b" cm="1">
        <f t="array" ref="AJ182">IsPurple('Large Dataset'!O182)</f>
        <v>0</v>
      </c>
      <c r="AK182" t="b" cm="1">
        <f t="array" ref="AK182">IsGreen('Large Dataset'!O182)</f>
        <v>0</v>
      </c>
      <c r="AR182" t="b" cm="1">
        <f t="array" ref="AR182">IsRed('Large Dataset'!Q182)</f>
        <v>0</v>
      </c>
      <c r="AS182" t="b" cm="1">
        <f t="array" ref="AS182">IsBlue('Large Dataset'!Q182)</f>
        <v>0</v>
      </c>
      <c r="AT182" t="b" cm="1">
        <f t="array" ref="AT182">IsPurple('Large Dataset'!Q182)</f>
        <v>0</v>
      </c>
      <c r="AU182" t="b" cm="1">
        <f t="array" ref="AU182">IsGreen('Large Dataset'!Q182)</f>
        <v>0</v>
      </c>
      <c r="BA182" t="b" cm="1">
        <f t="array" ref="BA182">IsRed('Large Dataset'!R182)</f>
        <v>0</v>
      </c>
      <c r="BB182" t="b" cm="1">
        <f t="array" ref="BB182">IsBlue('Large Dataset'!R182)</f>
        <v>0</v>
      </c>
      <c r="BC182" t="b" cm="1">
        <f t="array" ref="BC182">IsPurple('Large Dataset'!R182)</f>
        <v>0</v>
      </c>
      <c r="BD182" t="b" cm="1">
        <f t="array" ref="BD182">IsGreen('Large Dataset'!R182)</f>
        <v>0</v>
      </c>
      <c r="BJ182" t="b" cm="1">
        <f t="array" ref="BJ182">IsRed('Large Dataset'!T182)</f>
        <v>0</v>
      </c>
      <c r="BK182" t="b" cm="1">
        <f t="array" ref="BK182">IsBlue('Large Dataset'!T182)</f>
        <v>0</v>
      </c>
      <c r="BL182" t="b" cm="1">
        <f t="array" ref="BL182">IsPurple('Large Dataset'!T182)</f>
        <v>0</v>
      </c>
      <c r="BM182" t="b" cm="1">
        <f t="array" ref="BM182">IsGreen('Large Dataset'!T182)</f>
        <v>0</v>
      </c>
      <c r="BS182" t="b" cm="1">
        <f t="array" ref="BS182">IsRed('Large Dataset'!U182)</f>
        <v>0</v>
      </c>
      <c r="BT182" t="b" cm="1">
        <f t="array" ref="BT182">IsBlue('Large Dataset'!U182)</f>
        <v>0</v>
      </c>
      <c r="BU182" t="b" cm="1">
        <f t="array" ref="BU182">IsPurple('Large Dataset'!U182)</f>
        <v>0</v>
      </c>
      <c r="BV182" t="b" cm="1">
        <f t="array" ref="BV182">IsGreen('Large Dataset'!U182)</f>
        <v>0</v>
      </c>
    </row>
    <row r="183" spans="7:74">
      <c r="G183" t="b" cm="1">
        <f t="array" ref="G183">IsRed('Large Dataset'!I183)</f>
        <v>0</v>
      </c>
      <c r="H183" t="b" cm="1">
        <f t="array" ref="H183">IsBlue('Large Dataset'!I183)</f>
        <v>0</v>
      </c>
      <c r="I183" t="b" cm="1">
        <f t="array" ref="I183">IsPurple('Large Dataset'!I183)</f>
        <v>0</v>
      </c>
      <c r="J183" t="b" cm="1">
        <f t="array" ref="J183">IsGreen('Large Dataset'!G183)</f>
        <v>0</v>
      </c>
      <c r="P183" t="b" cm="1">
        <f t="array" ref="P183">IsRed('Large Dataset'!K183)</f>
        <v>0</v>
      </c>
      <c r="Q183" t="b" cm="1">
        <f t="array" ref="Q183">IsBlue('Large Dataset'!K183)</f>
        <v>0</v>
      </c>
      <c r="R183" t="b" cm="1">
        <f t="array" ref="R183">IsPurple('Large Dataset'!K183)</f>
        <v>0</v>
      </c>
      <c r="S183" t="b" cm="1">
        <f t="array" ref="S183">IsGreen('Large Dataset'!K183)</f>
        <v>0</v>
      </c>
      <c r="Y183" t="b" cm="1">
        <f t="array" ref="Y183">IsRed('Large Dataset'!M183)</f>
        <v>0</v>
      </c>
      <c r="Z183" t="b" cm="1">
        <f t="array" ref="Z183">IsBlue('Large Dataset'!M183)</f>
        <v>0</v>
      </c>
      <c r="AA183" t="b" cm="1">
        <f t="array" ref="AA183">IsPurple('Large Dataset'!M183)</f>
        <v>0</v>
      </c>
      <c r="AB183" t="b" cm="1">
        <f t="array" ref="AB183">IsGreen('Large Dataset'!M183)</f>
        <v>0</v>
      </c>
      <c r="AH183" t="b" cm="1">
        <f t="array" ref="AH183">IsRed('Large Dataset'!O183)</f>
        <v>0</v>
      </c>
      <c r="AI183" t="b" cm="1">
        <f t="array" ref="AI183">IsBlue('Large Dataset'!O183)</f>
        <v>0</v>
      </c>
      <c r="AJ183" t="b" cm="1">
        <f t="array" ref="AJ183">IsPurple('Large Dataset'!O183)</f>
        <v>0</v>
      </c>
      <c r="AK183" t="b" cm="1">
        <f t="array" ref="AK183">IsGreen('Large Dataset'!O183)</f>
        <v>0</v>
      </c>
      <c r="AR183" t="b" cm="1">
        <f t="array" ref="AR183">IsRed('Large Dataset'!Q183)</f>
        <v>0</v>
      </c>
      <c r="AS183" t="b" cm="1">
        <f t="array" ref="AS183">IsBlue('Large Dataset'!Q183)</f>
        <v>0</v>
      </c>
      <c r="AT183" t="b" cm="1">
        <f t="array" ref="AT183">IsPurple('Large Dataset'!Q183)</f>
        <v>0</v>
      </c>
      <c r="AU183" t="b" cm="1">
        <f t="array" ref="AU183">IsGreen('Large Dataset'!Q183)</f>
        <v>0</v>
      </c>
      <c r="BA183" t="b" cm="1">
        <f t="array" ref="BA183">IsRed('Large Dataset'!R183)</f>
        <v>0</v>
      </c>
      <c r="BB183" t="b" cm="1">
        <f t="array" ref="BB183">IsBlue('Large Dataset'!R183)</f>
        <v>0</v>
      </c>
      <c r="BC183" t="b" cm="1">
        <f t="array" ref="BC183">IsPurple('Large Dataset'!R183)</f>
        <v>0</v>
      </c>
      <c r="BD183" t="b" cm="1">
        <f t="array" ref="BD183">IsGreen('Large Dataset'!R183)</f>
        <v>0</v>
      </c>
      <c r="BJ183" t="b" cm="1">
        <f t="array" ref="BJ183">IsRed('Large Dataset'!T183)</f>
        <v>0</v>
      </c>
      <c r="BK183" t="b" cm="1">
        <f t="array" ref="BK183">IsBlue('Large Dataset'!T183)</f>
        <v>0</v>
      </c>
      <c r="BL183" t="b" cm="1">
        <f t="array" ref="BL183">IsPurple('Large Dataset'!T183)</f>
        <v>0</v>
      </c>
      <c r="BM183" t="b" cm="1">
        <f t="array" ref="BM183">IsGreen('Large Dataset'!T183)</f>
        <v>0</v>
      </c>
      <c r="BS183" t="b" cm="1">
        <f t="array" ref="BS183">IsRed('Large Dataset'!U183)</f>
        <v>0</v>
      </c>
      <c r="BT183" t="b" cm="1">
        <f t="array" ref="BT183">IsBlue('Large Dataset'!U183)</f>
        <v>0</v>
      </c>
      <c r="BU183" t="b" cm="1">
        <f t="array" ref="BU183">IsPurple('Large Dataset'!U183)</f>
        <v>0</v>
      </c>
      <c r="BV183" t="b" cm="1">
        <f t="array" ref="BV183">IsGreen('Large Dataset'!U183)</f>
        <v>0</v>
      </c>
    </row>
    <row r="184" spans="7:74">
      <c r="G184" t="b" cm="1">
        <f t="array" ref="G184">IsRed('Large Dataset'!I184)</f>
        <v>0</v>
      </c>
      <c r="H184" t="b" cm="1">
        <f t="array" ref="H184">IsBlue('Large Dataset'!I184)</f>
        <v>0</v>
      </c>
      <c r="I184" t="b" cm="1">
        <f t="array" ref="I184">IsPurple('Large Dataset'!I184)</f>
        <v>0</v>
      </c>
      <c r="J184" t="b" cm="1">
        <f t="array" ref="J184">IsGreen('Large Dataset'!G184)</f>
        <v>0</v>
      </c>
      <c r="P184" t="b" cm="1">
        <f t="array" ref="P184">IsRed('Large Dataset'!K184)</f>
        <v>0</v>
      </c>
      <c r="Q184" t="b" cm="1">
        <f t="array" ref="Q184">IsBlue('Large Dataset'!K184)</f>
        <v>0</v>
      </c>
      <c r="R184" t="b" cm="1">
        <f t="array" ref="R184">IsPurple('Large Dataset'!K184)</f>
        <v>0</v>
      </c>
      <c r="S184" t="b" cm="1">
        <f t="array" ref="S184">IsGreen('Large Dataset'!K184)</f>
        <v>0</v>
      </c>
      <c r="Y184" t="b" cm="1">
        <f t="array" ref="Y184">IsRed('Large Dataset'!M184)</f>
        <v>0</v>
      </c>
      <c r="Z184" t="b" cm="1">
        <f t="array" ref="Z184">IsBlue('Large Dataset'!M184)</f>
        <v>0</v>
      </c>
      <c r="AA184" t="b" cm="1">
        <f t="array" ref="AA184">IsPurple('Large Dataset'!M184)</f>
        <v>0</v>
      </c>
      <c r="AB184" t="b" cm="1">
        <f t="array" ref="AB184">IsGreen('Large Dataset'!M184)</f>
        <v>0</v>
      </c>
      <c r="AH184" t="b" cm="1">
        <f t="array" ref="AH184">IsRed('Large Dataset'!O184)</f>
        <v>0</v>
      </c>
      <c r="AI184" t="b" cm="1">
        <f t="array" ref="AI184">IsBlue('Large Dataset'!O184)</f>
        <v>0</v>
      </c>
      <c r="AJ184" t="b" cm="1">
        <f t="array" ref="AJ184">IsPurple('Large Dataset'!O184)</f>
        <v>0</v>
      </c>
      <c r="AK184" t="b" cm="1">
        <f t="array" ref="AK184">IsGreen('Large Dataset'!O184)</f>
        <v>0</v>
      </c>
      <c r="AR184" t="b" cm="1">
        <f t="array" ref="AR184">IsRed('Large Dataset'!Q184)</f>
        <v>0</v>
      </c>
      <c r="AS184" t="b" cm="1">
        <f t="array" ref="AS184">IsBlue('Large Dataset'!Q184)</f>
        <v>0</v>
      </c>
      <c r="AT184" t="b" cm="1">
        <f t="array" ref="AT184">IsPurple('Large Dataset'!Q184)</f>
        <v>0</v>
      </c>
      <c r="AU184" t="b" cm="1">
        <f t="array" ref="AU184">IsGreen('Large Dataset'!Q184)</f>
        <v>0</v>
      </c>
      <c r="BA184" t="b" cm="1">
        <f t="array" ref="BA184">IsRed('Large Dataset'!R184)</f>
        <v>0</v>
      </c>
      <c r="BB184" t="b" cm="1">
        <f t="array" ref="BB184">IsBlue('Large Dataset'!R184)</f>
        <v>0</v>
      </c>
      <c r="BC184" t="b" cm="1">
        <f t="array" ref="BC184">IsPurple('Large Dataset'!R184)</f>
        <v>0</v>
      </c>
      <c r="BD184" t="b" cm="1">
        <f t="array" ref="BD184">IsGreen('Large Dataset'!R184)</f>
        <v>0</v>
      </c>
      <c r="BJ184" t="b" cm="1">
        <f t="array" ref="BJ184">IsRed('Large Dataset'!T184)</f>
        <v>0</v>
      </c>
      <c r="BK184" t="b" cm="1">
        <f t="array" ref="BK184">IsBlue('Large Dataset'!T184)</f>
        <v>0</v>
      </c>
      <c r="BL184" t="b" cm="1">
        <f t="array" ref="BL184">IsPurple('Large Dataset'!T184)</f>
        <v>0</v>
      </c>
      <c r="BM184" t="b" cm="1">
        <f t="array" ref="BM184">IsGreen('Large Dataset'!T184)</f>
        <v>0</v>
      </c>
      <c r="BS184" t="b" cm="1">
        <f t="array" ref="BS184">IsRed('Large Dataset'!U184)</f>
        <v>0</v>
      </c>
      <c r="BT184" t="b" cm="1">
        <f t="array" ref="BT184">IsBlue('Large Dataset'!U184)</f>
        <v>0</v>
      </c>
      <c r="BU184" t="b" cm="1">
        <f t="array" ref="BU184">IsPurple('Large Dataset'!U184)</f>
        <v>0</v>
      </c>
      <c r="BV184" t="b" cm="1">
        <f t="array" ref="BV184">IsGreen('Large Dataset'!U184)</f>
        <v>0</v>
      </c>
    </row>
    <row r="185" spans="7:74">
      <c r="G185" t="b" cm="1">
        <f t="array" ref="G185">IsRed('Large Dataset'!I185)</f>
        <v>0</v>
      </c>
      <c r="H185" t="b" cm="1">
        <f t="array" ref="H185">IsBlue('Large Dataset'!I185)</f>
        <v>0</v>
      </c>
      <c r="I185" t="b" cm="1">
        <f t="array" ref="I185">IsPurple('Large Dataset'!I185)</f>
        <v>0</v>
      </c>
      <c r="J185" t="b" cm="1">
        <f t="array" ref="J185">IsGreen('Large Dataset'!G185)</f>
        <v>0</v>
      </c>
      <c r="P185" t="b" cm="1">
        <f t="array" ref="P185">IsRed('Large Dataset'!K185)</f>
        <v>0</v>
      </c>
      <c r="Q185" t="b" cm="1">
        <f t="array" ref="Q185">IsBlue('Large Dataset'!K185)</f>
        <v>0</v>
      </c>
      <c r="R185" t="b" cm="1">
        <f t="array" ref="R185">IsPurple('Large Dataset'!K185)</f>
        <v>0</v>
      </c>
      <c r="S185" t="b" cm="1">
        <f t="array" ref="S185">IsGreen('Large Dataset'!K185)</f>
        <v>0</v>
      </c>
      <c r="Y185" t="b" cm="1">
        <f t="array" ref="Y185">IsRed('Large Dataset'!M185)</f>
        <v>0</v>
      </c>
      <c r="Z185" t="b" cm="1">
        <f t="array" ref="Z185">IsBlue('Large Dataset'!M185)</f>
        <v>0</v>
      </c>
      <c r="AA185" t="b" cm="1">
        <f t="array" ref="AA185">IsPurple('Large Dataset'!M185)</f>
        <v>0</v>
      </c>
      <c r="AB185" t="b" cm="1">
        <f t="array" ref="AB185">IsGreen('Large Dataset'!M185)</f>
        <v>0</v>
      </c>
      <c r="AH185" t="b" cm="1">
        <f t="array" ref="AH185">IsRed('Large Dataset'!O185)</f>
        <v>0</v>
      </c>
      <c r="AI185" t="b" cm="1">
        <f t="array" ref="AI185">IsBlue('Large Dataset'!O185)</f>
        <v>0</v>
      </c>
      <c r="AJ185" t="b" cm="1">
        <f t="array" ref="AJ185">IsPurple('Large Dataset'!O185)</f>
        <v>0</v>
      </c>
      <c r="AK185" t="b" cm="1">
        <f t="array" ref="AK185">IsGreen('Large Dataset'!O185)</f>
        <v>0</v>
      </c>
      <c r="AR185" t="b" cm="1">
        <f t="array" ref="AR185">IsRed('Large Dataset'!Q185)</f>
        <v>0</v>
      </c>
      <c r="AS185" t="b" cm="1">
        <f t="array" ref="AS185">IsBlue('Large Dataset'!Q185)</f>
        <v>0</v>
      </c>
      <c r="AT185" t="b" cm="1">
        <f t="array" ref="AT185">IsPurple('Large Dataset'!Q185)</f>
        <v>0</v>
      </c>
      <c r="AU185" t="b" cm="1">
        <f t="array" ref="AU185">IsGreen('Large Dataset'!Q185)</f>
        <v>0</v>
      </c>
      <c r="BA185" t="b" cm="1">
        <f t="array" ref="BA185">IsRed('Large Dataset'!R185)</f>
        <v>0</v>
      </c>
      <c r="BB185" t="b" cm="1">
        <f t="array" ref="BB185">IsBlue('Large Dataset'!R185)</f>
        <v>0</v>
      </c>
      <c r="BC185" t="b" cm="1">
        <f t="array" ref="BC185">IsPurple('Large Dataset'!R185)</f>
        <v>0</v>
      </c>
      <c r="BD185" t="b" cm="1">
        <f t="array" ref="BD185">IsGreen('Large Dataset'!R185)</f>
        <v>0</v>
      </c>
      <c r="BJ185" t="b" cm="1">
        <f t="array" ref="BJ185">IsRed('Large Dataset'!T185)</f>
        <v>0</v>
      </c>
      <c r="BK185" t="b" cm="1">
        <f t="array" ref="BK185">IsBlue('Large Dataset'!T185)</f>
        <v>0</v>
      </c>
      <c r="BL185" t="b" cm="1">
        <f t="array" ref="BL185">IsPurple('Large Dataset'!T185)</f>
        <v>0</v>
      </c>
      <c r="BM185" t="b" cm="1">
        <f t="array" ref="BM185">IsGreen('Large Dataset'!T185)</f>
        <v>0</v>
      </c>
      <c r="BS185" t="b" cm="1">
        <f t="array" ref="BS185">IsRed('Large Dataset'!U185)</f>
        <v>0</v>
      </c>
      <c r="BT185" t="b" cm="1">
        <f t="array" ref="BT185">IsBlue('Large Dataset'!U185)</f>
        <v>0</v>
      </c>
      <c r="BU185" t="b" cm="1">
        <f t="array" ref="BU185">IsPurple('Large Dataset'!U185)</f>
        <v>0</v>
      </c>
      <c r="BV185" t="b" cm="1">
        <f t="array" ref="BV185">IsGreen('Large Dataset'!U185)</f>
        <v>0</v>
      </c>
    </row>
    <row r="186" spans="7:74">
      <c r="G186" t="b" cm="1">
        <f t="array" ref="G186">IsRed('Large Dataset'!I186)</f>
        <v>0</v>
      </c>
      <c r="H186" t="b" cm="1">
        <f t="array" ref="H186">IsBlue('Large Dataset'!I186)</f>
        <v>0</v>
      </c>
      <c r="I186" t="b" cm="1">
        <f t="array" ref="I186">IsPurple('Large Dataset'!I186)</f>
        <v>0</v>
      </c>
      <c r="J186" t="b" cm="1">
        <f t="array" ref="J186">IsGreen('Large Dataset'!G186)</f>
        <v>0</v>
      </c>
      <c r="P186" t="b" cm="1">
        <f t="array" ref="P186">IsRed('Large Dataset'!K186)</f>
        <v>0</v>
      </c>
      <c r="Q186" t="b" cm="1">
        <f t="array" ref="Q186">IsBlue('Large Dataset'!K186)</f>
        <v>0</v>
      </c>
      <c r="R186" t="b" cm="1">
        <f t="array" ref="R186">IsPurple('Large Dataset'!K186)</f>
        <v>0</v>
      </c>
      <c r="S186" t="b" cm="1">
        <f t="array" ref="S186">IsGreen('Large Dataset'!K186)</f>
        <v>0</v>
      </c>
      <c r="Y186" t="b" cm="1">
        <f t="array" ref="Y186">IsRed('Large Dataset'!M186)</f>
        <v>0</v>
      </c>
      <c r="Z186" t="b" cm="1">
        <f t="array" ref="Z186">IsBlue('Large Dataset'!M186)</f>
        <v>0</v>
      </c>
      <c r="AA186" t="b" cm="1">
        <f t="array" ref="AA186">IsPurple('Large Dataset'!M186)</f>
        <v>0</v>
      </c>
      <c r="AB186" t="b" cm="1">
        <f t="array" ref="AB186">IsGreen('Large Dataset'!M186)</f>
        <v>0</v>
      </c>
      <c r="AH186" t="b" cm="1">
        <f t="array" ref="AH186">IsRed('Large Dataset'!O186)</f>
        <v>0</v>
      </c>
      <c r="AI186" t="b" cm="1">
        <f t="array" ref="AI186">IsBlue('Large Dataset'!O186)</f>
        <v>0</v>
      </c>
      <c r="AJ186" t="b" cm="1">
        <f t="array" ref="AJ186">IsPurple('Large Dataset'!O186)</f>
        <v>0</v>
      </c>
      <c r="AK186" t="b" cm="1">
        <f t="array" ref="AK186">IsGreen('Large Dataset'!O186)</f>
        <v>0</v>
      </c>
      <c r="AR186" t="b" cm="1">
        <f t="array" ref="AR186">IsRed('Large Dataset'!Q186)</f>
        <v>0</v>
      </c>
      <c r="AS186" t="b" cm="1">
        <f t="array" ref="AS186">IsBlue('Large Dataset'!Q186)</f>
        <v>0</v>
      </c>
      <c r="AT186" t="b" cm="1">
        <f t="array" ref="AT186">IsPurple('Large Dataset'!Q186)</f>
        <v>0</v>
      </c>
      <c r="AU186" t="b" cm="1">
        <f t="array" ref="AU186">IsGreen('Large Dataset'!Q186)</f>
        <v>0</v>
      </c>
      <c r="BA186" t="b" cm="1">
        <f t="array" ref="BA186">IsRed('Large Dataset'!R186)</f>
        <v>0</v>
      </c>
      <c r="BB186" t="b" cm="1">
        <f t="array" ref="BB186">IsBlue('Large Dataset'!R186)</f>
        <v>0</v>
      </c>
      <c r="BC186" t="b" cm="1">
        <f t="array" ref="BC186">IsPurple('Large Dataset'!R186)</f>
        <v>0</v>
      </c>
      <c r="BD186" t="b" cm="1">
        <f t="array" ref="BD186">IsGreen('Large Dataset'!R186)</f>
        <v>0</v>
      </c>
      <c r="BJ186" t="b" cm="1">
        <f t="array" ref="BJ186">IsRed('Large Dataset'!T186)</f>
        <v>0</v>
      </c>
      <c r="BK186" t="b" cm="1">
        <f t="array" ref="BK186">IsBlue('Large Dataset'!T186)</f>
        <v>0</v>
      </c>
      <c r="BL186" t="b" cm="1">
        <f t="array" ref="BL186">IsPurple('Large Dataset'!T186)</f>
        <v>0</v>
      </c>
      <c r="BM186" t="b" cm="1">
        <f t="array" ref="BM186">IsGreen('Large Dataset'!T186)</f>
        <v>0</v>
      </c>
      <c r="BS186" t="b" cm="1">
        <f t="array" ref="BS186">IsRed('Large Dataset'!U186)</f>
        <v>0</v>
      </c>
      <c r="BT186" t="b" cm="1">
        <f t="array" ref="BT186">IsBlue('Large Dataset'!U186)</f>
        <v>0</v>
      </c>
      <c r="BU186" t="b" cm="1">
        <f t="array" ref="BU186">IsPurple('Large Dataset'!U186)</f>
        <v>0</v>
      </c>
      <c r="BV186" t="b" cm="1">
        <f t="array" ref="BV186">IsGreen('Large Dataset'!U186)</f>
        <v>0</v>
      </c>
    </row>
    <row r="187" spans="7:74">
      <c r="G187" t="b" cm="1">
        <f t="array" ref="G187">IsRed('Large Dataset'!I187)</f>
        <v>0</v>
      </c>
      <c r="H187" t="b" cm="1">
        <f t="array" ref="H187">IsBlue('Large Dataset'!I187)</f>
        <v>0</v>
      </c>
      <c r="I187" t="b" cm="1">
        <f t="array" ref="I187">IsPurple('Large Dataset'!I187)</f>
        <v>0</v>
      </c>
      <c r="J187" t="b" cm="1">
        <f t="array" ref="J187">IsGreen('Large Dataset'!G187)</f>
        <v>0</v>
      </c>
      <c r="P187" t="b" cm="1">
        <f t="array" ref="P187">IsRed('Large Dataset'!K187)</f>
        <v>0</v>
      </c>
      <c r="Q187" t="b" cm="1">
        <f t="array" ref="Q187">IsBlue('Large Dataset'!K187)</f>
        <v>0</v>
      </c>
      <c r="R187" t="b" cm="1">
        <f t="array" ref="R187">IsPurple('Large Dataset'!K187)</f>
        <v>0</v>
      </c>
      <c r="S187" t="b" cm="1">
        <f t="array" ref="S187">IsGreen('Large Dataset'!K187)</f>
        <v>0</v>
      </c>
      <c r="Y187" t="b" cm="1">
        <f t="array" ref="Y187">IsRed('Large Dataset'!M187)</f>
        <v>0</v>
      </c>
      <c r="Z187" t="b" cm="1">
        <f t="array" ref="Z187">IsBlue('Large Dataset'!M187)</f>
        <v>0</v>
      </c>
      <c r="AA187" t="b" cm="1">
        <f t="array" ref="AA187">IsPurple('Large Dataset'!M187)</f>
        <v>0</v>
      </c>
      <c r="AB187" t="b" cm="1">
        <f t="array" ref="AB187">IsGreen('Large Dataset'!M187)</f>
        <v>0</v>
      </c>
      <c r="AH187" t="b" cm="1">
        <f t="array" ref="AH187">IsRed('Large Dataset'!O187)</f>
        <v>0</v>
      </c>
      <c r="AI187" t="b" cm="1">
        <f t="array" ref="AI187">IsBlue('Large Dataset'!O187)</f>
        <v>0</v>
      </c>
      <c r="AJ187" t="b" cm="1">
        <f t="array" ref="AJ187">IsPurple('Large Dataset'!O187)</f>
        <v>0</v>
      </c>
      <c r="AK187" t="b" cm="1">
        <f t="array" ref="AK187">IsGreen('Large Dataset'!O187)</f>
        <v>0</v>
      </c>
      <c r="AR187" t="b" cm="1">
        <f t="array" ref="AR187">IsRed('Large Dataset'!Q187)</f>
        <v>0</v>
      </c>
      <c r="AS187" t="b" cm="1">
        <f t="array" ref="AS187">IsBlue('Large Dataset'!Q187)</f>
        <v>0</v>
      </c>
      <c r="AT187" t="b" cm="1">
        <f t="array" ref="AT187">IsPurple('Large Dataset'!Q187)</f>
        <v>0</v>
      </c>
      <c r="AU187" t="b" cm="1">
        <f t="array" ref="AU187">IsGreen('Large Dataset'!Q187)</f>
        <v>0</v>
      </c>
      <c r="BA187" t="b" cm="1">
        <f t="array" ref="BA187">IsRed('Large Dataset'!R187)</f>
        <v>0</v>
      </c>
      <c r="BB187" t="b" cm="1">
        <f t="array" ref="BB187">IsBlue('Large Dataset'!R187)</f>
        <v>0</v>
      </c>
      <c r="BC187" t="b" cm="1">
        <f t="array" ref="BC187">IsPurple('Large Dataset'!R187)</f>
        <v>0</v>
      </c>
      <c r="BD187" t="b" cm="1">
        <f t="array" ref="BD187">IsGreen('Large Dataset'!R187)</f>
        <v>0</v>
      </c>
      <c r="BJ187" t="b" cm="1">
        <f t="array" ref="BJ187">IsRed('Large Dataset'!T187)</f>
        <v>0</v>
      </c>
      <c r="BK187" t="b" cm="1">
        <f t="array" ref="BK187">IsBlue('Large Dataset'!T187)</f>
        <v>0</v>
      </c>
      <c r="BL187" t="b" cm="1">
        <f t="array" ref="BL187">IsPurple('Large Dataset'!T187)</f>
        <v>0</v>
      </c>
      <c r="BM187" t="b" cm="1">
        <f t="array" ref="BM187">IsGreen('Large Dataset'!T187)</f>
        <v>0</v>
      </c>
      <c r="BS187" t="b" cm="1">
        <f t="array" ref="BS187">IsRed('Large Dataset'!U187)</f>
        <v>0</v>
      </c>
      <c r="BT187" t="b" cm="1">
        <f t="array" ref="BT187">IsBlue('Large Dataset'!U187)</f>
        <v>0</v>
      </c>
      <c r="BU187" t="b" cm="1">
        <f t="array" ref="BU187">IsPurple('Large Dataset'!U187)</f>
        <v>0</v>
      </c>
      <c r="BV187" t="b" cm="1">
        <f t="array" ref="BV187">IsGreen('Large Dataset'!U187)</f>
        <v>0</v>
      </c>
    </row>
    <row r="188" spans="7:74">
      <c r="G188" t="b" cm="1">
        <f t="array" ref="G188">IsRed('Large Dataset'!I188)</f>
        <v>0</v>
      </c>
      <c r="H188" t="b" cm="1">
        <f t="array" ref="H188">IsBlue('Large Dataset'!I188)</f>
        <v>0</v>
      </c>
      <c r="I188" t="b" cm="1">
        <f t="array" ref="I188">IsPurple('Large Dataset'!I188)</f>
        <v>0</v>
      </c>
      <c r="J188" t="b" cm="1">
        <f t="array" ref="J188">IsGreen('Large Dataset'!G188)</f>
        <v>0</v>
      </c>
      <c r="P188" t="b" cm="1">
        <f t="array" ref="P188">IsRed('Large Dataset'!K188)</f>
        <v>0</v>
      </c>
      <c r="Q188" t="b" cm="1">
        <f t="array" ref="Q188">IsBlue('Large Dataset'!K188)</f>
        <v>0</v>
      </c>
      <c r="R188" t="b" cm="1">
        <f t="array" ref="R188">IsPurple('Large Dataset'!K188)</f>
        <v>0</v>
      </c>
      <c r="S188" t="b" cm="1">
        <f t="array" ref="S188">IsGreen('Large Dataset'!K188)</f>
        <v>0</v>
      </c>
      <c r="Y188" t="b" cm="1">
        <f t="array" ref="Y188">IsRed('Large Dataset'!M188)</f>
        <v>0</v>
      </c>
      <c r="Z188" t="b" cm="1">
        <f t="array" ref="Z188">IsBlue('Large Dataset'!M188)</f>
        <v>0</v>
      </c>
      <c r="AA188" t="b" cm="1">
        <f t="array" ref="AA188">IsPurple('Large Dataset'!M188)</f>
        <v>0</v>
      </c>
      <c r="AB188" t="b" cm="1">
        <f t="array" ref="AB188">IsGreen('Large Dataset'!M188)</f>
        <v>0</v>
      </c>
      <c r="AH188" t="b" cm="1">
        <f t="array" ref="AH188">IsRed('Large Dataset'!O188)</f>
        <v>0</v>
      </c>
      <c r="AI188" t="b" cm="1">
        <f t="array" ref="AI188">IsBlue('Large Dataset'!O188)</f>
        <v>0</v>
      </c>
      <c r="AJ188" t="b" cm="1">
        <f t="array" ref="AJ188">IsPurple('Large Dataset'!O188)</f>
        <v>0</v>
      </c>
      <c r="AK188" t="b" cm="1">
        <f t="array" ref="AK188">IsGreen('Large Dataset'!O188)</f>
        <v>0</v>
      </c>
      <c r="AR188" t="b" cm="1">
        <f t="array" ref="AR188">IsRed('Large Dataset'!Q188)</f>
        <v>0</v>
      </c>
      <c r="AS188" t="b" cm="1">
        <f t="array" ref="AS188">IsBlue('Large Dataset'!Q188)</f>
        <v>0</v>
      </c>
      <c r="AT188" t="b" cm="1">
        <f t="array" ref="AT188">IsPurple('Large Dataset'!Q188)</f>
        <v>0</v>
      </c>
      <c r="AU188" t="b" cm="1">
        <f t="array" ref="AU188">IsGreen('Large Dataset'!Q188)</f>
        <v>0</v>
      </c>
      <c r="BA188" t="b" cm="1">
        <f t="array" ref="BA188">IsRed('Large Dataset'!R188)</f>
        <v>0</v>
      </c>
      <c r="BB188" t="b" cm="1">
        <f t="array" ref="BB188">IsBlue('Large Dataset'!R188)</f>
        <v>0</v>
      </c>
      <c r="BC188" t="b" cm="1">
        <f t="array" ref="BC188">IsPurple('Large Dataset'!R188)</f>
        <v>0</v>
      </c>
      <c r="BD188" t="b" cm="1">
        <f t="array" ref="BD188">IsGreen('Large Dataset'!R188)</f>
        <v>0</v>
      </c>
      <c r="BJ188" t="b" cm="1">
        <f t="array" ref="BJ188">IsRed('Large Dataset'!T188)</f>
        <v>0</v>
      </c>
      <c r="BK188" t="b" cm="1">
        <f t="array" ref="BK188">IsBlue('Large Dataset'!T188)</f>
        <v>0</v>
      </c>
      <c r="BL188" t="b" cm="1">
        <f t="array" ref="BL188">IsPurple('Large Dataset'!T188)</f>
        <v>0</v>
      </c>
      <c r="BM188" t="b" cm="1">
        <f t="array" ref="BM188">IsGreen('Large Dataset'!T188)</f>
        <v>0</v>
      </c>
      <c r="BS188" t="b" cm="1">
        <f t="array" ref="BS188">IsRed('Large Dataset'!U188)</f>
        <v>0</v>
      </c>
      <c r="BT188" t="b" cm="1">
        <f t="array" ref="BT188">IsBlue('Large Dataset'!U188)</f>
        <v>0</v>
      </c>
      <c r="BU188" t="b" cm="1">
        <f t="array" ref="BU188">IsPurple('Large Dataset'!U188)</f>
        <v>0</v>
      </c>
      <c r="BV188" t="b" cm="1">
        <f t="array" ref="BV188">IsGreen('Large Dataset'!U188)</f>
        <v>0</v>
      </c>
    </row>
    <row r="189" spans="7:74">
      <c r="G189" t="b" cm="1">
        <f t="array" ref="G189">IsRed('Large Dataset'!I189)</f>
        <v>0</v>
      </c>
      <c r="H189" t="b" cm="1">
        <f t="array" ref="H189">IsBlue('Large Dataset'!I189)</f>
        <v>0</v>
      </c>
      <c r="I189" t="b" cm="1">
        <f t="array" ref="I189">IsPurple('Large Dataset'!I189)</f>
        <v>0</v>
      </c>
      <c r="J189" t="b" cm="1">
        <f t="array" ref="J189">IsGreen('Large Dataset'!G189)</f>
        <v>0</v>
      </c>
      <c r="P189" t="b" cm="1">
        <f t="array" ref="P189">IsRed('Large Dataset'!K189)</f>
        <v>0</v>
      </c>
      <c r="Q189" t="b" cm="1">
        <f t="array" ref="Q189">IsBlue('Large Dataset'!K189)</f>
        <v>0</v>
      </c>
      <c r="R189" t="b" cm="1">
        <f t="array" ref="R189">IsPurple('Large Dataset'!K189)</f>
        <v>0</v>
      </c>
      <c r="S189" t="b" cm="1">
        <f t="array" ref="S189">IsGreen('Large Dataset'!K189)</f>
        <v>0</v>
      </c>
      <c r="Y189" t="b" cm="1">
        <f t="array" ref="Y189">IsRed('Large Dataset'!M189)</f>
        <v>0</v>
      </c>
      <c r="Z189" t="b" cm="1">
        <f t="array" ref="Z189">IsBlue('Large Dataset'!M189)</f>
        <v>0</v>
      </c>
      <c r="AA189" t="b" cm="1">
        <f t="array" ref="AA189">IsPurple('Large Dataset'!M189)</f>
        <v>0</v>
      </c>
      <c r="AB189" t="b" cm="1">
        <f t="array" ref="AB189">IsGreen('Large Dataset'!M189)</f>
        <v>0</v>
      </c>
      <c r="AH189" t="b" cm="1">
        <f t="array" ref="AH189">IsRed('Large Dataset'!O189)</f>
        <v>0</v>
      </c>
      <c r="AI189" t="b" cm="1">
        <f t="array" ref="AI189">IsBlue('Large Dataset'!O189)</f>
        <v>0</v>
      </c>
      <c r="AJ189" t="b" cm="1">
        <f t="array" ref="AJ189">IsPurple('Large Dataset'!O189)</f>
        <v>0</v>
      </c>
      <c r="AK189" t="b" cm="1">
        <f t="array" ref="AK189">IsGreen('Large Dataset'!O189)</f>
        <v>0</v>
      </c>
      <c r="AR189" t="b" cm="1">
        <f t="array" ref="AR189">IsRed('Large Dataset'!Q189)</f>
        <v>0</v>
      </c>
      <c r="AS189" t="b" cm="1">
        <f t="array" ref="AS189">IsBlue('Large Dataset'!Q189)</f>
        <v>0</v>
      </c>
      <c r="AT189" t="b" cm="1">
        <f t="array" ref="AT189">IsPurple('Large Dataset'!Q189)</f>
        <v>0</v>
      </c>
      <c r="AU189" t="b" cm="1">
        <f t="array" ref="AU189">IsGreen('Large Dataset'!Q189)</f>
        <v>0</v>
      </c>
      <c r="BA189" t="b" cm="1">
        <f t="array" ref="BA189">IsRed('Large Dataset'!R189)</f>
        <v>0</v>
      </c>
      <c r="BB189" t="b" cm="1">
        <f t="array" ref="BB189">IsBlue('Large Dataset'!R189)</f>
        <v>0</v>
      </c>
      <c r="BC189" t="b" cm="1">
        <f t="array" ref="BC189">IsPurple('Large Dataset'!R189)</f>
        <v>0</v>
      </c>
      <c r="BD189" t="b" cm="1">
        <f t="array" ref="BD189">IsGreen('Large Dataset'!R189)</f>
        <v>0</v>
      </c>
      <c r="BJ189" t="b" cm="1">
        <f t="array" ref="BJ189">IsRed('Large Dataset'!T189)</f>
        <v>0</v>
      </c>
      <c r="BK189" t="b" cm="1">
        <f t="array" ref="BK189">IsBlue('Large Dataset'!T189)</f>
        <v>0</v>
      </c>
      <c r="BL189" t="b" cm="1">
        <f t="array" ref="BL189">IsPurple('Large Dataset'!T189)</f>
        <v>0</v>
      </c>
      <c r="BM189" t="b" cm="1">
        <f t="array" ref="BM189">IsGreen('Large Dataset'!T189)</f>
        <v>0</v>
      </c>
      <c r="BS189" t="b" cm="1">
        <f t="array" ref="BS189">IsRed('Large Dataset'!U189)</f>
        <v>0</v>
      </c>
      <c r="BT189" t="b" cm="1">
        <f t="array" ref="BT189">IsBlue('Large Dataset'!U189)</f>
        <v>0</v>
      </c>
      <c r="BU189" t="b" cm="1">
        <f t="array" ref="BU189">IsPurple('Large Dataset'!U189)</f>
        <v>0</v>
      </c>
      <c r="BV189" t="b" cm="1">
        <f t="array" ref="BV189">IsGreen('Large Dataset'!U189)</f>
        <v>0</v>
      </c>
    </row>
    <row r="190" spans="7:74">
      <c r="G190" t="b" cm="1">
        <f t="array" ref="G190">IsRed('Large Dataset'!I190)</f>
        <v>0</v>
      </c>
      <c r="H190" t="b" cm="1">
        <f t="array" ref="H190">IsBlue('Large Dataset'!I190)</f>
        <v>0</v>
      </c>
      <c r="I190" t="b" cm="1">
        <f t="array" ref="I190">IsPurple('Large Dataset'!I190)</f>
        <v>0</v>
      </c>
      <c r="J190" t="b" cm="1">
        <f t="array" ref="J190">IsGreen('Large Dataset'!G190)</f>
        <v>0</v>
      </c>
      <c r="P190" t="b" cm="1">
        <f t="array" ref="P190">IsRed('Large Dataset'!K190)</f>
        <v>0</v>
      </c>
      <c r="Q190" t="b" cm="1">
        <f t="array" ref="Q190">IsBlue('Large Dataset'!K190)</f>
        <v>0</v>
      </c>
      <c r="R190" t="b" cm="1">
        <f t="array" ref="R190">IsPurple('Large Dataset'!K190)</f>
        <v>0</v>
      </c>
      <c r="S190" t="b" cm="1">
        <f t="array" ref="S190">IsGreen('Large Dataset'!K190)</f>
        <v>0</v>
      </c>
      <c r="Y190" t="b" cm="1">
        <f t="array" ref="Y190">IsRed('Large Dataset'!M190)</f>
        <v>0</v>
      </c>
      <c r="Z190" t="b" cm="1">
        <f t="array" ref="Z190">IsBlue('Large Dataset'!M190)</f>
        <v>0</v>
      </c>
      <c r="AA190" t="b" cm="1">
        <f t="array" ref="AA190">IsPurple('Large Dataset'!M190)</f>
        <v>0</v>
      </c>
      <c r="AB190" t="b" cm="1">
        <f t="array" ref="AB190">IsGreen('Large Dataset'!M190)</f>
        <v>0</v>
      </c>
      <c r="AH190" t="b" cm="1">
        <f t="array" ref="AH190">IsRed('Large Dataset'!O190)</f>
        <v>0</v>
      </c>
      <c r="AI190" t="b" cm="1">
        <f t="array" ref="AI190">IsBlue('Large Dataset'!O190)</f>
        <v>0</v>
      </c>
      <c r="AJ190" t="b" cm="1">
        <f t="array" ref="AJ190">IsPurple('Large Dataset'!O190)</f>
        <v>0</v>
      </c>
      <c r="AK190" t="b" cm="1">
        <f t="array" ref="AK190">IsGreen('Large Dataset'!O190)</f>
        <v>0</v>
      </c>
      <c r="AR190" t="b" cm="1">
        <f t="array" ref="AR190">IsRed('Large Dataset'!Q190)</f>
        <v>0</v>
      </c>
      <c r="AS190" t="b" cm="1">
        <f t="array" ref="AS190">IsBlue('Large Dataset'!Q190)</f>
        <v>0</v>
      </c>
      <c r="AT190" t="b" cm="1">
        <f t="array" ref="AT190">IsPurple('Large Dataset'!Q190)</f>
        <v>0</v>
      </c>
      <c r="AU190" t="b" cm="1">
        <f t="array" ref="AU190">IsGreen('Large Dataset'!Q190)</f>
        <v>0</v>
      </c>
      <c r="BA190" t="b" cm="1">
        <f t="array" ref="BA190">IsRed('Large Dataset'!R190)</f>
        <v>0</v>
      </c>
      <c r="BB190" t="b" cm="1">
        <f t="array" ref="BB190">IsBlue('Large Dataset'!R190)</f>
        <v>0</v>
      </c>
      <c r="BC190" t="b" cm="1">
        <f t="array" ref="BC190">IsPurple('Large Dataset'!R190)</f>
        <v>0</v>
      </c>
      <c r="BD190" t="b" cm="1">
        <f t="array" ref="BD190">IsGreen('Large Dataset'!R190)</f>
        <v>0</v>
      </c>
      <c r="BJ190" t="b" cm="1">
        <f t="array" ref="BJ190">IsRed('Large Dataset'!T190)</f>
        <v>0</v>
      </c>
      <c r="BK190" t="b" cm="1">
        <f t="array" ref="BK190">IsBlue('Large Dataset'!T190)</f>
        <v>0</v>
      </c>
      <c r="BL190" t="b" cm="1">
        <f t="array" ref="BL190">IsPurple('Large Dataset'!T190)</f>
        <v>0</v>
      </c>
      <c r="BM190" t="b" cm="1">
        <f t="array" ref="BM190">IsGreen('Large Dataset'!T190)</f>
        <v>0</v>
      </c>
      <c r="BS190" t="b" cm="1">
        <f t="array" ref="BS190">IsRed('Large Dataset'!U190)</f>
        <v>0</v>
      </c>
      <c r="BT190" t="b" cm="1">
        <f t="array" ref="BT190">IsBlue('Large Dataset'!U190)</f>
        <v>0</v>
      </c>
      <c r="BU190" t="b" cm="1">
        <f t="array" ref="BU190">IsPurple('Large Dataset'!U190)</f>
        <v>0</v>
      </c>
      <c r="BV190" t="b" cm="1">
        <f t="array" ref="BV190">IsGreen('Large Dataset'!U190)</f>
        <v>0</v>
      </c>
    </row>
    <row r="191" spans="7:74">
      <c r="G191" t="b" cm="1">
        <f t="array" ref="G191">IsRed('Large Dataset'!I191)</f>
        <v>1</v>
      </c>
      <c r="H191" t="b" cm="1">
        <f t="array" ref="H191">IsBlue('Large Dataset'!I191)</f>
        <v>0</v>
      </c>
      <c r="I191" t="b" cm="1">
        <f t="array" ref="I191">IsPurple('Large Dataset'!I191)</f>
        <v>0</v>
      </c>
      <c r="J191" t="b" cm="1">
        <f t="array" ref="J191">IsGreen('Large Dataset'!G191)</f>
        <v>0</v>
      </c>
      <c r="P191" t="b" cm="1">
        <f t="array" ref="P191">IsRed('Large Dataset'!K191)</f>
        <v>0</v>
      </c>
      <c r="Q191" t="b" cm="1">
        <f t="array" ref="Q191">IsBlue('Large Dataset'!K191)</f>
        <v>0</v>
      </c>
      <c r="R191" t="b" cm="1">
        <f t="array" ref="R191">IsPurple('Large Dataset'!K191)</f>
        <v>0</v>
      </c>
      <c r="S191" t="b" cm="1">
        <f t="array" ref="S191">IsGreen('Large Dataset'!K191)</f>
        <v>0</v>
      </c>
      <c r="Y191" t="b" cm="1">
        <f t="array" ref="Y191">IsRed('Large Dataset'!M191)</f>
        <v>1</v>
      </c>
      <c r="Z191" t="b" cm="1">
        <f t="array" ref="Z191">IsBlue('Large Dataset'!M191)</f>
        <v>0</v>
      </c>
      <c r="AA191" t="b" cm="1">
        <f t="array" ref="AA191">IsPurple('Large Dataset'!M191)</f>
        <v>0</v>
      </c>
      <c r="AB191" t="b" cm="1">
        <f t="array" ref="AB191">IsGreen('Large Dataset'!M191)</f>
        <v>0</v>
      </c>
      <c r="AH191" t="b" cm="1">
        <f t="array" ref="AH191">IsRed('Large Dataset'!O191)</f>
        <v>0</v>
      </c>
      <c r="AI191" t="b" cm="1">
        <f t="array" ref="AI191">IsBlue('Large Dataset'!O191)</f>
        <v>0</v>
      </c>
      <c r="AJ191" t="b" cm="1">
        <f t="array" ref="AJ191">IsPurple('Large Dataset'!O191)</f>
        <v>0</v>
      </c>
      <c r="AK191" t="b" cm="1">
        <f t="array" ref="AK191">IsGreen('Large Dataset'!O191)</f>
        <v>0</v>
      </c>
      <c r="AR191" t="b" cm="1">
        <f t="array" ref="AR191">IsRed('Large Dataset'!Q191)</f>
        <v>0</v>
      </c>
      <c r="AS191" t="b" cm="1">
        <f t="array" ref="AS191">IsBlue('Large Dataset'!Q191)</f>
        <v>0</v>
      </c>
      <c r="AT191" t="b" cm="1">
        <f t="array" ref="AT191">IsPurple('Large Dataset'!Q191)</f>
        <v>0</v>
      </c>
      <c r="AU191" t="b" cm="1">
        <f t="array" ref="AU191">IsGreen('Large Dataset'!Q191)</f>
        <v>0</v>
      </c>
      <c r="BA191" t="b" cm="1">
        <f t="array" ref="BA191">IsRed('Large Dataset'!R191)</f>
        <v>0</v>
      </c>
      <c r="BB191" t="b" cm="1">
        <f t="array" ref="BB191">IsBlue('Large Dataset'!R191)</f>
        <v>0</v>
      </c>
      <c r="BC191" t="b" cm="1">
        <f t="array" ref="BC191">IsPurple('Large Dataset'!R191)</f>
        <v>0</v>
      </c>
      <c r="BD191" t="b" cm="1">
        <f t="array" ref="BD191">IsGreen('Large Dataset'!R191)</f>
        <v>0</v>
      </c>
      <c r="BJ191" t="b" cm="1">
        <f t="array" ref="BJ191">IsRed('Large Dataset'!T191)</f>
        <v>0</v>
      </c>
      <c r="BK191" t="b" cm="1">
        <f t="array" ref="BK191">IsBlue('Large Dataset'!T191)</f>
        <v>0</v>
      </c>
      <c r="BL191" t="b" cm="1">
        <f t="array" ref="BL191">IsPurple('Large Dataset'!T191)</f>
        <v>0</v>
      </c>
      <c r="BM191" t="b" cm="1">
        <f t="array" ref="BM191">IsGreen('Large Dataset'!T191)</f>
        <v>0</v>
      </c>
      <c r="BS191" t="b" cm="1">
        <f t="array" ref="BS191">IsRed('Large Dataset'!U191)</f>
        <v>0</v>
      </c>
      <c r="BT191" t="b" cm="1">
        <f t="array" ref="BT191">IsBlue('Large Dataset'!U191)</f>
        <v>0</v>
      </c>
      <c r="BU191" t="b" cm="1">
        <f t="array" ref="BU191">IsPurple('Large Dataset'!U191)</f>
        <v>0</v>
      </c>
      <c r="BV191" t="b" cm="1">
        <f t="array" ref="BV191">IsGreen('Large Dataset'!U191)</f>
        <v>0</v>
      </c>
    </row>
    <row r="192" spans="7:74">
      <c r="G192" t="b" cm="1">
        <f t="array" ref="G192">IsRed('Large Dataset'!I192)</f>
        <v>0</v>
      </c>
      <c r="H192" t="b" cm="1">
        <f t="array" ref="H192">IsBlue('Large Dataset'!I192)</f>
        <v>0</v>
      </c>
      <c r="I192" t="b" cm="1">
        <f t="array" ref="I192">IsPurple('Large Dataset'!I192)</f>
        <v>0</v>
      </c>
      <c r="J192" t="b" cm="1">
        <f t="array" ref="J192">IsGreen('Large Dataset'!G192)</f>
        <v>0</v>
      </c>
      <c r="P192" t="b" cm="1">
        <f t="array" ref="P192">IsRed('Large Dataset'!K192)</f>
        <v>0</v>
      </c>
      <c r="Q192" t="b" cm="1">
        <f t="array" ref="Q192">IsBlue('Large Dataset'!K192)</f>
        <v>0</v>
      </c>
      <c r="R192" t="b" cm="1">
        <f t="array" ref="R192">IsPurple('Large Dataset'!K192)</f>
        <v>0</v>
      </c>
      <c r="S192" t="b" cm="1">
        <f t="array" ref="S192">IsGreen('Large Dataset'!K192)</f>
        <v>0</v>
      </c>
      <c r="Y192" t="b" cm="1">
        <f t="array" ref="Y192">IsRed('Large Dataset'!M192)</f>
        <v>0</v>
      </c>
      <c r="Z192" t="b" cm="1">
        <f t="array" ref="Z192">IsBlue('Large Dataset'!M192)</f>
        <v>0</v>
      </c>
      <c r="AA192" t="b" cm="1">
        <f t="array" ref="AA192">IsPurple('Large Dataset'!M192)</f>
        <v>0</v>
      </c>
      <c r="AB192" t="b" cm="1">
        <f t="array" ref="AB192">IsGreen('Large Dataset'!M192)</f>
        <v>0</v>
      </c>
      <c r="AH192" t="b" cm="1">
        <f t="array" ref="AH192">IsRed('Large Dataset'!O192)</f>
        <v>0</v>
      </c>
      <c r="AI192" t="b" cm="1">
        <f t="array" ref="AI192">IsBlue('Large Dataset'!O192)</f>
        <v>0</v>
      </c>
      <c r="AJ192" t="b" cm="1">
        <f t="array" ref="AJ192">IsPurple('Large Dataset'!O192)</f>
        <v>0</v>
      </c>
      <c r="AK192" t="b" cm="1">
        <f t="array" ref="AK192">IsGreen('Large Dataset'!O192)</f>
        <v>0</v>
      </c>
      <c r="AR192" t="b" cm="1">
        <f t="array" ref="AR192">IsRed('Large Dataset'!Q192)</f>
        <v>0</v>
      </c>
      <c r="AS192" t="b" cm="1">
        <f t="array" ref="AS192">IsBlue('Large Dataset'!Q192)</f>
        <v>0</v>
      </c>
      <c r="AT192" t="b" cm="1">
        <f t="array" ref="AT192">IsPurple('Large Dataset'!Q192)</f>
        <v>0</v>
      </c>
      <c r="AU192" t="b" cm="1">
        <f t="array" ref="AU192">IsGreen('Large Dataset'!Q192)</f>
        <v>0</v>
      </c>
      <c r="BA192" t="b" cm="1">
        <f t="array" ref="BA192">IsRed('Large Dataset'!R192)</f>
        <v>0</v>
      </c>
      <c r="BB192" t="b" cm="1">
        <f t="array" ref="BB192">IsBlue('Large Dataset'!R192)</f>
        <v>0</v>
      </c>
      <c r="BC192" t="b" cm="1">
        <f t="array" ref="BC192">IsPurple('Large Dataset'!R192)</f>
        <v>0</v>
      </c>
      <c r="BD192" t="b" cm="1">
        <f t="array" ref="BD192">IsGreen('Large Dataset'!R192)</f>
        <v>0</v>
      </c>
      <c r="BJ192" t="b" cm="1">
        <f t="array" ref="BJ192">IsRed('Large Dataset'!T192)</f>
        <v>0</v>
      </c>
      <c r="BK192" t="b" cm="1">
        <f t="array" ref="BK192">IsBlue('Large Dataset'!T192)</f>
        <v>0</v>
      </c>
      <c r="BL192" t="b" cm="1">
        <f t="array" ref="BL192">IsPurple('Large Dataset'!T192)</f>
        <v>0</v>
      </c>
      <c r="BM192" t="b" cm="1">
        <f t="array" ref="BM192">IsGreen('Large Dataset'!T192)</f>
        <v>0</v>
      </c>
      <c r="BS192" t="b" cm="1">
        <f t="array" ref="BS192">IsRed('Large Dataset'!U192)</f>
        <v>0</v>
      </c>
      <c r="BT192" t="b" cm="1">
        <f t="array" ref="BT192">IsBlue('Large Dataset'!U192)</f>
        <v>0</v>
      </c>
      <c r="BU192" t="b" cm="1">
        <f t="array" ref="BU192">IsPurple('Large Dataset'!U192)</f>
        <v>0</v>
      </c>
      <c r="BV192" t="b" cm="1">
        <f t="array" ref="BV192">IsGreen('Large Dataset'!U192)</f>
        <v>0</v>
      </c>
    </row>
    <row r="193" spans="7:74">
      <c r="G193" t="b" cm="1">
        <f t="array" ref="G193">IsRed('Large Dataset'!I193)</f>
        <v>1</v>
      </c>
      <c r="H193" t="b" cm="1">
        <f t="array" ref="H193">IsBlue('Large Dataset'!I193)</f>
        <v>0</v>
      </c>
      <c r="I193" t="b" cm="1">
        <f t="array" ref="I193">IsPurple('Large Dataset'!I193)</f>
        <v>0</v>
      </c>
      <c r="J193" t="b" cm="1">
        <f t="array" ref="J193">IsGreen('Large Dataset'!G193)</f>
        <v>0</v>
      </c>
      <c r="P193" t="b" cm="1">
        <f t="array" ref="P193">IsRed('Large Dataset'!K193)</f>
        <v>0</v>
      </c>
      <c r="Q193" t="b" cm="1">
        <f t="array" ref="Q193">IsBlue('Large Dataset'!K193)</f>
        <v>0</v>
      </c>
      <c r="R193" t="b" cm="1">
        <f t="array" ref="R193">IsPurple('Large Dataset'!K193)</f>
        <v>0</v>
      </c>
      <c r="S193" t="b" cm="1">
        <f t="array" ref="S193">IsGreen('Large Dataset'!K193)</f>
        <v>0</v>
      </c>
      <c r="Y193" t="b" cm="1">
        <f t="array" ref="Y193">IsRed('Large Dataset'!M193)</f>
        <v>1</v>
      </c>
      <c r="Z193" t="b" cm="1">
        <f t="array" ref="Z193">IsBlue('Large Dataset'!M193)</f>
        <v>0</v>
      </c>
      <c r="AA193" t="b" cm="1">
        <f t="array" ref="AA193">IsPurple('Large Dataset'!M193)</f>
        <v>0</v>
      </c>
      <c r="AB193" t="b" cm="1">
        <f t="array" ref="AB193">IsGreen('Large Dataset'!M193)</f>
        <v>0</v>
      </c>
      <c r="AH193" t="b" cm="1">
        <f t="array" ref="AH193">IsRed('Large Dataset'!O193)</f>
        <v>0</v>
      </c>
      <c r="AI193" t="b" cm="1">
        <f t="array" ref="AI193">IsBlue('Large Dataset'!O193)</f>
        <v>0</v>
      </c>
      <c r="AJ193" t="b" cm="1">
        <f t="array" ref="AJ193">IsPurple('Large Dataset'!O193)</f>
        <v>0</v>
      </c>
      <c r="AK193" t="b" cm="1">
        <f t="array" ref="AK193">IsGreen('Large Dataset'!O193)</f>
        <v>0</v>
      </c>
      <c r="AR193" t="b" cm="1">
        <f t="array" ref="AR193">IsRed('Large Dataset'!Q193)</f>
        <v>0</v>
      </c>
      <c r="AS193" t="b" cm="1">
        <f t="array" ref="AS193">IsBlue('Large Dataset'!Q193)</f>
        <v>0</v>
      </c>
      <c r="AT193" t="b" cm="1">
        <f t="array" ref="AT193">IsPurple('Large Dataset'!Q193)</f>
        <v>0</v>
      </c>
      <c r="AU193" t="b" cm="1">
        <f t="array" ref="AU193">IsGreen('Large Dataset'!Q193)</f>
        <v>0</v>
      </c>
      <c r="BA193" t="b" cm="1">
        <f t="array" ref="BA193">IsRed('Large Dataset'!R193)</f>
        <v>0</v>
      </c>
      <c r="BB193" t="b" cm="1">
        <f t="array" ref="BB193">IsBlue('Large Dataset'!R193)</f>
        <v>0</v>
      </c>
      <c r="BC193" t="b" cm="1">
        <f t="array" ref="BC193">IsPurple('Large Dataset'!R193)</f>
        <v>0</v>
      </c>
      <c r="BD193" t="b" cm="1">
        <f t="array" ref="BD193">IsGreen('Large Dataset'!R193)</f>
        <v>0</v>
      </c>
      <c r="BJ193" t="b" cm="1">
        <f t="array" ref="BJ193">IsRed('Large Dataset'!T193)</f>
        <v>0</v>
      </c>
      <c r="BK193" t="b" cm="1">
        <f t="array" ref="BK193">IsBlue('Large Dataset'!T193)</f>
        <v>0</v>
      </c>
      <c r="BL193" t="b" cm="1">
        <f t="array" ref="BL193">IsPurple('Large Dataset'!T193)</f>
        <v>0</v>
      </c>
      <c r="BM193" t="b" cm="1">
        <f t="array" ref="BM193">IsGreen('Large Dataset'!T193)</f>
        <v>0</v>
      </c>
      <c r="BS193" t="b" cm="1">
        <f t="array" ref="BS193">IsRed('Large Dataset'!U193)</f>
        <v>0</v>
      </c>
      <c r="BT193" t="b" cm="1">
        <f t="array" ref="BT193">IsBlue('Large Dataset'!U193)</f>
        <v>0</v>
      </c>
      <c r="BU193" t="b" cm="1">
        <f t="array" ref="BU193">IsPurple('Large Dataset'!U193)</f>
        <v>0</v>
      </c>
      <c r="BV193" t="b" cm="1">
        <f t="array" ref="BV193">IsGreen('Large Dataset'!U193)</f>
        <v>0</v>
      </c>
    </row>
    <row r="194" spans="7:74">
      <c r="G194" t="b" cm="1">
        <f t="array" ref="G194">IsRed('Large Dataset'!I194)</f>
        <v>0</v>
      </c>
      <c r="H194" t="b" cm="1">
        <f t="array" ref="H194">IsBlue('Large Dataset'!I194)</f>
        <v>0</v>
      </c>
      <c r="I194" t="b" cm="1">
        <f t="array" ref="I194">IsPurple('Large Dataset'!I194)</f>
        <v>0</v>
      </c>
      <c r="J194" t="b" cm="1">
        <f t="array" ref="J194">IsGreen('Large Dataset'!G194)</f>
        <v>0</v>
      </c>
      <c r="P194" t="b" cm="1">
        <f t="array" ref="P194">IsRed('Large Dataset'!K194)</f>
        <v>0</v>
      </c>
      <c r="Q194" t="b" cm="1">
        <f t="array" ref="Q194">IsBlue('Large Dataset'!K194)</f>
        <v>0</v>
      </c>
      <c r="R194" t="b" cm="1">
        <f t="array" ref="R194">IsPurple('Large Dataset'!K194)</f>
        <v>0</v>
      </c>
      <c r="S194" t="b" cm="1">
        <f t="array" ref="S194">IsGreen('Large Dataset'!K194)</f>
        <v>0</v>
      </c>
      <c r="Y194" t="b" cm="1">
        <f t="array" ref="Y194">IsRed('Large Dataset'!M194)</f>
        <v>0</v>
      </c>
      <c r="Z194" t="b" cm="1">
        <f t="array" ref="Z194">IsBlue('Large Dataset'!M194)</f>
        <v>0</v>
      </c>
      <c r="AA194" t="b" cm="1">
        <f t="array" ref="AA194">IsPurple('Large Dataset'!M194)</f>
        <v>0</v>
      </c>
      <c r="AB194" t="b" cm="1">
        <f t="array" ref="AB194">IsGreen('Large Dataset'!M194)</f>
        <v>0</v>
      </c>
      <c r="AH194" t="b" cm="1">
        <f t="array" ref="AH194">IsRed('Large Dataset'!O194)</f>
        <v>0</v>
      </c>
      <c r="AI194" t="b" cm="1">
        <f t="array" ref="AI194">IsBlue('Large Dataset'!O194)</f>
        <v>0</v>
      </c>
      <c r="AJ194" t="b" cm="1">
        <f t="array" ref="AJ194">IsPurple('Large Dataset'!O194)</f>
        <v>0</v>
      </c>
      <c r="AK194" t="b" cm="1">
        <f t="array" ref="AK194">IsGreen('Large Dataset'!O194)</f>
        <v>0</v>
      </c>
      <c r="AR194" t="b" cm="1">
        <f t="array" ref="AR194">IsRed('Large Dataset'!Q194)</f>
        <v>0</v>
      </c>
      <c r="AS194" t="b" cm="1">
        <f t="array" ref="AS194">IsBlue('Large Dataset'!Q194)</f>
        <v>0</v>
      </c>
      <c r="AT194" t="b" cm="1">
        <f t="array" ref="AT194">IsPurple('Large Dataset'!Q194)</f>
        <v>0</v>
      </c>
      <c r="AU194" t="b" cm="1">
        <f t="array" ref="AU194">IsGreen('Large Dataset'!Q194)</f>
        <v>0</v>
      </c>
      <c r="BA194" t="b" cm="1">
        <f t="array" ref="BA194">IsRed('Large Dataset'!R194)</f>
        <v>0</v>
      </c>
      <c r="BB194" t="b" cm="1">
        <f t="array" ref="BB194">IsBlue('Large Dataset'!R194)</f>
        <v>0</v>
      </c>
      <c r="BC194" t="b" cm="1">
        <f t="array" ref="BC194">IsPurple('Large Dataset'!R194)</f>
        <v>1</v>
      </c>
      <c r="BD194" t="b" cm="1">
        <f t="array" ref="BD194">IsGreen('Large Dataset'!R194)</f>
        <v>0</v>
      </c>
      <c r="BJ194" t="b" cm="1">
        <f t="array" ref="BJ194">IsRed('Large Dataset'!T194)</f>
        <v>0</v>
      </c>
      <c r="BK194" t="b" cm="1">
        <f t="array" ref="BK194">IsBlue('Large Dataset'!T194)</f>
        <v>0</v>
      </c>
      <c r="BL194" t="b" cm="1">
        <f t="array" ref="BL194">IsPurple('Large Dataset'!T194)</f>
        <v>0</v>
      </c>
      <c r="BM194" t="b" cm="1">
        <f t="array" ref="BM194">IsGreen('Large Dataset'!T194)</f>
        <v>0</v>
      </c>
      <c r="BS194" t="b" cm="1">
        <f t="array" ref="BS194">IsRed('Large Dataset'!U194)</f>
        <v>0</v>
      </c>
      <c r="BT194" t="b" cm="1">
        <f t="array" ref="BT194">IsBlue('Large Dataset'!U194)</f>
        <v>0</v>
      </c>
      <c r="BU194" t="b" cm="1">
        <f t="array" ref="BU194">IsPurple('Large Dataset'!U194)</f>
        <v>0</v>
      </c>
      <c r="BV194" t="b" cm="1">
        <f t="array" ref="BV194">IsGreen('Large Dataset'!U194)</f>
        <v>0</v>
      </c>
    </row>
    <row r="195" spans="7:74">
      <c r="G195" t="b" cm="1">
        <f t="array" ref="G195">IsRed('Large Dataset'!I195)</f>
        <v>0</v>
      </c>
      <c r="H195" t="b" cm="1">
        <f t="array" ref="H195">IsBlue('Large Dataset'!I195)</f>
        <v>0</v>
      </c>
      <c r="I195" t="b" cm="1">
        <f t="array" ref="I195">IsPurple('Large Dataset'!I195)</f>
        <v>0</v>
      </c>
      <c r="J195" t="b" cm="1">
        <f t="array" ref="J195">IsGreen('Large Dataset'!G195)</f>
        <v>0</v>
      </c>
      <c r="P195" t="b" cm="1">
        <f t="array" ref="P195">IsRed('Large Dataset'!K195)</f>
        <v>0</v>
      </c>
      <c r="Q195" t="b" cm="1">
        <f t="array" ref="Q195">IsBlue('Large Dataset'!K195)</f>
        <v>1</v>
      </c>
      <c r="R195" t="b" cm="1">
        <f t="array" ref="R195">IsPurple('Large Dataset'!K195)</f>
        <v>0</v>
      </c>
      <c r="S195" t="b" cm="1">
        <f t="array" ref="S195">IsGreen('Large Dataset'!K195)</f>
        <v>0</v>
      </c>
      <c r="Y195" t="b" cm="1">
        <f t="array" ref="Y195">IsRed('Large Dataset'!M195)</f>
        <v>1</v>
      </c>
      <c r="Z195" t="b" cm="1">
        <f t="array" ref="Z195">IsBlue('Large Dataset'!M195)</f>
        <v>0</v>
      </c>
      <c r="AA195" t="b" cm="1">
        <f t="array" ref="AA195">IsPurple('Large Dataset'!M195)</f>
        <v>0</v>
      </c>
      <c r="AB195" t="b" cm="1">
        <f t="array" ref="AB195">IsGreen('Large Dataset'!M195)</f>
        <v>0</v>
      </c>
      <c r="AH195" t="b" cm="1">
        <f t="array" ref="AH195">IsRed('Large Dataset'!O195)</f>
        <v>1</v>
      </c>
      <c r="AI195" t="b" cm="1">
        <f t="array" ref="AI195">IsBlue('Large Dataset'!O195)</f>
        <v>0</v>
      </c>
      <c r="AJ195" t="b" cm="1">
        <f t="array" ref="AJ195">IsPurple('Large Dataset'!O195)</f>
        <v>0</v>
      </c>
      <c r="AK195" t="b" cm="1">
        <f t="array" ref="AK195">IsGreen('Large Dataset'!O195)</f>
        <v>0</v>
      </c>
      <c r="AR195" t="b" cm="1">
        <f t="array" ref="AR195">IsRed('Large Dataset'!Q195)</f>
        <v>1</v>
      </c>
      <c r="AS195" t="b" cm="1">
        <f t="array" ref="AS195">IsBlue('Large Dataset'!Q195)</f>
        <v>0</v>
      </c>
      <c r="AT195" t="b" cm="1">
        <f t="array" ref="AT195">IsPurple('Large Dataset'!Q195)</f>
        <v>0</v>
      </c>
      <c r="AU195" t="b" cm="1">
        <f t="array" ref="AU195">IsGreen('Large Dataset'!Q195)</f>
        <v>0</v>
      </c>
      <c r="BA195" t="b" cm="1">
        <f t="array" ref="BA195">IsRed('Large Dataset'!R195)</f>
        <v>1</v>
      </c>
      <c r="BB195" t="b" cm="1">
        <f t="array" ref="BB195">IsBlue('Large Dataset'!R195)</f>
        <v>0</v>
      </c>
      <c r="BC195" t="b" cm="1">
        <f t="array" ref="BC195">IsPurple('Large Dataset'!R195)</f>
        <v>0</v>
      </c>
      <c r="BD195" t="b" cm="1">
        <f t="array" ref="BD195">IsGreen('Large Dataset'!R195)</f>
        <v>0</v>
      </c>
      <c r="BJ195" t="b" cm="1">
        <f t="array" ref="BJ195">IsRed('Large Dataset'!T195)</f>
        <v>1</v>
      </c>
      <c r="BK195" t="b" cm="1">
        <f t="array" ref="BK195">IsBlue('Large Dataset'!T195)</f>
        <v>0</v>
      </c>
      <c r="BL195" t="b" cm="1">
        <f t="array" ref="BL195">IsPurple('Large Dataset'!T195)</f>
        <v>0</v>
      </c>
      <c r="BM195" t="b" cm="1">
        <f t="array" ref="BM195">IsGreen('Large Dataset'!T195)</f>
        <v>0</v>
      </c>
      <c r="BS195" t="b" cm="1">
        <f t="array" ref="BS195">IsRed('Large Dataset'!U195)</f>
        <v>1</v>
      </c>
      <c r="BT195" t="b" cm="1">
        <f t="array" ref="BT195">IsBlue('Large Dataset'!U195)</f>
        <v>0</v>
      </c>
      <c r="BU195" t="b" cm="1">
        <f t="array" ref="BU195">IsPurple('Large Dataset'!U195)</f>
        <v>0</v>
      </c>
      <c r="BV195" t="b" cm="1">
        <f t="array" ref="BV195">IsGreen('Large Dataset'!U195)</f>
        <v>0</v>
      </c>
    </row>
    <row r="196" spans="7:74">
      <c r="G196" t="b" cm="1">
        <f t="array" ref="G196">IsRed('Large Dataset'!I196)</f>
        <v>0</v>
      </c>
      <c r="H196" t="b" cm="1">
        <f t="array" ref="H196">IsBlue('Large Dataset'!I196)</f>
        <v>0</v>
      </c>
      <c r="I196" t="b" cm="1">
        <f t="array" ref="I196">IsPurple('Large Dataset'!I196)</f>
        <v>0</v>
      </c>
      <c r="J196" t="b" cm="1">
        <f t="array" ref="J196">IsGreen('Large Dataset'!G196)</f>
        <v>0</v>
      </c>
      <c r="P196" t="b" cm="1">
        <f t="array" ref="P196">IsRed('Large Dataset'!K196)</f>
        <v>0</v>
      </c>
      <c r="Q196" t="b" cm="1">
        <f t="array" ref="Q196">IsBlue('Large Dataset'!K196)</f>
        <v>0</v>
      </c>
      <c r="R196" t="b" cm="1">
        <f t="array" ref="R196">IsPurple('Large Dataset'!K196)</f>
        <v>1</v>
      </c>
      <c r="S196" t="b" cm="1">
        <f t="array" ref="S196">IsGreen('Large Dataset'!K196)</f>
        <v>0</v>
      </c>
      <c r="Y196" t="b" cm="1">
        <f t="array" ref="Y196">IsRed('Large Dataset'!M196)</f>
        <v>0</v>
      </c>
      <c r="Z196" t="b" cm="1">
        <f t="array" ref="Z196">IsBlue('Large Dataset'!M196)</f>
        <v>0</v>
      </c>
      <c r="AA196" t="b" cm="1">
        <f t="array" ref="AA196">IsPurple('Large Dataset'!M196)</f>
        <v>0</v>
      </c>
      <c r="AB196" t="b" cm="1">
        <f t="array" ref="AB196">IsGreen('Large Dataset'!M196)</f>
        <v>0</v>
      </c>
      <c r="AH196" t="b" cm="1">
        <f t="array" ref="AH196">IsRed('Large Dataset'!O196)</f>
        <v>0</v>
      </c>
      <c r="AI196" t="b" cm="1">
        <f t="array" ref="AI196">IsBlue('Large Dataset'!O196)</f>
        <v>1</v>
      </c>
      <c r="AJ196" t="b" cm="1">
        <f t="array" ref="AJ196">IsPurple('Large Dataset'!O196)</f>
        <v>0</v>
      </c>
      <c r="AK196" t="b" cm="1">
        <f t="array" ref="AK196">IsGreen('Large Dataset'!O196)</f>
        <v>0</v>
      </c>
      <c r="AR196" t="b" cm="1">
        <f t="array" ref="AR196">IsRed('Large Dataset'!Q196)</f>
        <v>1</v>
      </c>
      <c r="AS196" t="b" cm="1">
        <f t="array" ref="AS196">IsBlue('Large Dataset'!Q196)</f>
        <v>0</v>
      </c>
      <c r="AT196" t="b" cm="1">
        <f t="array" ref="AT196">IsPurple('Large Dataset'!Q196)</f>
        <v>0</v>
      </c>
      <c r="AU196" t="b" cm="1">
        <f t="array" ref="AU196">IsGreen('Large Dataset'!Q196)</f>
        <v>0</v>
      </c>
      <c r="BA196" t="b" cm="1">
        <f t="array" ref="BA196">IsRed('Large Dataset'!R196)</f>
        <v>1</v>
      </c>
      <c r="BB196" t="b" cm="1">
        <f t="array" ref="BB196">IsBlue('Large Dataset'!R196)</f>
        <v>0</v>
      </c>
      <c r="BC196" t="b" cm="1">
        <f t="array" ref="BC196">IsPurple('Large Dataset'!R196)</f>
        <v>0</v>
      </c>
      <c r="BD196" t="b" cm="1">
        <f t="array" ref="BD196">IsGreen('Large Dataset'!R196)</f>
        <v>0</v>
      </c>
      <c r="BJ196" t="b" cm="1">
        <f t="array" ref="BJ196">IsRed('Large Dataset'!T196)</f>
        <v>0</v>
      </c>
      <c r="BK196" t="b" cm="1">
        <f t="array" ref="BK196">IsBlue('Large Dataset'!T196)</f>
        <v>0</v>
      </c>
      <c r="BL196" t="b" cm="1">
        <f t="array" ref="BL196">IsPurple('Large Dataset'!T196)</f>
        <v>1</v>
      </c>
      <c r="BM196" t="b" cm="1">
        <f t="array" ref="BM196">IsGreen('Large Dataset'!T196)</f>
        <v>0</v>
      </c>
      <c r="BS196" t="b" cm="1">
        <f t="array" ref="BS196">IsRed('Large Dataset'!U196)</f>
        <v>0</v>
      </c>
      <c r="BT196" t="b" cm="1">
        <f t="array" ref="BT196">IsBlue('Large Dataset'!U196)</f>
        <v>0</v>
      </c>
      <c r="BU196" t="b" cm="1">
        <f t="array" ref="BU196">IsPurple('Large Dataset'!U196)</f>
        <v>1</v>
      </c>
      <c r="BV196" t="b" cm="1">
        <f t="array" ref="BV196">IsGreen('Large Dataset'!U196)</f>
        <v>0</v>
      </c>
    </row>
    <row r="197" spans="7:74">
      <c r="G197" t="b" cm="1">
        <f t="array" ref="G197">IsRed('Large Dataset'!I197)</f>
        <v>1</v>
      </c>
      <c r="H197" t="b" cm="1">
        <f t="array" ref="H197">IsBlue('Large Dataset'!I197)</f>
        <v>0</v>
      </c>
      <c r="I197" t="b" cm="1">
        <f t="array" ref="I197">IsPurple('Large Dataset'!I197)</f>
        <v>0</v>
      </c>
      <c r="J197" t="b" cm="1">
        <f t="array" ref="J197">IsGreen('Large Dataset'!G197)</f>
        <v>0</v>
      </c>
      <c r="P197" t="b" cm="1">
        <f t="array" ref="P197">IsRed('Large Dataset'!K197)</f>
        <v>1</v>
      </c>
      <c r="Q197" t="b" cm="1">
        <f t="array" ref="Q197">IsBlue('Large Dataset'!K197)</f>
        <v>0</v>
      </c>
      <c r="R197" t="b" cm="1">
        <f t="array" ref="R197">IsPurple('Large Dataset'!K197)</f>
        <v>0</v>
      </c>
      <c r="S197" t="b" cm="1">
        <f t="array" ref="S197">IsGreen('Large Dataset'!K197)</f>
        <v>0</v>
      </c>
      <c r="Y197" t="b" cm="1">
        <f t="array" ref="Y197">IsRed('Large Dataset'!M197)</f>
        <v>0</v>
      </c>
      <c r="Z197" t="b" cm="1">
        <f t="array" ref="Z197">IsBlue('Large Dataset'!M197)</f>
        <v>1</v>
      </c>
      <c r="AA197" t="b" cm="1">
        <f t="array" ref="AA197">IsPurple('Large Dataset'!M197)</f>
        <v>0</v>
      </c>
      <c r="AB197" t="b" cm="1">
        <f t="array" ref="AB197">IsGreen('Large Dataset'!M197)</f>
        <v>0</v>
      </c>
      <c r="AH197" t="b" cm="1">
        <f t="array" ref="AH197">IsRed('Large Dataset'!O197)</f>
        <v>1</v>
      </c>
      <c r="AI197" t="b" cm="1">
        <f t="array" ref="AI197">IsBlue('Large Dataset'!O197)</f>
        <v>0</v>
      </c>
      <c r="AJ197" t="b" cm="1">
        <f t="array" ref="AJ197">IsPurple('Large Dataset'!O197)</f>
        <v>0</v>
      </c>
      <c r="AK197" t="b" cm="1">
        <f t="array" ref="AK197">IsGreen('Large Dataset'!O197)</f>
        <v>0</v>
      </c>
      <c r="AR197" t="b" cm="1">
        <f t="array" ref="AR197">IsRed('Large Dataset'!Q197)</f>
        <v>1</v>
      </c>
      <c r="AS197" t="b" cm="1">
        <f t="array" ref="AS197">IsBlue('Large Dataset'!Q197)</f>
        <v>0</v>
      </c>
      <c r="AT197" t="b" cm="1">
        <f t="array" ref="AT197">IsPurple('Large Dataset'!Q197)</f>
        <v>0</v>
      </c>
      <c r="AU197" t="b" cm="1">
        <f t="array" ref="AU197">IsGreen('Large Dataset'!Q197)</f>
        <v>0</v>
      </c>
      <c r="BA197" t="b" cm="1">
        <f t="array" ref="BA197">IsRed('Large Dataset'!R197)</f>
        <v>1</v>
      </c>
      <c r="BB197" t="b" cm="1">
        <f t="array" ref="BB197">IsBlue('Large Dataset'!R197)</f>
        <v>0</v>
      </c>
      <c r="BC197" t="b" cm="1">
        <f t="array" ref="BC197">IsPurple('Large Dataset'!R197)</f>
        <v>0</v>
      </c>
      <c r="BD197" t="b" cm="1">
        <f t="array" ref="BD197">IsGreen('Large Dataset'!R197)</f>
        <v>0</v>
      </c>
      <c r="BJ197" t="b" cm="1">
        <f t="array" ref="BJ197">IsRed('Large Dataset'!T197)</f>
        <v>1</v>
      </c>
      <c r="BK197" t="b" cm="1">
        <f t="array" ref="BK197">IsBlue('Large Dataset'!T197)</f>
        <v>0</v>
      </c>
      <c r="BL197" t="b" cm="1">
        <f t="array" ref="BL197">IsPurple('Large Dataset'!T197)</f>
        <v>0</v>
      </c>
      <c r="BM197" t="b" cm="1">
        <f t="array" ref="BM197">IsGreen('Large Dataset'!T197)</f>
        <v>0</v>
      </c>
      <c r="BS197" t="b" cm="1">
        <f t="array" ref="BS197">IsRed('Large Dataset'!U197)</f>
        <v>1</v>
      </c>
      <c r="BT197" t="b" cm="1">
        <f t="array" ref="BT197">IsBlue('Large Dataset'!U197)</f>
        <v>0</v>
      </c>
      <c r="BU197" t="b" cm="1">
        <f t="array" ref="BU197">IsPurple('Large Dataset'!U197)</f>
        <v>0</v>
      </c>
      <c r="BV197" t="b" cm="1">
        <f t="array" ref="BV197">IsGreen('Large Dataset'!U197)</f>
        <v>0</v>
      </c>
    </row>
    <row r="198" spans="7:74">
      <c r="G198" t="b" cm="1">
        <f t="array" ref="G198">IsRed('Large Dataset'!I198)</f>
        <v>1</v>
      </c>
      <c r="H198" t="b" cm="1">
        <f t="array" ref="H198">IsBlue('Large Dataset'!I198)</f>
        <v>0</v>
      </c>
      <c r="I198" t="b" cm="1">
        <f t="array" ref="I198">IsPurple('Large Dataset'!I198)</f>
        <v>0</v>
      </c>
      <c r="J198" t="b" cm="1">
        <f t="array" ref="J198">IsGreen('Large Dataset'!G198)</f>
        <v>0</v>
      </c>
      <c r="P198" t="b" cm="1">
        <f t="array" ref="P198">IsRed('Large Dataset'!K198)</f>
        <v>0</v>
      </c>
      <c r="Q198" t="b" cm="1">
        <f t="array" ref="Q198">IsBlue('Large Dataset'!K198)</f>
        <v>1</v>
      </c>
      <c r="R198" t="b" cm="1">
        <f t="array" ref="R198">IsPurple('Large Dataset'!K198)</f>
        <v>0</v>
      </c>
      <c r="S198" t="b" cm="1">
        <f t="array" ref="S198">IsGreen('Large Dataset'!K198)</f>
        <v>0</v>
      </c>
      <c r="Y198" t="b" cm="1">
        <f t="array" ref="Y198">IsRed('Large Dataset'!M198)</f>
        <v>1</v>
      </c>
      <c r="Z198" t="b" cm="1">
        <f t="array" ref="Z198">IsBlue('Large Dataset'!M198)</f>
        <v>0</v>
      </c>
      <c r="AA198" t="b" cm="1">
        <f t="array" ref="AA198">IsPurple('Large Dataset'!M198)</f>
        <v>0</v>
      </c>
      <c r="AB198" t="b" cm="1">
        <f t="array" ref="AB198">IsGreen('Large Dataset'!M198)</f>
        <v>0</v>
      </c>
      <c r="AH198" t="b" cm="1">
        <f t="array" ref="AH198">IsRed('Large Dataset'!O198)</f>
        <v>1</v>
      </c>
      <c r="AI198" t="b" cm="1">
        <f t="array" ref="AI198">IsBlue('Large Dataset'!O198)</f>
        <v>0</v>
      </c>
      <c r="AJ198" t="b" cm="1">
        <f t="array" ref="AJ198">IsPurple('Large Dataset'!O198)</f>
        <v>0</v>
      </c>
      <c r="AK198" t="b" cm="1">
        <f t="array" ref="AK198">IsGreen('Large Dataset'!O198)</f>
        <v>0</v>
      </c>
      <c r="AR198" t="b" cm="1">
        <f t="array" ref="AR198">IsRed('Large Dataset'!Q198)</f>
        <v>1</v>
      </c>
      <c r="AS198" t="b" cm="1">
        <f t="array" ref="AS198">IsBlue('Large Dataset'!Q198)</f>
        <v>0</v>
      </c>
      <c r="AT198" t="b" cm="1">
        <f t="array" ref="AT198">IsPurple('Large Dataset'!Q198)</f>
        <v>0</v>
      </c>
      <c r="AU198" t="b" cm="1">
        <f t="array" ref="AU198">IsGreen('Large Dataset'!Q198)</f>
        <v>0</v>
      </c>
      <c r="BA198" t="b" cm="1">
        <f t="array" ref="BA198">IsRed('Large Dataset'!R198)</f>
        <v>1</v>
      </c>
      <c r="BB198" t="b" cm="1">
        <f t="array" ref="BB198">IsBlue('Large Dataset'!R198)</f>
        <v>0</v>
      </c>
      <c r="BC198" t="b" cm="1">
        <f t="array" ref="BC198">IsPurple('Large Dataset'!R198)</f>
        <v>0</v>
      </c>
      <c r="BD198" t="b" cm="1">
        <f t="array" ref="BD198">IsGreen('Large Dataset'!R198)</f>
        <v>0</v>
      </c>
      <c r="BJ198" t="b" cm="1">
        <f t="array" ref="BJ198">IsRed('Large Dataset'!T198)</f>
        <v>1</v>
      </c>
      <c r="BK198" t="b" cm="1">
        <f t="array" ref="BK198">IsBlue('Large Dataset'!T198)</f>
        <v>0</v>
      </c>
      <c r="BL198" t="b" cm="1">
        <f t="array" ref="BL198">IsPurple('Large Dataset'!T198)</f>
        <v>0</v>
      </c>
      <c r="BM198" t="b" cm="1">
        <f t="array" ref="BM198">IsGreen('Large Dataset'!T198)</f>
        <v>0</v>
      </c>
      <c r="BS198" t="b" cm="1">
        <f t="array" ref="BS198">IsRed('Large Dataset'!U198)</f>
        <v>1</v>
      </c>
      <c r="BT198" t="b" cm="1">
        <f t="array" ref="BT198">IsBlue('Large Dataset'!U198)</f>
        <v>0</v>
      </c>
      <c r="BU198" t="b" cm="1">
        <f t="array" ref="BU198">IsPurple('Large Dataset'!U198)</f>
        <v>0</v>
      </c>
      <c r="BV198" t="b" cm="1">
        <f t="array" ref="BV198">IsGreen('Large Dataset'!U198)</f>
        <v>0</v>
      </c>
    </row>
    <row r="199" spans="7:74">
      <c r="G199" t="b" cm="1">
        <f t="array" ref="G199">IsRed('Large Dataset'!I199)</f>
        <v>1</v>
      </c>
      <c r="H199" t="b" cm="1">
        <f t="array" ref="H199">IsBlue('Large Dataset'!I199)</f>
        <v>0</v>
      </c>
      <c r="I199" t="b" cm="1">
        <f t="array" ref="I199">IsPurple('Large Dataset'!I199)</f>
        <v>0</v>
      </c>
      <c r="J199" t="b" cm="1">
        <f t="array" ref="J199">IsGreen('Large Dataset'!G199)</f>
        <v>0</v>
      </c>
      <c r="P199" t="b" cm="1">
        <f t="array" ref="P199">IsRed('Large Dataset'!K199)</f>
        <v>0</v>
      </c>
      <c r="Q199" t="b" cm="1">
        <f t="array" ref="Q199">IsBlue('Large Dataset'!K199)</f>
        <v>0</v>
      </c>
      <c r="R199" t="b" cm="1">
        <f t="array" ref="R199">IsPurple('Large Dataset'!K199)</f>
        <v>0</v>
      </c>
      <c r="S199" t="b" cm="1">
        <f t="array" ref="S199">IsGreen('Large Dataset'!K199)</f>
        <v>0</v>
      </c>
      <c r="Y199" t="b" cm="1">
        <f t="array" ref="Y199">IsRed('Large Dataset'!M199)</f>
        <v>0</v>
      </c>
      <c r="Z199" t="b" cm="1">
        <f t="array" ref="Z199">IsBlue('Large Dataset'!M199)</f>
        <v>0</v>
      </c>
      <c r="AA199" t="b" cm="1">
        <f t="array" ref="AA199">IsPurple('Large Dataset'!M199)</f>
        <v>0</v>
      </c>
      <c r="AB199" t="b" cm="1">
        <f t="array" ref="AB199">IsGreen('Large Dataset'!M199)</f>
        <v>0</v>
      </c>
      <c r="AH199" t="b" cm="1">
        <f t="array" ref="AH199">IsRed('Large Dataset'!O199)</f>
        <v>1</v>
      </c>
      <c r="AI199" t="b" cm="1">
        <f t="array" ref="AI199">IsBlue('Large Dataset'!O199)</f>
        <v>0</v>
      </c>
      <c r="AJ199" t="b" cm="1">
        <f t="array" ref="AJ199">IsPurple('Large Dataset'!O199)</f>
        <v>0</v>
      </c>
      <c r="AK199" t="b" cm="1">
        <f t="array" ref="AK199">IsGreen('Large Dataset'!O199)</f>
        <v>0</v>
      </c>
      <c r="AR199" t="b" cm="1">
        <f t="array" ref="AR199">IsRed('Large Dataset'!Q199)</f>
        <v>1</v>
      </c>
      <c r="AS199" t="b" cm="1">
        <f t="array" ref="AS199">IsBlue('Large Dataset'!Q199)</f>
        <v>0</v>
      </c>
      <c r="AT199" t="b" cm="1">
        <f t="array" ref="AT199">IsPurple('Large Dataset'!Q199)</f>
        <v>0</v>
      </c>
      <c r="AU199" t="b" cm="1">
        <f t="array" ref="AU199">IsGreen('Large Dataset'!Q199)</f>
        <v>0</v>
      </c>
      <c r="BA199" t="b" cm="1">
        <f t="array" ref="BA199">IsRed('Large Dataset'!R199)</f>
        <v>1</v>
      </c>
      <c r="BB199" t="b" cm="1">
        <f t="array" ref="BB199">IsBlue('Large Dataset'!R199)</f>
        <v>0</v>
      </c>
      <c r="BC199" t="b" cm="1">
        <f t="array" ref="BC199">IsPurple('Large Dataset'!R199)</f>
        <v>0</v>
      </c>
      <c r="BD199" t="b" cm="1">
        <f t="array" ref="BD199">IsGreen('Large Dataset'!R199)</f>
        <v>0</v>
      </c>
      <c r="BJ199" t="b" cm="1">
        <f t="array" ref="BJ199">IsRed('Large Dataset'!T199)</f>
        <v>1</v>
      </c>
      <c r="BK199" t="b" cm="1">
        <f t="array" ref="BK199">IsBlue('Large Dataset'!T199)</f>
        <v>0</v>
      </c>
      <c r="BL199" t="b" cm="1">
        <f t="array" ref="BL199">IsPurple('Large Dataset'!T199)</f>
        <v>0</v>
      </c>
      <c r="BM199" t="b" cm="1">
        <f t="array" ref="BM199">IsGreen('Large Dataset'!T199)</f>
        <v>0</v>
      </c>
      <c r="BS199" t="b" cm="1">
        <f t="array" ref="BS199">IsRed('Large Dataset'!U199)</f>
        <v>1</v>
      </c>
      <c r="BT199" t="b" cm="1">
        <f t="array" ref="BT199">IsBlue('Large Dataset'!U199)</f>
        <v>0</v>
      </c>
      <c r="BU199" t="b" cm="1">
        <f t="array" ref="BU199">IsPurple('Large Dataset'!U199)</f>
        <v>0</v>
      </c>
      <c r="BV199" t="b" cm="1">
        <f t="array" ref="BV199">IsGreen('Large Dataset'!U199)</f>
        <v>0</v>
      </c>
    </row>
    <row r="200" spans="7:74">
      <c r="G200" t="b" cm="1">
        <f t="array" ref="G200">IsRed('Large Dataset'!I200)</f>
        <v>0</v>
      </c>
      <c r="H200" t="b" cm="1">
        <f t="array" ref="H200">IsBlue('Large Dataset'!I200)</f>
        <v>0</v>
      </c>
      <c r="I200" t="b" cm="1">
        <f t="array" ref="I200">IsPurple('Large Dataset'!I200)</f>
        <v>0</v>
      </c>
      <c r="J200" t="b" cm="1">
        <f t="array" ref="J200">IsGreen('Large Dataset'!G200)</f>
        <v>0</v>
      </c>
      <c r="P200" t="b" cm="1">
        <f t="array" ref="P200">IsRed('Large Dataset'!K200)</f>
        <v>0</v>
      </c>
      <c r="Q200" t="b" cm="1">
        <f t="array" ref="Q200">IsBlue('Large Dataset'!K200)</f>
        <v>0</v>
      </c>
      <c r="R200" t="b" cm="1">
        <f t="array" ref="R200">IsPurple('Large Dataset'!K200)</f>
        <v>0</v>
      </c>
      <c r="S200" t="b" cm="1">
        <f t="array" ref="S200">IsGreen('Large Dataset'!K200)</f>
        <v>0</v>
      </c>
      <c r="Y200" t="b" cm="1">
        <f t="array" ref="Y200">IsRed('Large Dataset'!M200)</f>
        <v>0</v>
      </c>
      <c r="Z200" t="b" cm="1">
        <f t="array" ref="Z200">IsBlue('Large Dataset'!M200)</f>
        <v>0</v>
      </c>
      <c r="AA200" t="b" cm="1">
        <f t="array" ref="AA200">IsPurple('Large Dataset'!M200)</f>
        <v>0</v>
      </c>
      <c r="AB200" t="b" cm="1">
        <f t="array" ref="AB200">IsGreen('Large Dataset'!M200)</f>
        <v>0</v>
      </c>
      <c r="AH200" t="b" cm="1">
        <f t="array" ref="AH200">IsRed('Large Dataset'!O200)</f>
        <v>1</v>
      </c>
      <c r="AI200" t="b" cm="1">
        <f t="array" ref="AI200">IsBlue('Large Dataset'!O200)</f>
        <v>0</v>
      </c>
      <c r="AJ200" t="b" cm="1">
        <f t="array" ref="AJ200">IsPurple('Large Dataset'!O200)</f>
        <v>0</v>
      </c>
      <c r="AK200" t="b" cm="1">
        <f t="array" ref="AK200">IsGreen('Large Dataset'!O200)</f>
        <v>0</v>
      </c>
      <c r="AR200" t="b" cm="1">
        <f t="array" ref="AR200">IsRed('Large Dataset'!Q200)</f>
        <v>1</v>
      </c>
      <c r="AS200" t="b" cm="1">
        <f t="array" ref="AS200">IsBlue('Large Dataset'!Q200)</f>
        <v>0</v>
      </c>
      <c r="AT200" t="b" cm="1">
        <f t="array" ref="AT200">IsPurple('Large Dataset'!Q200)</f>
        <v>0</v>
      </c>
      <c r="AU200" t="b" cm="1">
        <f t="array" ref="AU200">IsGreen('Large Dataset'!Q200)</f>
        <v>0</v>
      </c>
      <c r="BA200" t="b" cm="1">
        <f t="array" ref="BA200">IsRed('Large Dataset'!R200)</f>
        <v>1</v>
      </c>
      <c r="BB200" t="b" cm="1">
        <f t="array" ref="BB200">IsBlue('Large Dataset'!R200)</f>
        <v>0</v>
      </c>
      <c r="BC200" t="b" cm="1">
        <f t="array" ref="BC200">IsPurple('Large Dataset'!R200)</f>
        <v>0</v>
      </c>
      <c r="BD200" t="b" cm="1">
        <f t="array" ref="BD200">IsGreen('Large Dataset'!R200)</f>
        <v>0</v>
      </c>
      <c r="BJ200" t="b" cm="1">
        <f t="array" ref="BJ200">IsRed('Large Dataset'!T200)</f>
        <v>1</v>
      </c>
      <c r="BK200" t="b" cm="1">
        <f t="array" ref="BK200">IsBlue('Large Dataset'!T200)</f>
        <v>0</v>
      </c>
      <c r="BL200" t="b" cm="1">
        <f t="array" ref="BL200">IsPurple('Large Dataset'!T200)</f>
        <v>0</v>
      </c>
      <c r="BM200" t="b" cm="1">
        <f t="array" ref="BM200">IsGreen('Large Dataset'!T200)</f>
        <v>0</v>
      </c>
      <c r="BS200" t="b" cm="1">
        <f t="array" ref="BS200">IsRed('Large Dataset'!U200)</f>
        <v>1</v>
      </c>
      <c r="BT200" t="b" cm="1">
        <f t="array" ref="BT200">IsBlue('Large Dataset'!U200)</f>
        <v>0</v>
      </c>
      <c r="BU200" t="b" cm="1">
        <f t="array" ref="BU200">IsPurple('Large Dataset'!U200)</f>
        <v>0</v>
      </c>
      <c r="BV200" t="b" cm="1">
        <f t="array" ref="BV200">IsGreen('Large Dataset'!U200)</f>
        <v>0</v>
      </c>
    </row>
    <row r="201" spans="7:74">
      <c r="G201" t="b" cm="1">
        <f t="array" ref="G201">IsRed('Large Dataset'!I201)</f>
        <v>0</v>
      </c>
      <c r="H201" t="b" cm="1">
        <f t="array" ref="H201">IsBlue('Large Dataset'!I201)</f>
        <v>0</v>
      </c>
      <c r="I201" t="b" cm="1">
        <f t="array" ref="I201">IsPurple('Large Dataset'!I201)</f>
        <v>0</v>
      </c>
      <c r="J201" t="b" cm="1">
        <f t="array" ref="J201">IsGreen('Large Dataset'!G201)</f>
        <v>0</v>
      </c>
      <c r="P201" t="b" cm="1">
        <f t="array" ref="P201">IsRed('Large Dataset'!K201)</f>
        <v>0</v>
      </c>
      <c r="Q201" t="b" cm="1">
        <f t="array" ref="Q201">IsBlue('Large Dataset'!K201)</f>
        <v>0</v>
      </c>
      <c r="R201" t="b" cm="1">
        <f t="array" ref="R201">IsPurple('Large Dataset'!K201)</f>
        <v>0</v>
      </c>
      <c r="S201" t="b" cm="1">
        <f t="array" ref="S201">IsGreen('Large Dataset'!K201)</f>
        <v>0</v>
      </c>
      <c r="Y201" t="b" cm="1">
        <f t="array" ref="Y201">IsRed('Large Dataset'!M201)</f>
        <v>0</v>
      </c>
      <c r="Z201" t="b" cm="1">
        <f t="array" ref="Z201">IsBlue('Large Dataset'!M201)</f>
        <v>0</v>
      </c>
      <c r="AA201" t="b" cm="1">
        <f t="array" ref="AA201">IsPurple('Large Dataset'!M201)</f>
        <v>0</v>
      </c>
      <c r="AB201" t="b" cm="1">
        <f t="array" ref="AB201">IsGreen('Large Dataset'!M201)</f>
        <v>0</v>
      </c>
      <c r="AH201" t="b" cm="1">
        <f t="array" ref="AH201">IsRed('Large Dataset'!O201)</f>
        <v>0</v>
      </c>
      <c r="AI201" t="b" cm="1">
        <f t="array" ref="AI201">IsBlue('Large Dataset'!O201)</f>
        <v>1</v>
      </c>
      <c r="AJ201" t="b" cm="1">
        <f t="array" ref="AJ201">IsPurple('Large Dataset'!O201)</f>
        <v>0</v>
      </c>
      <c r="AK201" t="b" cm="1">
        <f t="array" ref="AK201">IsGreen('Large Dataset'!O201)</f>
        <v>0</v>
      </c>
      <c r="AR201" t="b" cm="1">
        <f t="array" ref="AR201">IsRed('Large Dataset'!Q201)</f>
        <v>0</v>
      </c>
      <c r="AS201" t="b" cm="1">
        <f t="array" ref="AS201">IsBlue('Large Dataset'!Q201)</f>
        <v>0</v>
      </c>
      <c r="AT201" t="b" cm="1">
        <f t="array" ref="AT201">IsPurple('Large Dataset'!Q201)</f>
        <v>0</v>
      </c>
      <c r="AU201" t="b" cm="1">
        <f t="array" ref="AU201">IsGreen('Large Dataset'!Q201)</f>
        <v>0</v>
      </c>
      <c r="BA201" t="b" cm="1">
        <f t="array" ref="BA201">IsRed('Large Dataset'!R201)</f>
        <v>0</v>
      </c>
      <c r="BB201" t="b" cm="1">
        <f t="array" ref="BB201">IsBlue('Large Dataset'!R201)</f>
        <v>0</v>
      </c>
      <c r="BC201" t="b" cm="1">
        <f t="array" ref="BC201">IsPurple('Large Dataset'!R201)</f>
        <v>0</v>
      </c>
      <c r="BD201" t="b" cm="1">
        <f t="array" ref="BD201">IsGreen('Large Dataset'!R201)</f>
        <v>0</v>
      </c>
      <c r="BJ201" t="b" cm="1">
        <f t="array" ref="BJ201">IsRed('Large Dataset'!T201)</f>
        <v>0</v>
      </c>
      <c r="BK201" t="b" cm="1">
        <f t="array" ref="BK201">IsBlue('Large Dataset'!T201)</f>
        <v>0</v>
      </c>
      <c r="BL201" t="b" cm="1">
        <f t="array" ref="BL201">IsPurple('Large Dataset'!T201)</f>
        <v>0</v>
      </c>
      <c r="BM201" t="b" cm="1">
        <f t="array" ref="BM201">IsGreen('Large Dataset'!T201)</f>
        <v>0</v>
      </c>
      <c r="BS201" t="b" cm="1">
        <f t="array" ref="BS201">IsRed('Large Dataset'!U201)</f>
        <v>0</v>
      </c>
      <c r="BT201" t="b" cm="1">
        <f t="array" ref="BT201">IsBlue('Large Dataset'!U201)</f>
        <v>0</v>
      </c>
      <c r="BU201" t="b" cm="1">
        <f t="array" ref="BU201">IsPurple('Large Dataset'!U201)</f>
        <v>0</v>
      </c>
      <c r="BV201" t="b" cm="1">
        <f t="array" ref="BV201">IsGreen('Large Dataset'!U201)</f>
        <v>0</v>
      </c>
    </row>
    <row r="202" spans="7:74">
      <c r="G202" t="b" cm="1">
        <f t="array" ref="G202">IsRed('Large Dataset'!I202)</f>
        <v>0</v>
      </c>
      <c r="H202" t="b" cm="1">
        <f t="array" ref="H202">IsBlue('Large Dataset'!I202)</f>
        <v>0</v>
      </c>
      <c r="I202" t="b" cm="1">
        <f t="array" ref="I202">IsPurple('Large Dataset'!I202)</f>
        <v>0</v>
      </c>
      <c r="J202" t="b" cm="1">
        <f t="array" ref="J202">IsGreen('Large Dataset'!G202)</f>
        <v>0</v>
      </c>
      <c r="P202" t="b" cm="1">
        <f t="array" ref="P202">IsRed('Large Dataset'!K202)</f>
        <v>0</v>
      </c>
      <c r="Q202" t="b" cm="1">
        <f t="array" ref="Q202">IsBlue('Large Dataset'!K202)</f>
        <v>0</v>
      </c>
      <c r="R202" t="b" cm="1">
        <f t="array" ref="R202">IsPurple('Large Dataset'!K202)</f>
        <v>0</v>
      </c>
      <c r="S202" t="b" cm="1">
        <f t="array" ref="S202">IsGreen('Large Dataset'!K202)</f>
        <v>0</v>
      </c>
      <c r="Y202" t="b" cm="1">
        <f t="array" ref="Y202">IsRed('Large Dataset'!M202)</f>
        <v>0</v>
      </c>
      <c r="Z202" t="b" cm="1">
        <f t="array" ref="Z202">IsBlue('Large Dataset'!M202)</f>
        <v>0</v>
      </c>
      <c r="AA202" t="b" cm="1">
        <f t="array" ref="AA202">IsPurple('Large Dataset'!M202)</f>
        <v>0</v>
      </c>
      <c r="AB202" t="b" cm="1">
        <f t="array" ref="AB202">IsGreen('Large Dataset'!M202)</f>
        <v>0</v>
      </c>
      <c r="AH202" t="b" cm="1">
        <f t="array" ref="AH202">IsRed('Large Dataset'!O202)</f>
        <v>0</v>
      </c>
      <c r="AI202" t="b" cm="1">
        <f t="array" ref="AI202">IsBlue('Large Dataset'!O202)</f>
        <v>0</v>
      </c>
      <c r="AJ202" t="b" cm="1">
        <f t="array" ref="AJ202">IsPurple('Large Dataset'!O202)</f>
        <v>0</v>
      </c>
      <c r="AK202" t="b" cm="1">
        <f t="array" ref="AK202">IsGreen('Large Dataset'!O202)</f>
        <v>0</v>
      </c>
      <c r="AR202" t="b" cm="1">
        <f t="array" ref="AR202">IsRed('Large Dataset'!Q202)</f>
        <v>0</v>
      </c>
      <c r="AS202" t="b" cm="1">
        <f t="array" ref="AS202">IsBlue('Large Dataset'!Q202)</f>
        <v>0</v>
      </c>
      <c r="AT202" t="b" cm="1">
        <f t="array" ref="AT202">IsPurple('Large Dataset'!Q202)</f>
        <v>0</v>
      </c>
      <c r="AU202" t="b" cm="1">
        <f t="array" ref="AU202">IsGreen('Large Dataset'!Q202)</f>
        <v>0</v>
      </c>
      <c r="BA202" t="b" cm="1">
        <f t="array" ref="BA202">IsRed('Large Dataset'!R202)</f>
        <v>0</v>
      </c>
      <c r="BB202" t="b" cm="1">
        <f t="array" ref="BB202">IsBlue('Large Dataset'!R202)</f>
        <v>0</v>
      </c>
      <c r="BC202" t="b" cm="1">
        <f t="array" ref="BC202">IsPurple('Large Dataset'!R202)</f>
        <v>0</v>
      </c>
      <c r="BD202" t="b" cm="1">
        <f t="array" ref="BD202">IsGreen('Large Dataset'!R202)</f>
        <v>0</v>
      </c>
      <c r="BJ202" t="b" cm="1">
        <f t="array" ref="BJ202">IsRed('Large Dataset'!T202)</f>
        <v>0</v>
      </c>
      <c r="BK202" t="b" cm="1">
        <f t="array" ref="BK202">IsBlue('Large Dataset'!T202)</f>
        <v>0</v>
      </c>
      <c r="BL202" t="b" cm="1">
        <f t="array" ref="BL202">IsPurple('Large Dataset'!T202)</f>
        <v>0</v>
      </c>
      <c r="BM202" t="b" cm="1">
        <f t="array" ref="BM202">IsGreen('Large Dataset'!T202)</f>
        <v>0</v>
      </c>
      <c r="BS202" t="b" cm="1">
        <f t="array" ref="BS202">IsRed('Large Dataset'!U202)</f>
        <v>0</v>
      </c>
      <c r="BT202" t="b" cm="1">
        <f t="array" ref="BT202">IsBlue('Large Dataset'!U202)</f>
        <v>0</v>
      </c>
      <c r="BU202" t="b" cm="1">
        <f t="array" ref="BU202">IsPurple('Large Dataset'!U202)</f>
        <v>0</v>
      </c>
      <c r="BV202" t="b" cm="1">
        <f t="array" ref="BV202">IsGreen('Large Dataset'!U202)</f>
        <v>0</v>
      </c>
    </row>
    <row r="203" spans="7:74">
      <c r="G203" t="b" cm="1">
        <f t="array" ref="G203">IsRed('Large Dataset'!I203)</f>
        <v>0</v>
      </c>
      <c r="H203" t="b" cm="1">
        <f t="array" ref="H203">IsBlue('Large Dataset'!I203)</f>
        <v>0</v>
      </c>
      <c r="I203" t="b" cm="1">
        <f t="array" ref="I203">IsPurple('Large Dataset'!I203)</f>
        <v>0</v>
      </c>
      <c r="J203" t="b" cm="1">
        <f t="array" ref="J203">IsGreen('Large Dataset'!G203)</f>
        <v>0</v>
      </c>
      <c r="P203" t="b" cm="1">
        <f t="array" ref="P203">IsRed('Large Dataset'!K203)</f>
        <v>0</v>
      </c>
      <c r="Q203" t="b" cm="1">
        <f t="array" ref="Q203">IsBlue('Large Dataset'!K203)</f>
        <v>0</v>
      </c>
      <c r="R203" t="b" cm="1">
        <f t="array" ref="R203">IsPurple('Large Dataset'!K203)</f>
        <v>0</v>
      </c>
      <c r="S203" t="b" cm="1">
        <f t="array" ref="S203">IsGreen('Large Dataset'!K203)</f>
        <v>0</v>
      </c>
      <c r="Y203" t="b" cm="1">
        <f t="array" ref="Y203">IsRed('Large Dataset'!M203)</f>
        <v>0</v>
      </c>
      <c r="Z203" t="b" cm="1">
        <f t="array" ref="Z203">IsBlue('Large Dataset'!M203)</f>
        <v>0</v>
      </c>
      <c r="AA203" t="b" cm="1">
        <f t="array" ref="AA203">IsPurple('Large Dataset'!M203)</f>
        <v>0</v>
      </c>
      <c r="AB203" t="b" cm="1">
        <f t="array" ref="AB203">IsGreen('Large Dataset'!M203)</f>
        <v>0</v>
      </c>
      <c r="AH203" t="b" cm="1">
        <f t="array" ref="AH203">IsRed('Large Dataset'!O203)</f>
        <v>0</v>
      </c>
      <c r="AI203" t="b" cm="1">
        <f t="array" ref="AI203">IsBlue('Large Dataset'!O203)</f>
        <v>1</v>
      </c>
      <c r="AJ203" t="b" cm="1">
        <f t="array" ref="AJ203">IsPurple('Large Dataset'!O203)</f>
        <v>0</v>
      </c>
      <c r="AK203" t="b" cm="1">
        <f t="array" ref="AK203">IsGreen('Large Dataset'!O203)</f>
        <v>0</v>
      </c>
      <c r="AR203" t="b" cm="1">
        <f t="array" ref="AR203">IsRed('Large Dataset'!Q203)</f>
        <v>0</v>
      </c>
      <c r="AS203" t="b" cm="1">
        <f t="array" ref="AS203">IsBlue('Large Dataset'!Q203)</f>
        <v>0</v>
      </c>
      <c r="AT203" t="b" cm="1">
        <f t="array" ref="AT203">IsPurple('Large Dataset'!Q203)</f>
        <v>0</v>
      </c>
      <c r="AU203" t="b" cm="1">
        <f t="array" ref="AU203">IsGreen('Large Dataset'!Q203)</f>
        <v>0</v>
      </c>
      <c r="BA203" t="b" cm="1">
        <f t="array" ref="BA203">IsRed('Large Dataset'!R203)</f>
        <v>0</v>
      </c>
      <c r="BB203" t="b" cm="1">
        <f t="array" ref="BB203">IsBlue('Large Dataset'!R203)</f>
        <v>0</v>
      </c>
      <c r="BC203" t="b" cm="1">
        <f t="array" ref="BC203">IsPurple('Large Dataset'!R203)</f>
        <v>0</v>
      </c>
      <c r="BD203" t="b" cm="1">
        <f t="array" ref="BD203">IsGreen('Large Dataset'!R203)</f>
        <v>0</v>
      </c>
      <c r="BJ203" t="b" cm="1">
        <f t="array" ref="BJ203">IsRed('Large Dataset'!T203)</f>
        <v>0</v>
      </c>
      <c r="BK203" t="b" cm="1">
        <f t="array" ref="BK203">IsBlue('Large Dataset'!T203)</f>
        <v>0</v>
      </c>
      <c r="BL203" t="b" cm="1">
        <f t="array" ref="BL203">IsPurple('Large Dataset'!T203)</f>
        <v>0</v>
      </c>
      <c r="BM203" t="b" cm="1">
        <f t="array" ref="BM203">IsGreen('Large Dataset'!T203)</f>
        <v>0</v>
      </c>
      <c r="BS203" t="b" cm="1">
        <f t="array" ref="BS203">IsRed('Large Dataset'!U203)</f>
        <v>0</v>
      </c>
      <c r="BT203" t="b" cm="1">
        <f t="array" ref="BT203">IsBlue('Large Dataset'!U203)</f>
        <v>0</v>
      </c>
      <c r="BU203" t="b" cm="1">
        <f t="array" ref="BU203">IsPurple('Large Dataset'!U203)</f>
        <v>0</v>
      </c>
      <c r="BV203" t="b" cm="1">
        <f t="array" ref="BV203">IsGreen('Large Dataset'!U203)</f>
        <v>0</v>
      </c>
    </row>
    <row r="204" spans="7:74">
      <c r="G204" t="b" cm="1">
        <f t="array" ref="G204">IsRed('Large Dataset'!I204)</f>
        <v>0</v>
      </c>
      <c r="H204" t="b" cm="1">
        <f t="array" ref="H204">IsBlue('Large Dataset'!I204)</f>
        <v>0</v>
      </c>
      <c r="I204" t="b" cm="1">
        <f t="array" ref="I204">IsPurple('Large Dataset'!I204)</f>
        <v>0</v>
      </c>
      <c r="J204" t="b" cm="1">
        <f t="array" ref="J204">IsGreen('Large Dataset'!G204)</f>
        <v>0</v>
      </c>
      <c r="P204" t="b" cm="1">
        <f t="array" ref="P204">IsRed('Large Dataset'!K204)</f>
        <v>0</v>
      </c>
      <c r="Q204" t="b" cm="1">
        <f t="array" ref="Q204">IsBlue('Large Dataset'!K204)</f>
        <v>0</v>
      </c>
      <c r="R204" t="b" cm="1">
        <f t="array" ref="R204">IsPurple('Large Dataset'!K204)</f>
        <v>0</v>
      </c>
      <c r="S204" t="b" cm="1">
        <f t="array" ref="S204">IsGreen('Large Dataset'!K204)</f>
        <v>0</v>
      </c>
      <c r="Y204" t="b" cm="1">
        <f t="array" ref="Y204">IsRed('Large Dataset'!M204)</f>
        <v>0</v>
      </c>
      <c r="Z204" t="b" cm="1">
        <f t="array" ref="Z204">IsBlue('Large Dataset'!M204)</f>
        <v>0</v>
      </c>
      <c r="AA204" t="b" cm="1">
        <f t="array" ref="AA204">IsPurple('Large Dataset'!M204)</f>
        <v>0</v>
      </c>
      <c r="AB204" t="b" cm="1">
        <f t="array" ref="AB204">IsGreen('Large Dataset'!M204)</f>
        <v>0</v>
      </c>
      <c r="AH204" t="b" cm="1">
        <f t="array" ref="AH204">IsRed('Large Dataset'!O204)</f>
        <v>0</v>
      </c>
      <c r="AI204" t="b" cm="1">
        <f t="array" ref="AI204">IsBlue('Large Dataset'!O204)</f>
        <v>0</v>
      </c>
      <c r="AJ204" t="b" cm="1">
        <f t="array" ref="AJ204">IsPurple('Large Dataset'!O204)</f>
        <v>0</v>
      </c>
      <c r="AK204" t="b" cm="1">
        <f t="array" ref="AK204">IsGreen('Large Dataset'!O204)</f>
        <v>0</v>
      </c>
      <c r="AR204" t="b" cm="1">
        <f t="array" ref="AR204">IsRed('Large Dataset'!Q204)</f>
        <v>0</v>
      </c>
      <c r="AS204" t="b" cm="1">
        <f t="array" ref="AS204">IsBlue('Large Dataset'!Q204)</f>
        <v>0</v>
      </c>
      <c r="AT204" t="b" cm="1">
        <f t="array" ref="AT204">IsPurple('Large Dataset'!Q204)</f>
        <v>0</v>
      </c>
      <c r="AU204" t="b" cm="1">
        <f t="array" ref="AU204">IsGreen('Large Dataset'!Q204)</f>
        <v>0</v>
      </c>
      <c r="BA204" t="b" cm="1">
        <f t="array" ref="BA204">IsRed('Large Dataset'!R204)</f>
        <v>0</v>
      </c>
      <c r="BB204" t="b" cm="1">
        <f t="array" ref="BB204">IsBlue('Large Dataset'!R204)</f>
        <v>0</v>
      </c>
      <c r="BC204" t="b" cm="1">
        <f t="array" ref="BC204">IsPurple('Large Dataset'!R204)</f>
        <v>0</v>
      </c>
      <c r="BD204" t="b" cm="1">
        <f t="array" ref="BD204">IsGreen('Large Dataset'!R204)</f>
        <v>0</v>
      </c>
      <c r="BJ204" t="b" cm="1">
        <f t="array" ref="BJ204">IsRed('Large Dataset'!T204)</f>
        <v>0</v>
      </c>
      <c r="BK204" t="b" cm="1">
        <f t="array" ref="BK204">IsBlue('Large Dataset'!T204)</f>
        <v>0</v>
      </c>
      <c r="BL204" t="b" cm="1">
        <f t="array" ref="BL204">IsPurple('Large Dataset'!T204)</f>
        <v>0</v>
      </c>
      <c r="BM204" t="b" cm="1">
        <f t="array" ref="BM204">IsGreen('Large Dataset'!T204)</f>
        <v>0</v>
      </c>
      <c r="BS204" t="b" cm="1">
        <f t="array" ref="BS204">IsRed('Large Dataset'!U204)</f>
        <v>0</v>
      </c>
      <c r="BT204" t="b" cm="1">
        <f t="array" ref="BT204">IsBlue('Large Dataset'!U204)</f>
        <v>0</v>
      </c>
      <c r="BU204" t="b" cm="1">
        <f t="array" ref="BU204">IsPurple('Large Dataset'!U204)</f>
        <v>1</v>
      </c>
      <c r="BV204" t="b" cm="1">
        <f t="array" ref="BV204">IsGreen('Large Dataset'!U204)</f>
        <v>0</v>
      </c>
    </row>
    <row r="205" spans="7:74">
      <c r="G205" t="b" cm="1">
        <f t="array" ref="G205">IsRed('Large Dataset'!I205)</f>
        <v>0</v>
      </c>
      <c r="H205" t="b" cm="1">
        <f t="array" ref="H205">IsBlue('Large Dataset'!I205)</f>
        <v>0</v>
      </c>
      <c r="I205" t="b" cm="1">
        <f t="array" ref="I205">IsPurple('Large Dataset'!I205)</f>
        <v>0</v>
      </c>
      <c r="J205" t="b" cm="1">
        <f t="array" ref="J205">IsGreen('Large Dataset'!G205)</f>
        <v>0</v>
      </c>
      <c r="P205" t="b" cm="1">
        <f t="array" ref="P205">IsRed('Large Dataset'!K205)</f>
        <v>0</v>
      </c>
      <c r="Q205" t="b" cm="1">
        <f t="array" ref="Q205">IsBlue('Large Dataset'!K205)</f>
        <v>0</v>
      </c>
      <c r="R205" t="b" cm="1">
        <f t="array" ref="R205">IsPurple('Large Dataset'!K205)</f>
        <v>0</v>
      </c>
      <c r="S205" t="b" cm="1">
        <f t="array" ref="S205">IsGreen('Large Dataset'!K205)</f>
        <v>0</v>
      </c>
      <c r="Y205" t="b" cm="1">
        <f t="array" ref="Y205">IsRed('Large Dataset'!M205)</f>
        <v>1</v>
      </c>
      <c r="Z205" t="b" cm="1">
        <f t="array" ref="Z205">IsBlue('Large Dataset'!M205)</f>
        <v>0</v>
      </c>
      <c r="AA205" t="b" cm="1">
        <f t="array" ref="AA205">IsPurple('Large Dataset'!M205)</f>
        <v>0</v>
      </c>
      <c r="AB205" t="b" cm="1">
        <f t="array" ref="AB205">IsGreen('Large Dataset'!M205)</f>
        <v>0</v>
      </c>
      <c r="AH205" t="b" cm="1">
        <f t="array" ref="AH205">IsRed('Large Dataset'!O205)</f>
        <v>0</v>
      </c>
      <c r="AI205" t="b" cm="1">
        <f t="array" ref="AI205">IsBlue('Large Dataset'!O205)</f>
        <v>0</v>
      </c>
      <c r="AJ205" t="b" cm="1">
        <f t="array" ref="AJ205">IsPurple('Large Dataset'!O205)</f>
        <v>0</v>
      </c>
      <c r="AK205" t="b" cm="1">
        <f t="array" ref="AK205">IsGreen('Large Dataset'!O205)</f>
        <v>0</v>
      </c>
      <c r="AR205" t="b" cm="1">
        <f t="array" ref="AR205">IsRed('Large Dataset'!Q205)</f>
        <v>0</v>
      </c>
      <c r="AS205" t="b" cm="1">
        <f t="array" ref="AS205">IsBlue('Large Dataset'!Q205)</f>
        <v>0</v>
      </c>
      <c r="AT205" t="b" cm="1">
        <f t="array" ref="AT205">IsPurple('Large Dataset'!Q205)</f>
        <v>0</v>
      </c>
      <c r="AU205" t="b" cm="1">
        <f t="array" ref="AU205">IsGreen('Large Dataset'!Q205)</f>
        <v>0</v>
      </c>
      <c r="BA205" t="b" cm="1">
        <f t="array" ref="BA205">IsRed('Large Dataset'!R205)</f>
        <v>0</v>
      </c>
      <c r="BB205" t="b" cm="1">
        <f t="array" ref="BB205">IsBlue('Large Dataset'!R205)</f>
        <v>0</v>
      </c>
      <c r="BC205" t="b" cm="1">
        <f t="array" ref="BC205">IsPurple('Large Dataset'!R205)</f>
        <v>0</v>
      </c>
      <c r="BD205" t="b" cm="1">
        <f t="array" ref="BD205">IsGreen('Large Dataset'!R205)</f>
        <v>0</v>
      </c>
      <c r="BJ205" t="b" cm="1">
        <f t="array" ref="BJ205">IsRed('Large Dataset'!T205)</f>
        <v>0</v>
      </c>
      <c r="BK205" t="b" cm="1">
        <f t="array" ref="BK205">IsBlue('Large Dataset'!T205)</f>
        <v>0</v>
      </c>
      <c r="BL205" t="b" cm="1">
        <f t="array" ref="BL205">IsPurple('Large Dataset'!T205)</f>
        <v>0</v>
      </c>
      <c r="BM205" t="b" cm="1">
        <f t="array" ref="BM205">IsGreen('Large Dataset'!T205)</f>
        <v>0</v>
      </c>
      <c r="BS205" t="b" cm="1">
        <f t="array" ref="BS205">IsRed('Large Dataset'!U205)</f>
        <v>0</v>
      </c>
      <c r="BT205" t="b" cm="1">
        <f t="array" ref="BT205">IsBlue('Large Dataset'!U205)</f>
        <v>0</v>
      </c>
      <c r="BU205" t="b" cm="1">
        <f t="array" ref="BU205">IsPurple('Large Dataset'!U205)</f>
        <v>0</v>
      </c>
      <c r="BV205" t="b" cm="1">
        <f t="array" ref="BV205">IsGreen('Large Dataset'!U205)</f>
        <v>0</v>
      </c>
    </row>
    <row r="206" spans="7:74">
      <c r="G206" t="b" cm="1">
        <f t="array" ref="G206">IsRed('Large Dataset'!I206)</f>
        <v>0</v>
      </c>
      <c r="H206" t="b" cm="1">
        <f t="array" ref="H206">IsBlue('Large Dataset'!I206)</f>
        <v>0</v>
      </c>
      <c r="I206" t="b" cm="1">
        <f t="array" ref="I206">IsPurple('Large Dataset'!I206)</f>
        <v>0</v>
      </c>
      <c r="J206" t="b" cm="1">
        <f t="array" ref="J206">IsGreen('Large Dataset'!G206)</f>
        <v>0</v>
      </c>
      <c r="P206" t="b" cm="1">
        <f t="array" ref="P206">IsRed('Large Dataset'!K206)</f>
        <v>0</v>
      </c>
      <c r="Q206" t="b" cm="1">
        <f t="array" ref="Q206">IsBlue('Large Dataset'!K206)</f>
        <v>0</v>
      </c>
      <c r="R206" t="b" cm="1">
        <f t="array" ref="R206">IsPurple('Large Dataset'!K206)</f>
        <v>0</v>
      </c>
      <c r="S206" t="b" cm="1">
        <f t="array" ref="S206">IsGreen('Large Dataset'!K206)</f>
        <v>0</v>
      </c>
      <c r="Y206" t="b" cm="1">
        <f t="array" ref="Y206">IsRed('Large Dataset'!M206)</f>
        <v>0</v>
      </c>
      <c r="Z206" t="b" cm="1">
        <f t="array" ref="Z206">IsBlue('Large Dataset'!M206)</f>
        <v>0</v>
      </c>
      <c r="AA206" t="b" cm="1">
        <f t="array" ref="AA206">IsPurple('Large Dataset'!M206)</f>
        <v>0</v>
      </c>
      <c r="AB206" t="b" cm="1">
        <f t="array" ref="AB206">IsGreen('Large Dataset'!M206)</f>
        <v>0</v>
      </c>
      <c r="AH206" t="b" cm="1">
        <f t="array" ref="AH206">IsRed('Large Dataset'!O206)</f>
        <v>0</v>
      </c>
      <c r="AI206" t="b" cm="1">
        <f t="array" ref="AI206">IsBlue('Large Dataset'!O206)</f>
        <v>1</v>
      </c>
      <c r="AJ206" t="b" cm="1">
        <f t="array" ref="AJ206">IsPurple('Large Dataset'!O206)</f>
        <v>0</v>
      </c>
      <c r="AK206" t="b" cm="1">
        <f t="array" ref="AK206">IsGreen('Large Dataset'!O206)</f>
        <v>0</v>
      </c>
      <c r="AR206" t="b" cm="1">
        <f t="array" ref="AR206">IsRed('Large Dataset'!Q206)</f>
        <v>0</v>
      </c>
      <c r="AS206" t="b" cm="1">
        <f t="array" ref="AS206">IsBlue('Large Dataset'!Q206)</f>
        <v>0</v>
      </c>
      <c r="AT206" t="b" cm="1">
        <f t="array" ref="AT206">IsPurple('Large Dataset'!Q206)</f>
        <v>0</v>
      </c>
      <c r="AU206" t="b" cm="1">
        <f t="array" ref="AU206">IsGreen('Large Dataset'!Q206)</f>
        <v>0</v>
      </c>
      <c r="BA206" t="b" cm="1">
        <f t="array" ref="BA206">IsRed('Large Dataset'!R206)</f>
        <v>0</v>
      </c>
      <c r="BB206" t="b" cm="1">
        <f t="array" ref="BB206">IsBlue('Large Dataset'!R206)</f>
        <v>0</v>
      </c>
      <c r="BC206" t="b" cm="1">
        <f t="array" ref="BC206">IsPurple('Large Dataset'!R206)</f>
        <v>0</v>
      </c>
      <c r="BD206" t="b" cm="1">
        <f t="array" ref="BD206">IsGreen('Large Dataset'!R206)</f>
        <v>0</v>
      </c>
      <c r="BJ206" t="b" cm="1">
        <f t="array" ref="BJ206">IsRed('Large Dataset'!T206)</f>
        <v>0</v>
      </c>
      <c r="BK206" t="b" cm="1">
        <f t="array" ref="BK206">IsBlue('Large Dataset'!T206)</f>
        <v>0</v>
      </c>
      <c r="BL206" t="b" cm="1">
        <f t="array" ref="BL206">IsPurple('Large Dataset'!T206)</f>
        <v>0</v>
      </c>
      <c r="BM206" t="b" cm="1">
        <f t="array" ref="BM206">IsGreen('Large Dataset'!T206)</f>
        <v>0</v>
      </c>
      <c r="BS206" t="b" cm="1">
        <f t="array" ref="BS206">IsRed('Large Dataset'!U206)</f>
        <v>0</v>
      </c>
      <c r="BT206" t="b" cm="1">
        <f t="array" ref="BT206">IsBlue('Large Dataset'!U206)</f>
        <v>0</v>
      </c>
      <c r="BU206" t="b" cm="1">
        <f t="array" ref="BU206">IsPurple('Large Dataset'!U206)</f>
        <v>0</v>
      </c>
      <c r="BV206" t="b" cm="1">
        <f t="array" ref="BV206">IsGreen('Large Dataset'!U206)</f>
        <v>0</v>
      </c>
    </row>
    <row r="207" spans="7:74">
      <c r="G207" t="b" cm="1">
        <f t="array" ref="G207">IsRed('Large Dataset'!I207)</f>
        <v>0</v>
      </c>
      <c r="H207" t="b" cm="1">
        <f t="array" ref="H207">IsBlue('Large Dataset'!I207)</f>
        <v>0</v>
      </c>
      <c r="I207" t="b" cm="1">
        <f t="array" ref="I207">IsPurple('Large Dataset'!I207)</f>
        <v>0</v>
      </c>
      <c r="J207" t="b" cm="1">
        <f t="array" ref="J207">IsGreen('Large Dataset'!G207)</f>
        <v>0</v>
      </c>
      <c r="P207" t="b" cm="1">
        <f t="array" ref="P207">IsRed('Large Dataset'!K207)</f>
        <v>0</v>
      </c>
      <c r="Q207" t="b" cm="1">
        <f t="array" ref="Q207">IsBlue('Large Dataset'!K207)</f>
        <v>0</v>
      </c>
      <c r="R207" t="b" cm="1">
        <f t="array" ref="R207">IsPurple('Large Dataset'!K207)</f>
        <v>0</v>
      </c>
      <c r="S207" t="b" cm="1">
        <f t="array" ref="S207">IsGreen('Large Dataset'!K207)</f>
        <v>0</v>
      </c>
      <c r="Y207" t="b" cm="1">
        <f t="array" ref="Y207">IsRed('Large Dataset'!M207)</f>
        <v>0</v>
      </c>
      <c r="Z207" t="b" cm="1">
        <f t="array" ref="Z207">IsBlue('Large Dataset'!M207)</f>
        <v>0</v>
      </c>
      <c r="AA207" t="b" cm="1">
        <f t="array" ref="AA207">IsPurple('Large Dataset'!M207)</f>
        <v>0</v>
      </c>
      <c r="AB207" t="b" cm="1">
        <f t="array" ref="AB207">IsGreen('Large Dataset'!M207)</f>
        <v>0</v>
      </c>
      <c r="AH207" t="b" cm="1">
        <f t="array" ref="AH207">IsRed('Large Dataset'!O207)</f>
        <v>0</v>
      </c>
      <c r="AI207" t="b" cm="1">
        <f t="array" ref="AI207">IsBlue('Large Dataset'!O207)</f>
        <v>0</v>
      </c>
      <c r="AJ207" t="b" cm="1">
        <f t="array" ref="AJ207">IsPurple('Large Dataset'!O207)</f>
        <v>0</v>
      </c>
      <c r="AK207" t="b" cm="1">
        <f t="array" ref="AK207">IsGreen('Large Dataset'!O207)</f>
        <v>0</v>
      </c>
      <c r="AR207" t="b" cm="1">
        <f t="array" ref="AR207">IsRed('Large Dataset'!Q207)</f>
        <v>0</v>
      </c>
      <c r="AS207" t="b" cm="1">
        <f t="array" ref="AS207">IsBlue('Large Dataset'!Q207)</f>
        <v>0</v>
      </c>
      <c r="AT207" t="b" cm="1">
        <f t="array" ref="AT207">IsPurple('Large Dataset'!Q207)</f>
        <v>0</v>
      </c>
      <c r="AU207" t="b" cm="1">
        <f t="array" ref="AU207">IsGreen('Large Dataset'!Q207)</f>
        <v>0</v>
      </c>
      <c r="BA207" t="b" cm="1">
        <f t="array" ref="BA207">IsRed('Large Dataset'!R207)</f>
        <v>0</v>
      </c>
      <c r="BB207" t="b" cm="1">
        <f t="array" ref="BB207">IsBlue('Large Dataset'!R207)</f>
        <v>0</v>
      </c>
      <c r="BC207" t="b" cm="1">
        <f t="array" ref="BC207">IsPurple('Large Dataset'!R207)</f>
        <v>0</v>
      </c>
      <c r="BD207" t="b" cm="1">
        <f t="array" ref="BD207">IsGreen('Large Dataset'!R207)</f>
        <v>0</v>
      </c>
      <c r="BJ207" t="b" cm="1">
        <f t="array" ref="BJ207">IsRed('Large Dataset'!T207)</f>
        <v>0</v>
      </c>
      <c r="BK207" t="b" cm="1">
        <f t="array" ref="BK207">IsBlue('Large Dataset'!T207)</f>
        <v>0</v>
      </c>
      <c r="BL207" t="b" cm="1">
        <f t="array" ref="BL207">IsPurple('Large Dataset'!T207)</f>
        <v>0</v>
      </c>
      <c r="BM207" t="b" cm="1">
        <f t="array" ref="BM207">IsGreen('Large Dataset'!T207)</f>
        <v>0</v>
      </c>
      <c r="BS207" t="b" cm="1">
        <f t="array" ref="BS207">IsRed('Large Dataset'!U207)</f>
        <v>0</v>
      </c>
      <c r="BT207" t="b" cm="1">
        <f t="array" ref="BT207">IsBlue('Large Dataset'!U207)</f>
        <v>1</v>
      </c>
      <c r="BU207" t="b" cm="1">
        <f t="array" ref="BU207">IsPurple('Large Dataset'!U207)</f>
        <v>0</v>
      </c>
      <c r="BV207" t="b" cm="1">
        <f t="array" ref="BV207">IsGreen('Large Dataset'!U207)</f>
        <v>0</v>
      </c>
    </row>
    <row r="208" spans="7:74">
      <c r="G208" t="b" cm="1">
        <f t="array" ref="G208">IsRed('Large Dataset'!I208)</f>
        <v>1</v>
      </c>
      <c r="H208" t="b" cm="1">
        <f t="array" ref="H208">IsBlue('Large Dataset'!I208)</f>
        <v>0</v>
      </c>
      <c r="I208" t="b" cm="1">
        <f t="array" ref="I208">IsPurple('Large Dataset'!I208)</f>
        <v>0</v>
      </c>
      <c r="J208" t="b" cm="1">
        <f t="array" ref="J208">IsGreen('Large Dataset'!G208)</f>
        <v>0</v>
      </c>
      <c r="P208" t="b" cm="1">
        <f t="array" ref="P208">IsRed('Large Dataset'!K208)</f>
        <v>0</v>
      </c>
      <c r="Q208" t="b" cm="1">
        <f t="array" ref="Q208">IsBlue('Large Dataset'!K208)</f>
        <v>0</v>
      </c>
      <c r="R208" t="b" cm="1">
        <f t="array" ref="R208">IsPurple('Large Dataset'!K208)</f>
        <v>1</v>
      </c>
      <c r="S208" t="b" cm="1">
        <f t="array" ref="S208">IsGreen('Large Dataset'!K208)</f>
        <v>0</v>
      </c>
      <c r="Y208" t="b" cm="1">
        <f t="array" ref="Y208">IsRed('Large Dataset'!M208)</f>
        <v>0</v>
      </c>
      <c r="Z208" t="b" cm="1">
        <f t="array" ref="Z208">IsBlue('Large Dataset'!M208)</f>
        <v>0</v>
      </c>
      <c r="AA208" t="b" cm="1">
        <f t="array" ref="AA208">IsPurple('Large Dataset'!M208)</f>
        <v>0</v>
      </c>
      <c r="AB208" t="b" cm="1">
        <f t="array" ref="AB208">IsGreen('Large Dataset'!M208)</f>
        <v>0</v>
      </c>
      <c r="AH208" t="b" cm="1">
        <f t="array" ref="AH208">IsRed('Large Dataset'!O208)</f>
        <v>0</v>
      </c>
      <c r="AI208" t="b" cm="1">
        <f t="array" ref="AI208">IsBlue('Large Dataset'!O208)</f>
        <v>0</v>
      </c>
      <c r="AJ208" t="b" cm="1">
        <f t="array" ref="AJ208">IsPurple('Large Dataset'!O208)</f>
        <v>0</v>
      </c>
      <c r="AK208" t="b" cm="1">
        <f t="array" ref="AK208">IsGreen('Large Dataset'!O208)</f>
        <v>0</v>
      </c>
      <c r="AR208" t="b" cm="1">
        <f t="array" ref="AR208">IsRed('Large Dataset'!Q208)</f>
        <v>0</v>
      </c>
      <c r="AS208" t="b" cm="1">
        <f t="array" ref="AS208">IsBlue('Large Dataset'!Q208)</f>
        <v>0</v>
      </c>
      <c r="AT208" t="b" cm="1">
        <f t="array" ref="AT208">IsPurple('Large Dataset'!Q208)</f>
        <v>0</v>
      </c>
      <c r="AU208" t="b" cm="1">
        <f t="array" ref="AU208">IsGreen('Large Dataset'!Q208)</f>
        <v>0</v>
      </c>
      <c r="BA208" t="b" cm="1">
        <f t="array" ref="BA208">IsRed('Large Dataset'!R208)</f>
        <v>0</v>
      </c>
      <c r="BB208" t="b" cm="1">
        <f t="array" ref="BB208">IsBlue('Large Dataset'!R208)</f>
        <v>0</v>
      </c>
      <c r="BC208" t="b" cm="1">
        <f t="array" ref="BC208">IsPurple('Large Dataset'!R208)</f>
        <v>0</v>
      </c>
      <c r="BD208" t="b" cm="1">
        <f t="array" ref="BD208">IsGreen('Large Dataset'!R208)</f>
        <v>0</v>
      </c>
      <c r="BJ208" t="b" cm="1">
        <f t="array" ref="BJ208">IsRed('Large Dataset'!T208)</f>
        <v>0</v>
      </c>
      <c r="BK208" t="b" cm="1">
        <f t="array" ref="BK208">IsBlue('Large Dataset'!T208)</f>
        <v>0</v>
      </c>
      <c r="BL208" t="b" cm="1">
        <f t="array" ref="BL208">IsPurple('Large Dataset'!T208)</f>
        <v>0</v>
      </c>
      <c r="BM208" t="b" cm="1">
        <f t="array" ref="BM208">IsGreen('Large Dataset'!T208)</f>
        <v>0</v>
      </c>
      <c r="BS208" t="b" cm="1">
        <f t="array" ref="BS208">IsRed('Large Dataset'!U208)</f>
        <v>0</v>
      </c>
      <c r="BT208" t="b" cm="1">
        <f t="array" ref="BT208">IsBlue('Large Dataset'!U208)</f>
        <v>1</v>
      </c>
      <c r="BU208" t="b" cm="1">
        <f t="array" ref="BU208">IsPurple('Large Dataset'!U208)</f>
        <v>0</v>
      </c>
      <c r="BV208" t="b" cm="1">
        <f t="array" ref="BV208">IsGreen('Large Dataset'!U208)</f>
        <v>0</v>
      </c>
    </row>
    <row r="209" spans="7:74">
      <c r="G209" t="b" cm="1">
        <f t="array" ref="G209">IsRed('Large Dataset'!I209)</f>
        <v>0</v>
      </c>
      <c r="H209" t="b" cm="1">
        <f t="array" ref="H209">IsBlue('Large Dataset'!I209)</f>
        <v>0</v>
      </c>
      <c r="I209" t="b" cm="1">
        <f t="array" ref="I209">IsPurple('Large Dataset'!I209)</f>
        <v>0</v>
      </c>
      <c r="J209" t="b" cm="1">
        <f t="array" ref="J209">IsGreen('Large Dataset'!G209)</f>
        <v>0</v>
      </c>
      <c r="P209" t="b" cm="1">
        <f t="array" ref="P209">IsRed('Large Dataset'!K209)</f>
        <v>0</v>
      </c>
      <c r="Q209" t="b" cm="1">
        <f t="array" ref="Q209">IsBlue('Large Dataset'!K209)</f>
        <v>0</v>
      </c>
      <c r="R209" t="b" cm="1">
        <f t="array" ref="R209">IsPurple('Large Dataset'!K209)</f>
        <v>0</v>
      </c>
      <c r="S209" t="b" cm="1">
        <f t="array" ref="S209">IsGreen('Large Dataset'!K209)</f>
        <v>0</v>
      </c>
      <c r="Y209" t="b" cm="1">
        <f t="array" ref="Y209">IsRed('Large Dataset'!M209)</f>
        <v>0</v>
      </c>
      <c r="Z209" t="b" cm="1">
        <f t="array" ref="Z209">IsBlue('Large Dataset'!M209)</f>
        <v>0</v>
      </c>
      <c r="AA209" t="b" cm="1">
        <f t="array" ref="AA209">IsPurple('Large Dataset'!M209)</f>
        <v>0</v>
      </c>
      <c r="AB209" t="b" cm="1">
        <f t="array" ref="AB209">IsGreen('Large Dataset'!M209)</f>
        <v>0</v>
      </c>
      <c r="AH209" t="b" cm="1">
        <f t="array" ref="AH209">IsRed('Large Dataset'!O209)</f>
        <v>1</v>
      </c>
      <c r="AI209" t="b" cm="1">
        <f t="array" ref="AI209">IsBlue('Large Dataset'!O209)</f>
        <v>0</v>
      </c>
      <c r="AJ209" t="b" cm="1">
        <f t="array" ref="AJ209">IsPurple('Large Dataset'!O209)</f>
        <v>0</v>
      </c>
      <c r="AK209" t="b" cm="1">
        <f t="array" ref="AK209">IsGreen('Large Dataset'!O209)</f>
        <v>0</v>
      </c>
      <c r="AR209" t="b" cm="1">
        <f t="array" ref="AR209">IsRed('Large Dataset'!Q209)</f>
        <v>0</v>
      </c>
      <c r="AS209" t="b" cm="1">
        <f t="array" ref="AS209">IsBlue('Large Dataset'!Q209)</f>
        <v>0</v>
      </c>
      <c r="AT209" t="b" cm="1">
        <f t="array" ref="AT209">IsPurple('Large Dataset'!Q209)</f>
        <v>0</v>
      </c>
      <c r="AU209" t="b" cm="1">
        <f t="array" ref="AU209">IsGreen('Large Dataset'!Q209)</f>
        <v>0</v>
      </c>
      <c r="BA209" t="b" cm="1">
        <f t="array" ref="BA209">IsRed('Large Dataset'!R209)</f>
        <v>0</v>
      </c>
      <c r="BB209" t="b" cm="1">
        <f t="array" ref="BB209">IsBlue('Large Dataset'!R209)</f>
        <v>0</v>
      </c>
      <c r="BC209" t="b" cm="1">
        <f t="array" ref="BC209">IsPurple('Large Dataset'!R209)</f>
        <v>0</v>
      </c>
      <c r="BD209" t="b" cm="1">
        <f t="array" ref="BD209">IsGreen('Large Dataset'!R209)</f>
        <v>0</v>
      </c>
      <c r="BJ209" t="b" cm="1">
        <f t="array" ref="BJ209">IsRed('Large Dataset'!T209)</f>
        <v>0</v>
      </c>
      <c r="BK209" t="b" cm="1">
        <f t="array" ref="BK209">IsBlue('Large Dataset'!T209)</f>
        <v>0</v>
      </c>
      <c r="BL209" t="b" cm="1">
        <f t="array" ref="BL209">IsPurple('Large Dataset'!T209)</f>
        <v>0</v>
      </c>
      <c r="BM209" t="b" cm="1">
        <f t="array" ref="BM209">IsGreen('Large Dataset'!T209)</f>
        <v>0</v>
      </c>
      <c r="BS209" t="b" cm="1">
        <f t="array" ref="BS209">IsRed('Large Dataset'!U209)</f>
        <v>0</v>
      </c>
      <c r="BT209" t="b" cm="1">
        <f t="array" ref="BT209">IsBlue('Large Dataset'!U209)</f>
        <v>1</v>
      </c>
      <c r="BU209" t="b" cm="1">
        <f t="array" ref="BU209">IsPurple('Large Dataset'!U209)</f>
        <v>0</v>
      </c>
      <c r="BV209" t="b" cm="1">
        <f t="array" ref="BV209">IsGreen('Large Dataset'!U209)</f>
        <v>0</v>
      </c>
    </row>
    <row r="210" spans="7:74">
      <c r="G210" t="b" cm="1">
        <f t="array" ref="G210">IsRed('Large Dataset'!I210)</f>
        <v>0</v>
      </c>
      <c r="H210" t="b" cm="1">
        <f t="array" ref="H210">IsBlue('Large Dataset'!I210)</f>
        <v>0</v>
      </c>
      <c r="I210" t="b" cm="1">
        <f t="array" ref="I210">IsPurple('Large Dataset'!I210)</f>
        <v>0</v>
      </c>
      <c r="J210" t="b" cm="1">
        <f t="array" ref="J210">IsGreen('Large Dataset'!G210)</f>
        <v>0</v>
      </c>
      <c r="P210" t="b" cm="1">
        <f t="array" ref="P210">IsRed('Large Dataset'!K210)</f>
        <v>1</v>
      </c>
      <c r="Q210" t="b" cm="1">
        <f t="array" ref="Q210">IsBlue('Large Dataset'!K210)</f>
        <v>0</v>
      </c>
      <c r="R210" t="b" cm="1">
        <f t="array" ref="R210">IsPurple('Large Dataset'!K210)</f>
        <v>0</v>
      </c>
      <c r="S210" t="b" cm="1">
        <f t="array" ref="S210">IsGreen('Large Dataset'!K210)</f>
        <v>0</v>
      </c>
      <c r="Y210" t="b" cm="1">
        <f t="array" ref="Y210">IsRed('Large Dataset'!M210)</f>
        <v>0</v>
      </c>
      <c r="Z210" t="b" cm="1">
        <f t="array" ref="Z210">IsBlue('Large Dataset'!M210)</f>
        <v>0</v>
      </c>
      <c r="AA210" t="b" cm="1">
        <f t="array" ref="AA210">IsPurple('Large Dataset'!M210)</f>
        <v>0</v>
      </c>
      <c r="AB210" t="b" cm="1">
        <f t="array" ref="AB210">IsGreen('Large Dataset'!M210)</f>
        <v>0</v>
      </c>
      <c r="AH210" t="b" cm="1">
        <f t="array" ref="AH210">IsRed('Large Dataset'!O210)</f>
        <v>0</v>
      </c>
      <c r="AI210" t="b" cm="1">
        <f t="array" ref="AI210">IsBlue('Large Dataset'!O210)</f>
        <v>0</v>
      </c>
      <c r="AJ210" t="b" cm="1">
        <f t="array" ref="AJ210">IsPurple('Large Dataset'!O210)</f>
        <v>0</v>
      </c>
      <c r="AK210" t="b" cm="1">
        <f t="array" ref="AK210">IsGreen('Large Dataset'!O210)</f>
        <v>0</v>
      </c>
      <c r="AR210" t="b" cm="1">
        <f t="array" ref="AR210">IsRed('Large Dataset'!Q210)</f>
        <v>0</v>
      </c>
      <c r="AS210" t="b" cm="1">
        <f t="array" ref="AS210">IsBlue('Large Dataset'!Q210)</f>
        <v>0</v>
      </c>
      <c r="AT210" t="b" cm="1">
        <f t="array" ref="AT210">IsPurple('Large Dataset'!Q210)</f>
        <v>0</v>
      </c>
      <c r="AU210" t="b" cm="1">
        <f t="array" ref="AU210">IsGreen('Large Dataset'!Q210)</f>
        <v>0</v>
      </c>
      <c r="BA210" t="b" cm="1">
        <f t="array" ref="BA210">IsRed('Large Dataset'!R210)</f>
        <v>0</v>
      </c>
      <c r="BB210" t="b" cm="1">
        <f t="array" ref="BB210">IsBlue('Large Dataset'!R210)</f>
        <v>0</v>
      </c>
      <c r="BC210" t="b" cm="1">
        <f t="array" ref="BC210">IsPurple('Large Dataset'!R210)</f>
        <v>0</v>
      </c>
      <c r="BD210" t="b" cm="1">
        <f t="array" ref="BD210">IsGreen('Large Dataset'!R210)</f>
        <v>0</v>
      </c>
      <c r="BJ210" t="b" cm="1">
        <f t="array" ref="BJ210">IsRed('Large Dataset'!T210)</f>
        <v>0</v>
      </c>
      <c r="BK210" t="b" cm="1">
        <f t="array" ref="BK210">IsBlue('Large Dataset'!T210)</f>
        <v>0</v>
      </c>
      <c r="BL210" t="b" cm="1">
        <f t="array" ref="BL210">IsPurple('Large Dataset'!T210)</f>
        <v>0</v>
      </c>
      <c r="BM210" t="b" cm="1">
        <f t="array" ref="BM210">IsGreen('Large Dataset'!T210)</f>
        <v>0</v>
      </c>
      <c r="BS210" t="b" cm="1">
        <f t="array" ref="BS210">IsRed('Large Dataset'!U210)</f>
        <v>0</v>
      </c>
      <c r="BT210" t="b" cm="1">
        <f t="array" ref="BT210">IsBlue('Large Dataset'!U210)</f>
        <v>1</v>
      </c>
      <c r="BU210" t="b" cm="1">
        <f t="array" ref="BU210">IsPurple('Large Dataset'!U210)</f>
        <v>0</v>
      </c>
      <c r="BV210" t="b" cm="1">
        <f t="array" ref="BV210">IsGreen('Large Dataset'!U210)</f>
        <v>0</v>
      </c>
    </row>
    <row r="211" spans="7:74">
      <c r="G211" t="b" cm="1">
        <f t="array" ref="G211">IsRed('Large Dataset'!I211)</f>
        <v>0</v>
      </c>
      <c r="H211" t="b" cm="1">
        <f t="array" ref="H211">IsBlue('Large Dataset'!I211)</f>
        <v>0</v>
      </c>
      <c r="I211" t="b" cm="1">
        <f t="array" ref="I211">IsPurple('Large Dataset'!I211)</f>
        <v>0</v>
      </c>
      <c r="J211" t="b" cm="1">
        <f t="array" ref="J211">IsGreen('Large Dataset'!G211)</f>
        <v>0</v>
      </c>
      <c r="P211" t="b" cm="1">
        <f t="array" ref="P211">IsRed('Large Dataset'!K211)</f>
        <v>0</v>
      </c>
      <c r="Q211" t="b" cm="1">
        <f t="array" ref="Q211">IsBlue('Large Dataset'!K211)</f>
        <v>0</v>
      </c>
      <c r="R211" t="b" cm="1">
        <f t="array" ref="R211">IsPurple('Large Dataset'!K211)</f>
        <v>0</v>
      </c>
      <c r="S211" t="b" cm="1">
        <f t="array" ref="S211">IsGreen('Large Dataset'!K211)</f>
        <v>0</v>
      </c>
      <c r="Y211" t="b" cm="1">
        <f t="array" ref="Y211">IsRed('Large Dataset'!M211)</f>
        <v>0</v>
      </c>
      <c r="Z211" t="b" cm="1">
        <f t="array" ref="Z211">IsBlue('Large Dataset'!M211)</f>
        <v>0</v>
      </c>
      <c r="AA211" t="b" cm="1">
        <f t="array" ref="AA211">IsPurple('Large Dataset'!M211)</f>
        <v>0</v>
      </c>
      <c r="AB211" t="b" cm="1">
        <f t="array" ref="AB211">IsGreen('Large Dataset'!M211)</f>
        <v>0</v>
      </c>
      <c r="AH211" t="b" cm="1">
        <f t="array" ref="AH211">IsRed('Large Dataset'!O211)</f>
        <v>0</v>
      </c>
      <c r="AI211" t="b" cm="1">
        <f t="array" ref="AI211">IsBlue('Large Dataset'!O211)</f>
        <v>0</v>
      </c>
      <c r="AJ211" t="b" cm="1">
        <f t="array" ref="AJ211">IsPurple('Large Dataset'!O211)</f>
        <v>0</v>
      </c>
      <c r="AK211" t="b" cm="1">
        <f t="array" ref="AK211">IsGreen('Large Dataset'!O211)</f>
        <v>0</v>
      </c>
      <c r="AR211" t="b" cm="1">
        <f t="array" ref="AR211">IsRed('Large Dataset'!Q211)</f>
        <v>0</v>
      </c>
      <c r="AS211" t="b" cm="1">
        <f t="array" ref="AS211">IsBlue('Large Dataset'!Q211)</f>
        <v>0</v>
      </c>
      <c r="AT211" t="b" cm="1">
        <f t="array" ref="AT211">IsPurple('Large Dataset'!Q211)</f>
        <v>0</v>
      </c>
      <c r="AU211" t="b" cm="1">
        <f t="array" ref="AU211">IsGreen('Large Dataset'!Q211)</f>
        <v>0</v>
      </c>
      <c r="BA211" t="b" cm="1">
        <f t="array" ref="BA211">IsRed('Large Dataset'!R211)</f>
        <v>0</v>
      </c>
      <c r="BB211" t="b" cm="1">
        <f t="array" ref="BB211">IsBlue('Large Dataset'!R211)</f>
        <v>0</v>
      </c>
      <c r="BC211" t="b" cm="1">
        <f t="array" ref="BC211">IsPurple('Large Dataset'!R211)</f>
        <v>0</v>
      </c>
      <c r="BD211" t="b" cm="1">
        <f t="array" ref="BD211">IsGreen('Large Dataset'!R211)</f>
        <v>0</v>
      </c>
      <c r="BJ211" t="b" cm="1">
        <f t="array" ref="BJ211">IsRed('Large Dataset'!T211)</f>
        <v>0</v>
      </c>
      <c r="BK211" t="b" cm="1">
        <f t="array" ref="BK211">IsBlue('Large Dataset'!T211)</f>
        <v>0</v>
      </c>
      <c r="BL211" t="b" cm="1">
        <f t="array" ref="BL211">IsPurple('Large Dataset'!T211)</f>
        <v>0</v>
      </c>
      <c r="BM211" t="b" cm="1">
        <f t="array" ref="BM211">IsGreen('Large Dataset'!T211)</f>
        <v>0</v>
      </c>
      <c r="BS211" t="b" cm="1">
        <f t="array" ref="BS211">IsRed('Large Dataset'!U211)</f>
        <v>0</v>
      </c>
      <c r="BT211" t="b" cm="1">
        <f t="array" ref="BT211">IsBlue('Large Dataset'!U211)</f>
        <v>1</v>
      </c>
      <c r="BU211" t="b" cm="1">
        <f t="array" ref="BU211">IsPurple('Large Dataset'!U211)</f>
        <v>0</v>
      </c>
      <c r="BV211" t="b" cm="1">
        <f t="array" ref="BV211">IsGreen('Large Dataset'!U211)</f>
        <v>0</v>
      </c>
    </row>
    <row r="212" spans="7:74">
      <c r="G212" t="b" cm="1">
        <f t="array" ref="G212">IsRed('Large Dataset'!I212)</f>
        <v>0</v>
      </c>
      <c r="H212" t="b" cm="1">
        <f t="array" ref="H212">IsBlue('Large Dataset'!I212)</f>
        <v>0</v>
      </c>
      <c r="I212" t="b" cm="1">
        <f t="array" ref="I212">IsPurple('Large Dataset'!I212)</f>
        <v>0</v>
      </c>
      <c r="J212" t="b" cm="1">
        <f t="array" ref="J212">IsGreen('Large Dataset'!G212)</f>
        <v>0</v>
      </c>
      <c r="P212" t="b" cm="1">
        <f t="array" ref="P212">IsRed('Large Dataset'!K212)</f>
        <v>0</v>
      </c>
      <c r="Q212" t="b" cm="1">
        <f t="array" ref="Q212">IsBlue('Large Dataset'!K212)</f>
        <v>0</v>
      </c>
      <c r="R212" t="b" cm="1">
        <f t="array" ref="R212">IsPurple('Large Dataset'!K212)</f>
        <v>0</v>
      </c>
      <c r="S212" t="b" cm="1">
        <f t="array" ref="S212">IsGreen('Large Dataset'!K212)</f>
        <v>0</v>
      </c>
      <c r="Y212" t="b" cm="1">
        <f t="array" ref="Y212">IsRed('Large Dataset'!M212)</f>
        <v>0</v>
      </c>
      <c r="Z212" t="b" cm="1">
        <f t="array" ref="Z212">IsBlue('Large Dataset'!M212)</f>
        <v>0</v>
      </c>
      <c r="AA212" t="b" cm="1">
        <f t="array" ref="AA212">IsPurple('Large Dataset'!M212)</f>
        <v>0</v>
      </c>
      <c r="AB212" t="b" cm="1">
        <f t="array" ref="AB212">IsGreen('Large Dataset'!M212)</f>
        <v>0</v>
      </c>
      <c r="AH212" t="b" cm="1">
        <f t="array" ref="AH212">IsRed('Large Dataset'!O212)</f>
        <v>0</v>
      </c>
      <c r="AI212" t="b" cm="1">
        <f t="array" ref="AI212">IsBlue('Large Dataset'!O212)</f>
        <v>0</v>
      </c>
      <c r="AJ212" t="b" cm="1">
        <f t="array" ref="AJ212">IsPurple('Large Dataset'!O212)</f>
        <v>1</v>
      </c>
      <c r="AK212" t="b" cm="1">
        <f t="array" ref="AK212">IsGreen('Large Dataset'!O212)</f>
        <v>0</v>
      </c>
      <c r="AR212" t="b" cm="1">
        <f t="array" ref="AR212">IsRed('Large Dataset'!Q212)</f>
        <v>0</v>
      </c>
      <c r="AS212" t="b" cm="1">
        <f t="array" ref="AS212">IsBlue('Large Dataset'!Q212)</f>
        <v>0</v>
      </c>
      <c r="AT212" t="b" cm="1">
        <f t="array" ref="AT212">IsPurple('Large Dataset'!Q212)</f>
        <v>0</v>
      </c>
      <c r="AU212" t="b" cm="1">
        <f t="array" ref="AU212">IsGreen('Large Dataset'!Q212)</f>
        <v>0</v>
      </c>
      <c r="BA212" t="b" cm="1">
        <f t="array" ref="BA212">IsRed('Large Dataset'!R212)</f>
        <v>0</v>
      </c>
      <c r="BB212" t="b" cm="1">
        <f t="array" ref="BB212">IsBlue('Large Dataset'!R212)</f>
        <v>0</v>
      </c>
      <c r="BC212" t="b" cm="1">
        <f t="array" ref="BC212">IsPurple('Large Dataset'!R212)</f>
        <v>0</v>
      </c>
      <c r="BD212" t="b" cm="1">
        <f t="array" ref="BD212">IsGreen('Large Dataset'!R212)</f>
        <v>0</v>
      </c>
      <c r="BJ212" t="b" cm="1">
        <f t="array" ref="BJ212">IsRed('Large Dataset'!T212)</f>
        <v>0</v>
      </c>
      <c r="BK212" t="b" cm="1">
        <f t="array" ref="BK212">IsBlue('Large Dataset'!T212)</f>
        <v>0</v>
      </c>
      <c r="BL212" t="b" cm="1">
        <f t="array" ref="BL212">IsPurple('Large Dataset'!T212)</f>
        <v>0</v>
      </c>
      <c r="BM212" t="b" cm="1">
        <f t="array" ref="BM212">IsGreen('Large Dataset'!T212)</f>
        <v>0</v>
      </c>
      <c r="BS212" t="b" cm="1">
        <f t="array" ref="BS212">IsRed('Large Dataset'!U212)</f>
        <v>0</v>
      </c>
      <c r="BT212" t="b" cm="1">
        <f t="array" ref="BT212">IsBlue('Large Dataset'!U212)</f>
        <v>0</v>
      </c>
      <c r="BU212" t="b" cm="1">
        <f t="array" ref="BU212">IsPurple('Large Dataset'!U212)</f>
        <v>0</v>
      </c>
      <c r="BV212" t="b" cm="1">
        <f t="array" ref="BV212">IsGreen('Large Dataset'!U212)</f>
        <v>0</v>
      </c>
    </row>
    <row r="213" spans="7:74">
      <c r="G213" t="b" cm="1">
        <f t="array" ref="G213">IsRed('Large Dataset'!I213)</f>
        <v>0</v>
      </c>
      <c r="H213" t="b" cm="1">
        <f t="array" ref="H213">IsBlue('Large Dataset'!I213)</f>
        <v>0</v>
      </c>
      <c r="I213" t="b" cm="1">
        <f t="array" ref="I213">IsPurple('Large Dataset'!I213)</f>
        <v>0</v>
      </c>
      <c r="J213" t="b" cm="1">
        <f t="array" ref="J213">IsGreen('Large Dataset'!G213)</f>
        <v>0</v>
      </c>
      <c r="P213" t="b" cm="1">
        <f t="array" ref="P213">IsRed('Large Dataset'!K213)</f>
        <v>0</v>
      </c>
      <c r="Q213" t="b" cm="1">
        <f t="array" ref="Q213">IsBlue('Large Dataset'!K213)</f>
        <v>0</v>
      </c>
      <c r="R213" t="b" cm="1">
        <f t="array" ref="R213">IsPurple('Large Dataset'!K213)</f>
        <v>0</v>
      </c>
      <c r="S213" t="b" cm="1">
        <f t="array" ref="S213">IsGreen('Large Dataset'!K213)</f>
        <v>0</v>
      </c>
      <c r="Y213" t="b" cm="1">
        <f t="array" ref="Y213">IsRed('Large Dataset'!M213)</f>
        <v>0</v>
      </c>
      <c r="Z213" t="b" cm="1">
        <f t="array" ref="Z213">IsBlue('Large Dataset'!M213)</f>
        <v>0</v>
      </c>
      <c r="AA213" t="b" cm="1">
        <f t="array" ref="AA213">IsPurple('Large Dataset'!M213)</f>
        <v>0</v>
      </c>
      <c r="AB213" t="b" cm="1">
        <f t="array" ref="AB213">IsGreen('Large Dataset'!M213)</f>
        <v>0</v>
      </c>
      <c r="AH213" t="b" cm="1">
        <f t="array" ref="AH213">IsRed('Large Dataset'!O213)</f>
        <v>0</v>
      </c>
      <c r="AI213" t="b" cm="1">
        <f t="array" ref="AI213">IsBlue('Large Dataset'!O213)</f>
        <v>0</v>
      </c>
      <c r="AJ213" t="b" cm="1">
        <f t="array" ref="AJ213">IsPurple('Large Dataset'!O213)</f>
        <v>0</v>
      </c>
      <c r="AK213" t="b" cm="1">
        <f t="array" ref="AK213">IsGreen('Large Dataset'!O213)</f>
        <v>0</v>
      </c>
      <c r="AR213" t="b" cm="1">
        <f t="array" ref="AR213">IsRed('Large Dataset'!Q213)</f>
        <v>0</v>
      </c>
      <c r="AS213" t="b" cm="1">
        <f t="array" ref="AS213">IsBlue('Large Dataset'!Q213)</f>
        <v>0</v>
      </c>
      <c r="AT213" t="b" cm="1">
        <f t="array" ref="AT213">IsPurple('Large Dataset'!Q213)</f>
        <v>1</v>
      </c>
      <c r="AU213" t="b" cm="1">
        <f t="array" ref="AU213">IsGreen('Large Dataset'!Q213)</f>
        <v>0</v>
      </c>
      <c r="BA213" t="b" cm="1">
        <f t="array" ref="BA213">IsRed('Large Dataset'!R213)</f>
        <v>0</v>
      </c>
      <c r="BB213" t="b" cm="1">
        <f t="array" ref="BB213">IsBlue('Large Dataset'!R213)</f>
        <v>0</v>
      </c>
      <c r="BC213" t="b" cm="1">
        <f t="array" ref="BC213">IsPurple('Large Dataset'!R213)</f>
        <v>0</v>
      </c>
      <c r="BD213" t="b" cm="1">
        <f t="array" ref="BD213">IsGreen('Large Dataset'!R213)</f>
        <v>0</v>
      </c>
      <c r="BJ213" t="b" cm="1">
        <f t="array" ref="BJ213">IsRed('Large Dataset'!T213)</f>
        <v>0</v>
      </c>
      <c r="BK213" t="b" cm="1">
        <f t="array" ref="BK213">IsBlue('Large Dataset'!T213)</f>
        <v>0</v>
      </c>
      <c r="BL213" t="b" cm="1">
        <f t="array" ref="BL213">IsPurple('Large Dataset'!T213)</f>
        <v>1</v>
      </c>
      <c r="BM213" t="b" cm="1">
        <f t="array" ref="BM213">IsGreen('Large Dataset'!T213)</f>
        <v>0</v>
      </c>
      <c r="BS213" t="b" cm="1">
        <f t="array" ref="BS213">IsRed('Large Dataset'!U213)</f>
        <v>0</v>
      </c>
      <c r="BT213" t="b" cm="1">
        <f t="array" ref="BT213">IsBlue('Large Dataset'!U213)</f>
        <v>0</v>
      </c>
      <c r="BU213" t="b" cm="1">
        <f t="array" ref="BU213">IsPurple('Large Dataset'!U213)</f>
        <v>0</v>
      </c>
      <c r="BV213" t="b" cm="1">
        <f t="array" ref="BV213">IsGreen('Large Dataset'!U213)</f>
        <v>0</v>
      </c>
    </row>
    <row r="214" spans="7:74">
      <c r="G214" t="b" cm="1">
        <f t="array" ref="G214">IsRed('Large Dataset'!I214)</f>
        <v>0</v>
      </c>
      <c r="H214" t="b" cm="1">
        <f t="array" ref="H214">IsBlue('Large Dataset'!I214)</f>
        <v>0</v>
      </c>
      <c r="I214" t="b" cm="1">
        <f t="array" ref="I214">IsPurple('Large Dataset'!I214)</f>
        <v>0</v>
      </c>
      <c r="J214" t="b" cm="1">
        <f t="array" ref="J214">IsGreen('Large Dataset'!G214)</f>
        <v>0</v>
      </c>
      <c r="P214" t="b" cm="1">
        <f t="array" ref="P214">IsRed('Large Dataset'!K214)</f>
        <v>1</v>
      </c>
      <c r="Q214" t="b" cm="1">
        <f t="array" ref="Q214">IsBlue('Large Dataset'!K214)</f>
        <v>0</v>
      </c>
      <c r="R214" t="b" cm="1">
        <f t="array" ref="R214">IsPurple('Large Dataset'!K214)</f>
        <v>0</v>
      </c>
      <c r="S214" t="b" cm="1">
        <f t="array" ref="S214">IsGreen('Large Dataset'!K214)</f>
        <v>0</v>
      </c>
      <c r="Y214" t="b" cm="1">
        <f t="array" ref="Y214">IsRed('Large Dataset'!M214)</f>
        <v>1</v>
      </c>
      <c r="Z214" t="b" cm="1">
        <f t="array" ref="Z214">IsBlue('Large Dataset'!M214)</f>
        <v>0</v>
      </c>
      <c r="AA214" t="b" cm="1">
        <f t="array" ref="AA214">IsPurple('Large Dataset'!M214)</f>
        <v>0</v>
      </c>
      <c r="AB214" t="b" cm="1">
        <f t="array" ref="AB214">IsGreen('Large Dataset'!M214)</f>
        <v>0</v>
      </c>
      <c r="AH214" t="b" cm="1">
        <f t="array" ref="AH214">IsRed('Large Dataset'!O214)</f>
        <v>0</v>
      </c>
      <c r="AI214" t="b" cm="1">
        <f t="array" ref="AI214">IsBlue('Large Dataset'!O214)</f>
        <v>0</v>
      </c>
      <c r="AJ214" t="b" cm="1">
        <f t="array" ref="AJ214">IsPurple('Large Dataset'!O214)</f>
        <v>0</v>
      </c>
      <c r="AK214" t="b" cm="1">
        <f t="array" ref="AK214">IsGreen('Large Dataset'!O214)</f>
        <v>0</v>
      </c>
      <c r="AR214" t="b" cm="1">
        <f t="array" ref="AR214">IsRed('Large Dataset'!Q214)</f>
        <v>0</v>
      </c>
      <c r="AS214" t="b" cm="1">
        <f t="array" ref="AS214">IsBlue('Large Dataset'!Q214)</f>
        <v>0</v>
      </c>
      <c r="AT214" t="b" cm="1">
        <f t="array" ref="AT214">IsPurple('Large Dataset'!Q214)</f>
        <v>1</v>
      </c>
      <c r="AU214" t="b" cm="1">
        <f t="array" ref="AU214">IsGreen('Large Dataset'!Q214)</f>
        <v>0</v>
      </c>
      <c r="BA214" t="b" cm="1">
        <f t="array" ref="BA214">IsRed('Large Dataset'!R214)</f>
        <v>0</v>
      </c>
      <c r="BB214" t="b" cm="1">
        <f t="array" ref="BB214">IsBlue('Large Dataset'!R214)</f>
        <v>0</v>
      </c>
      <c r="BC214" t="b" cm="1">
        <f t="array" ref="BC214">IsPurple('Large Dataset'!R214)</f>
        <v>0</v>
      </c>
      <c r="BD214" t="b" cm="1">
        <f t="array" ref="BD214">IsGreen('Large Dataset'!R214)</f>
        <v>0</v>
      </c>
      <c r="BJ214" t="b" cm="1">
        <f t="array" ref="BJ214">IsRed('Large Dataset'!T214)</f>
        <v>0</v>
      </c>
      <c r="BK214" t="b" cm="1">
        <f t="array" ref="BK214">IsBlue('Large Dataset'!T214)</f>
        <v>0</v>
      </c>
      <c r="BL214" t="b" cm="1">
        <f t="array" ref="BL214">IsPurple('Large Dataset'!T214)</f>
        <v>0</v>
      </c>
      <c r="BM214" t="b" cm="1">
        <f t="array" ref="BM214">IsGreen('Large Dataset'!T214)</f>
        <v>0</v>
      </c>
      <c r="BS214" t="b" cm="1">
        <f t="array" ref="BS214">IsRed('Large Dataset'!U214)</f>
        <v>0</v>
      </c>
      <c r="BT214" t="b" cm="1">
        <f t="array" ref="BT214">IsBlue('Large Dataset'!U214)</f>
        <v>0</v>
      </c>
      <c r="BU214" t="b" cm="1">
        <f t="array" ref="BU214">IsPurple('Large Dataset'!U214)</f>
        <v>1</v>
      </c>
      <c r="BV214" t="b" cm="1">
        <f t="array" ref="BV214">IsGreen('Large Dataset'!U214)</f>
        <v>0</v>
      </c>
    </row>
    <row r="215" spans="7:74">
      <c r="G215" t="b" cm="1">
        <f t="array" ref="G215">IsRed('Large Dataset'!I215)</f>
        <v>1</v>
      </c>
      <c r="H215" t="b" cm="1">
        <f t="array" ref="H215">IsBlue('Large Dataset'!I215)</f>
        <v>0</v>
      </c>
      <c r="I215" t="b" cm="1">
        <f t="array" ref="I215">IsPurple('Large Dataset'!I215)</f>
        <v>0</v>
      </c>
      <c r="J215" t="b" cm="1">
        <f t="array" ref="J215">IsGreen('Large Dataset'!G215)</f>
        <v>0</v>
      </c>
      <c r="P215" t="b" cm="1">
        <f t="array" ref="P215">IsRed('Large Dataset'!K215)</f>
        <v>0</v>
      </c>
      <c r="Q215" t="b" cm="1">
        <f t="array" ref="Q215">IsBlue('Large Dataset'!K215)</f>
        <v>0</v>
      </c>
      <c r="R215" t="b" cm="1">
        <f t="array" ref="R215">IsPurple('Large Dataset'!K215)</f>
        <v>0</v>
      </c>
      <c r="S215" t="b" cm="1">
        <f t="array" ref="S215">IsGreen('Large Dataset'!K215)</f>
        <v>0</v>
      </c>
      <c r="Y215" t="b" cm="1">
        <f t="array" ref="Y215">IsRed('Large Dataset'!M215)</f>
        <v>1</v>
      </c>
      <c r="Z215" t="b" cm="1">
        <f t="array" ref="Z215">IsBlue('Large Dataset'!M215)</f>
        <v>0</v>
      </c>
      <c r="AA215" t="b" cm="1">
        <f t="array" ref="AA215">IsPurple('Large Dataset'!M215)</f>
        <v>0</v>
      </c>
      <c r="AB215" t="b" cm="1">
        <f t="array" ref="AB215">IsGreen('Large Dataset'!M215)</f>
        <v>0</v>
      </c>
      <c r="AH215" t="b" cm="1">
        <f t="array" ref="AH215">IsRed('Large Dataset'!O215)</f>
        <v>0</v>
      </c>
      <c r="AI215" t="b" cm="1">
        <f t="array" ref="AI215">IsBlue('Large Dataset'!O215)</f>
        <v>0</v>
      </c>
      <c r="AJ215" t="b" cm="1">
        <f t="array" ref="AJ215">IsPurple('Large Dataset'!O215)</f>
        <v>0</v>
      </c>
      <c r="AK215" t="b" cm="1">
        <f t="array" ref="AK215">IsGreen('Large Dataset'!O215)</f>
        <v>0</v>
      </c>
      <c r="AR215" t="b" cm="1">
        <f t="array" ref="AR215">IsRed('Large Dataset'!Q215)</f>
        <v>0</v>
      </c>
      <c r="AS215" t="b" cm="1">
        <f t="array" ref="AS215">IsBlue('Large Dataset'!Q215)</f>
        <v>0</v>
      </c>
      <c r="AT215" t="b" cm="1">
        <f t="array" ref="AT215">IsPurple('Large Dataset'!Q215)</f>
        <v>1</v>
      </c>
      <c r="AU215" t="b" cm="1">
        <f t="array" ref="AU215">IsGreen('Large Dataset'!Q215)</f>
        <v>0</v>
      </c>
      <c r="BA215" t="b" cm="1">
        <f t="array" ref="BA215">IsRed('Large Dataset'!R215)</f>
        <v>0</v>
      </c>
      <c r="BB215" t="b" cm="1">
        <f t="array" ref="BB215">IsBlue('Large Dataset'!R215)</f>
        <v>0</v>
      </c>
      <c r="BC215" t="b" cm="1">
        <f t="array" ref="BC215">IsPurple('Large Dataset'!R215)</f>
        <v>0</v>
      </c>
      <c r="BD215" t="b" cm="1">
        <f t="array" ref="BD215">IsGreen('Large Dataset'!R215)</f>
        <v>0</v>
      </c>
      <c r="BJ215" t="b" cm="1">
        <f t="array" ref="BJ215">IsRed('Large Dataset'!T215)</f>
        <v>0</v>
      </c>
      <c r="BK215" t="b" cm="1">
        <f t="array" ref="BK215">IsBlue('Large Dataset'!T215)</f>
        <v>0</v>
      </c>
      <c r="BL215" t="b" cm="1">
        <f t="array" ref="BL215">IsPurple('Large Dataset'!T215)</f>
        <v>1</v>
      </c>
      <c r="BM215" t="b" cm="1">
        <f t="array" ref="BM215">IsGreen('Large Dataset'!T215)</f>
        <v>0</v>
      </c>
      <c r="BS215" t="b" cm="1">
        <f t="array" ref="BS215">IsRed('Large Dataset'!U215)</f>
        <v>0</v>
      </c>
      <c r="BT215" t="b" cm="1">
        <f t="array" ref="BT215">IsBlue('Large Dataset'!U215)</f>
        <v>0</v>
      </c>
      <c r="BU215" t="b" cm="1">
        <f t="array" ref="BU215">IsPurple('Large Dataset'!U215)</f>
        <v>0</v>
      </c>
      <c r="BV215" t="b" cm="1">
        <f t="array" ref="BV215">IsGreen('Large Dataset'!U215)</f>
        <v>0</v>
      </c>
    </row>
    <row r="216" spans="7:74">
      <c r="G216" t="b" cm="1">
        <f t="array" ref="G216">IsRed('Large Dataset'!I216)</f>
        <v>1</v>
      </c>
      <c r="H216" t="b" cm="1">
        <f t="array" ref="H216">IsBlue('Large Dataset'!I216)</f>
        <v>0</v>
      </c>
      <c r="I216" t="b" cm="1">
        <f t="array" ref="I216">IsPurple('Large Dataset'!I216)</f>
        <v>0</v>
      </c>
      <c r="J216" t="b" cm="1">
        <f t="array" ref="J216">IsGreen('Large Dataset'!G216)</f>
        <v>0</v>
      </c>
      <c r="P216" t="b" cm="1">
        <f t="array" ref="P216">IsRed('Large Dataset'!K216)</f>
        <v>1</v>
      </c>
      <c r="Q216" t="b" cm="1">
        <f t="array" ref="Q216">IsBlue('Large Dataset'!K216)</f>
        <v>0</v>
      </c>
      <c r="R216" t="b" cm="1">
        <f t="array" ref="R216">IsPurple('Large Dataset'!K216)</f>
        <v>0</v>
      </c>
      <c r="S216" t="b" cm="1">
        <f t="array" ref="S216">IsGreen('Large Dataset'!K216)</f>
        <v>0</v>
      </c>
      <c r="Y216" t="b" cm="1">
        <f t="array" ref="Y216">IsRed('Large Dataset'!M216)</f>
        <v>1</v>
      </c>
      <c r="Z216" t="b" cm="1">
        <f t="array" ref="Z216">IsBlue('Large Dataset'!M216)</f>
        <v>0</v>
      </c>
      <c r="AA216" t="b" cm="1">
        <f t="array" ref="AA216">IsPurple('Large Dataset'!M216)</f>
        <v>0</v>
      </c>
      <c r="AB216" t="b" cm="1">
        <f t="array" ref="AB216">IsGreen('Large Dataset'!M216)</f>
        <v>0</v>
      </c>
      <c r="AH216" t="b" cm="1">
        <f t="array" ref="AH216">IsRed('Large Dataset'!O216)</f>
        <v>1</v>
      </c>
      <c r="AI216" t="b" cm="1">
        <f t="array" ref="AI216">IsBlue('Large Dataset'!O216)</f>
        <v>0</v>
      </c>
      <c r="AJ216" t="b" cm="1">
        <f t="array" ref="AJ216">IsPurple('Large Dataset'!O216)</f>
        <v>0</v>
      </c>
      <c r="AK216" t="b" cm="1">
        <f t="array" ref="AK216">IsGreen('Large Dataset'!O216)</f>
        <v>0</v>
      </c>
      <c r="AR216" t="b" cm="1">
        <f t="array" ref="AR216">IsRed('Large Dataset'!Q216)</f>
        <v>0</v>
      </c>
      <c r="AS216" t="b" cm="1">
        <f t="array" ref="AS216">IsBlue('Large Dataset'!Q216)</f>
        <v>0</v>
      </c>
      <c r="AT216" t="b" cm="1">
        <f t="array" ref="AT216">IsPurple('Large Dataset'!Q216)</f>
        <v>0</v>
      </c>
      <c r="AU216" t="b" cm="1">
        <f t="array" ref="AU216">IsGreen('Large Dataset'!Q216)</f>
        <v>0</v>
      </c>
      <c r="BA216" t="b" cm="1">
        <f t="array" ref="BA216">IsRed('Large Dataset'!R216)</f>
        <v>0</v>
      </c>
      <c r="BB216" t="b" cm="1">
        <f t="array" ref="BB216">IsBlue('Large Dataset'!R216)</f>
        <v>0</v>
      </c>
      <c r="BC216" t="b" cm="1">
        <f t="array" ref="BC216">IsPurple('Large Dataset'!R216)</f>
        <v>0</v>
      </c>
      <c r="BD216" t="b" cm="1">
        <f t="array" ref="BD216">IsGreen('Large Dataset'!R216)</f>
        <v>0</v>
      </c>
      <c r="BJ216" t="b" cm="1">
        <f t="array" ref="BJ216">IsRed('Large Dataset'!T216)</f>
        <v>0</v>
      </c>
      <c r="BK216" t="b" cm="1">
        <f t="array" ref="BK216">IsBlue('Large Dataset'!T216)</f>
        <v>0</v>
      </c>
      <c r="BL216" t="b" cm="1">
        <f t="array" ref="BL216">IsPurple('Large Dataset'!T216)</f>
        <v>0</v>
      </c>
      <c r="BM216" t="b" cm="1">
        <f t="array" ref="BM216">IsGreen('Large Dataset'!T216)</f>
        <v>0</v>
      </c>
      <c r="BS216" t="b" cm="1">
        <f t="array" ref="BS216">IsRed('Large Dataset'!U216)</f>
        <v>0</v>
      </c>
      <c r="BT216" t="b" cm="1">
        <f t="array" ref="BT216">IsBlue('Large Dataset'!U216)</f>
        <v>0</v>
      </c>
      <c r="BU216" t="b" cm="1">
        <f t="array" ref="BU216">IsPurple('Large Dataset'!U216)</f>
        <v>0</v>
      </c>
      <c r="BV216" t="b" cm="1">
        <f t="array" ref="BV216">IsGreen('Large Dataset'!U216)</f>
        <v>0</v>
      </c>
    </row>
    <row r="217" spans="7:74">
      <c r="G217" t="b" cm="1">
        <f t="array" ref="G217">IsRed('Large Dataset'!I217)</f>
        <v>1</v>
      </c>
      <c r="H217" t="b" cm="1">
        <f t="array" ref="H217">IsBlue('Large Dataset'!I217)</f>
        <v>0</v>
      </c>
      <c r="I217" t="b" cm="1">
        <f t="array" ref="I217">IsPurple('Large Dataset'!I217)</f>
        <v>0</v>
      </c>
      <c r="J217" t="b" cm="1">
        <f t="array" ref="J217">IsGreen('Large Dataset'!G217)</f>
        <v>0</v>
      </c>
      <c r="P217" t="b" cm="1">
        <f t="array" ref="P217">IsRed('Large Dataset'!K217)</f>
        <v>0</v>
      </c>
      <c r="Q217" t="b" cm="1">
        <f t="array" ref="Q217">IsBlue('Large Dataset'!K217)</f>
        <v>0</v>
      </c>
      <c r="R217" t="b" cm="1">
        <f t="array" ref="R217">IsPurple('Large Dataset'!K217)</f>
        <v>0</v>
      </c>
      <c r="S217" t="b" cm="1">
        <f t="array" ref="S217">IsGreen('Large Dataset'!K217)</f>
        <v>0</v>
      </c>
      <c r="Y217" t="b" cm="1">
        <f t="array" ref="Y217">IsRed('Large Dataset'!M217)</f>
        <v>1</v>
      </c>
      <c r="Z217" t="b" cm="1">
        <f t="array" ref="Z217">IsBlue('Large Dataset'!M217)</f>
        <v>0</v>
      </c>
      <c r="AA217" t="b" cm="1">
        <f t="array" ref="AA217">IsPurple('Large Dataset'!M217)</f>
        <v>0</v>
      </c>
      <c r="AB217" t="b" cm="1">
        <f t="array" ref="AB217">IsGreen('Large Dataset'!M217)</f>
        <v>0</v>
      </c>
      <c r="AH217" t="b" cm="1">
        <f t="array" ref="AH217">IsRed('Large Dataset'!O217)</f>
        <v>0</v>
      </c>
      <c r="AI217" t="b" cm="1">
        <f t="array" ref="AI217">IsBlue('Large Dataset'!O217)</f>
        <v>0</v>
      </c>
      <c r="AJ217" t="b" cm="1">
        <f t="array" ref="AJ217">IsPurple('Large Dataset'!O217)</f>
        <v>0</v>
      </c>
      <c r="AK217" t="b" cm="1">
        <f t="array" ref="AK217">IsGreen('Large Dataset'!O217)</f>
        <v>0</v>
      </c>
      <c r="AR217" t="b" cm="1">
        <f t="array" ref="AR217">IsRed('Large Dataset'!Q217)</f>
        <v>0</v>
      </c>
      <c r="AS217" t="b" cm="1">
        <f t="array" ref="AS217">IsBlue('Large Dataset'!Q217)</f>
        <v>0</v>
      </c>
      <c r="AT217" t="b" cm="1">
        <f t="array" ref="AT217">IsPurple('Large Dataset'!Q217)</f>
        <v>0</v>
      </c>
      <c r="AU217" t="b" cm="1">
        <f t="array" ref="AU217">IsGreen('Large Dataset'!Q217)</f>
        <v>0</v>
      </c>
      <c r="BA217" t="b" cm="1">
        <f t="array" ref="BA217">IsRed('Large Dataset'!R217)</f>
        <v>0</v>
      </c>
      <c r="BB217" t="b" cm="1">
        <f t="array" ref="BB217">IsBlue('Large Dataset'!R217)</f>
        <v>0</v>
      </c>
      <c r="BC217" t="b" cm="1">
        <f t="array" ref="BC217">IsPurple('Large Dataset'!R217)</f>
        <v>0</v>
      </c>
      <c r="BD217" t="b" cm="1">
        <f t="array" ref="BD217">IsGreen('Large Dataset'!R217)</f>
        <v>0</v>
      </c>
      <c r="BJ217" t="b" cm="1">
        <f t="array" ref="BJ217">IsRed('Large Dataset'!T217)</f>
        <v>0</v>
      </c>
      <c r="BK217" t="b" cm="1">
        <f t="array" ref="BK217">IsBlue('Large Dataset'!T217)</f>
        <v>0</v>
      </c>
      <c r="BL217" t="b" cm="1">
        <f t="array" ref="BL217">IsPurple('Large Dataset'!T217)</f>
        <v>1</v>
      </c>
      <c r="BM217" t="b" cm="1">
        <f t="array" ref="BM217">IsGreen('Large Dataset'!T217)</f>
        <v>0</v>
      </c>
      <c r="BS217" t="b" cm="1">
        <f t="array" ref="BS217">IsRed('Large Dataset'!U217)</f>
        <v>0</v>
      </c>
      <c r="BT217" t="b" cm="1">
        <f t="array" ref="BT217">IsBlue('Large Dataset'!U217)</f>
        <v>0</v>
      </c>
      <c r="BU217" t="b" cm="1">
        <f t="array" ref="BU217">IsPurple('Large Dataset'!U217)</f>
        <v>0</v>
      </c>
      <c r="BV217" t="b" cm="1">
        <f t="array" ref="BV217">IsGreen('Large Dataset'!U217)</f>
        <v>0</v>
      </c>
    </row>
    <row r="218" spans="7:74">
      <c r="G218" t="b" cm="1">
        <f t="array" ref="G218">IsRed('Large Dataset'!I218)</f>
        <v>0</v>
      </c>
      <c r="H218" t="b" cm="1">
        <f t="array" ref="H218">IsBlue('Large Dataset'!I218)</f>
        <v>0</v>
      </c>
      <c r="I218" t="b" cm="1">
        <f t="array" ref="I218">IsPurple('Large Dataset'!I218)</f>
        <v>0</v>
      </c>
      <c r="J218" t="b" cm="1">
        <f t="array" ref="J218">IsGreen('Large Dataset'!G218)</f>
        <v>0</v>
      </c>
      <c r="P218" t="b" cm="1">
        <f t="array" ref="P218">IsRed('Large Dataset'!K218)</f>
        <v>0</v>
      </c>
      <c r="Q218" t="b" cm="1">
        <f t="array" ref="Q218">IsBlue('Large Dataset'!K218)</f>
        <v>0</v>
      </c>
      <c r="R218" t="b" cm="1">
        <f t="array" ref="R218">IsPurple('Large Dataset'!K218)</f>
        <v>0</v>
      </c>
      <c r="S218" t="b" cm="1">
        <f t="array" ref="S218">IsGreen('Large Dataset'!K218)</f>
        <v>0</v>
      </c>
      <c r="Y218" t="b" cm="1">
        <f t="array" ref="Y218">IsRed('Large Dataset'!M218)</f>
        <v>1</v>
      </c>
      <c r="Z218" t="b" cm="1">
        <f t="array" ref="Z218">IsBlue('Large Dataset'!M218)</f>
        <v>0</v>
      </c>
      <c r="AA218" t="b" cm="1">
        <f t="array" ref="AA218">IsPurple('Large Dataset'!M218)</f>
        <v>0</v>
      </c>
      <c r="AB218" t="b" cm="1">
        <f t="array" ref="AB218">IsGreen('Large Dataset'!M218)</f>
        <v>0</v>
      </c>
      <c r="AH218" t="b" cm="1">
        <f t="array" ref="AH218">IsRed('Large Dataset'!O218)</f>
        <v>0</v>
      </c>
      <c r="AI218" t="b" cm="1">
        <f t="array" ref="AI218">IsBlue('Large Dataset'!O218)</f>
        <v>0</v>
      </c>
      <c r="AJ218" t="b" cm="1">
        <f t="array" ref="AJ218">IsPurple('Large Dataset'!O218)</f>
        <v>0</v>
      </c>
      <c r="AK218" t="b" cm="1">
        <f t="array" ref="AK218">IsGreen('Large Dataset'!O218)</f>
        <v>0</v>
      </c>
      <c r="AR218" t="b" cm="1">
        <f t="array" ref="AR218">IsRed('Large Dataset'!Q218)</f>
        <v>0</v>
      </c>
      <c r="AS218" t="b" cm="1">
        <f t="array" ref="AS218">IsBlue('Large Dataset'!Q218)</f>
        <v>0</v>
      </c>
      <c r="AT218" t="b" cm="1">
        <f t="array" ref="AT218">IsPurple('Large Dataset'!Q218)</f>
        <v>0</v>
      </c>
      <c r="AU218" t="b" cm="1">
        <f t="array" ref="AU218">IsGreen('Large Dataset'!Q218)</f>
        <v>0</v>
      </c>
      <c r="BA218" t="b" cm="1">
        <f t="array" ref="BA218">IsRed('Large Dataset'!R218)</f>
        <v>0</v>
      </c>
      <c r="BB218" t="b" cm="1">
        <f t="array" ref="BB218">IsBlue('Large Dataset'!R218)</f>
        <v>0</v>
      </c>
      <c r="BC218" t="b" cm="1">
        <f t="array" ref="BC218">IsPurple('Large Dataset'!R218)</f>
        <v>0</v>
      </c>
      <c r="BD218" t="b" cm="1">
        <f t="array" ref="BD218">IsGreen('Large Dataset'!R218)</f>
        <v>0</v>
      </c>
      <c r="BJ218" t="b" cm="1">
        <f t="array" ref="BJ218">IsRed('Large Dataset'!T218)</f>
        <v>0</v>
      </c>
      <c r="BK218" t="b" cm="1">
        <f t="array" ref="BK218">IsBlue('Large Dataset'!T218)</f>
        <v>0</v>
      </c>
      <c r="BL218" t="b" cm="1">
        <f t="array" ref="BL218">IsPurple('Large Dataset'!T218)</f>
        <v>1</v>
      </c>
      <c r="BM218" t="b" cm="1">
        <f t="array" ref="BM218">IsGreen('Large Dataset'!T218)</f>
        <v>0</v>
      </c>
      <c r="BS218" t="b" cm="1">
        <f t="array" ref="BS218">IsRed('Large Dataset'!U218)</f>
        <v>0</v>
      </c>
      <c r="BT218" t="b" cm="1">
        <f t="array" ref="BT218">IsBlue('Large Dataset'!U218)</f>
        <v>0</v>
      </c>
      <c r="BU218" t="b" cm="1">
        <f t="array" ref="BU218">IsPurple('Large Dataset'!U218)</f>
        <v>1</v>
      </c>
      <c r="BV218" t="b" cm="1">
        <f t="array" ref="BV218">IsGreen('Large Dataset'!U218)</f>
        <v>0</v>
      </c>
    </row>
    <row r="219" spans="7:74">
      <c r="G219" t="b" cm="1">
        <f t="array" ref="G219">IsRed('Large Dataset'!I219)</f>
        <v>0</v>
      </c>
      <c r="H219" t="b" cm="1">
        <f t="array" ref="H219">IsBlue('Large Dataset'!I219)</f>
        <v>0</v>
      </c>
      <c r="I219" t="b" cm="1">
        <f t="array" ref="I219">IsPurple('Large Dataset'!I219)</f>
        <v>0</v>
      </c>
      <c r="J219" t="b" cm="1">
        <f t="array" ref="J219">IsGreen('Large Dataset'!G219)</f>
        <v>0</v>
      </c>
      <c r="P219" t="b" cm="1">
        <f t="array" ref="P219">IsRed('Large Dataset'!K219)</f>
        <v>0</v>
      </c>
      <c r="Q219" t="b" cm="1">
        <f t="array" ref="Q219">IsBlue('Large Dataset'!K219)</f>
        <v>0</v>
      </c>
      <c r="R219" t="b" cm="1">
        <f t="array" ref="R219">IsPurple('Large Dataset'!K219)</f>
        <v>0</v>
      </c>
      <c r="S219" t="b" cm="1">
        <f t="array" ref="S219">IsGreen('Large Dataset'!K219)</f>
        <v>0</v>
      </c>
      <c r="Y219" t="b" cm="1">
        <f t="array" ref="Y219">IsRed('Large Dataset'!M219)</f>
        <v>0</v>
      </c>
      <c r="Z219" t="b" cm="1">
        <f t="array" ref="Z219">IsBlue('Large Dataset'!M219)</f>
        <v>0</v>
      </c>
      <c r="AA219" t="b" cm="1">
        <f t="array" ref="AA219">IsPurple('Large Dataset'!M219)</f>
        <v>0</v>
      </c>
      <c r="AB219" t="b" cm="1">
        <f t="array" ref="AB219">IsGreen('Large Dataset'!M219)</f>
        <v>0</v>
      </c>
      <c r="AH219" t="b" cm="1">
        <f t="array" ref="AH219">IsRed('Large Dataset'!O219)</f>
        <v>1</v>
      </c>
      <c r="AI219" t="b" cm="1">
        <f t="array" ref="AI219">IsBlue('Large Dataset'!O219)</f>
        <v>0</v>
      </c>
      <c r="AJ219" t="b" cm="1">
        <f t="array" ref="AJ219">IsPurple('Large Dataset'!O219)</f>
        <v>0</v>
      </c>
      <c r="AK219" t="b" cm="1">
        <f t="array" ref="AK219">IsGreen('Large Dataset'!O219)</f>
        <v>0</v>
      </c>
      <c r="AR219" t="b" cm="1">
        <f t="array" ref="AR219">IsRed('Large Dataset'!Q219)</f>
        <v>0</v>
      </c>
      <c r="AS219" t="b" cm="1">
        <f t="array" ref="AS219">IsBlue('Large Dataset'!Q219)</f>
        <v>0</v>
      </c>
      <c r="AT219" t="b" cm="1">
        <f t="array" ref="AT219">IsPurple('Large Dataset'!Q219)</f>
        <v>0</v>
      </c>
      <c r="AU219" t="b" cm="1">
        <f t="array" ref="AU219">IsGreen('Large Dataset'!Q219)</f>
        <v>0</v>
      </c>
      <c r="BA219" t="b" cm="1">
        <f t="array" ref="BA219">IsRed('Large Dataset'!R219)</f>
        <v>1</v>
      </c>
      <c r="BB219" t="b" cm="1">
        <f t="array" ref="BB219">IsBlue('Large Dataset'!R219)</f>
        <v>0</v>
      </c>
      <c r="BC219" t="b" cm="1">
        <f t="array" ref="BC219">IsPurple('Large Dataset'!R219)</f>
        <v>0</v>
      </c>
      <c r="BD219" t="b" cm="1">
        <f t="array" ref="BD219">IsGreen('Large Dataset'!R219)</f>
        <v>0</v>
      </c>
      <c r="BJ219" t="b" cm="1">
        <f t="array" ref="BJ219">IsRed('Large Dataset'!T219)</f>
        <v>0</v>
      </c>
      <c r="BK219" t="b" cm="1">
        <f t="array" ref="BK219">IsBlue('Large Dataset'!T219)</f>
        <v>0</v>
      </c>
      <c r="BL219" t="b" cm="1">
        <f t="array" ref="BL219">IsPurple('Large Dataset'!T219)</f>
        <v>0</v>
      </c>
      <c r="BM219" t="b" cm="1">
        <f t="array" ref="BM219">IsGreen('Large Dataset'!T219)</f>
        <v>0</v>
      </c>
      <c r="BS219" t="b" cm="1">
        <f t="array" ref="BS219">IsRed('Large Dataset'!U219)</f>
        <v>1</v>
      </c>
      <c r="BT219" t="b" cm="1">
        <f t="array" ref="BT219">IsBlue('Large Dataset'!U219)</f>
        <v>0</v>
      </c>
      <c r="BU219" t="b" cm="1">
        <f t="array" ref="BU219">IsPurple('Large Dataset'!U219)</f>
        <v>0</v>
      </c>
      <c r="BV219" t="b" cm="1">
        <f t="array" ref="BV219">IsGreen('Large Dataset'!U219)</f>
        <v>0</v>
      </c>
    </row>
    <row r="220" spans="7:74">
      <c r="G220" t="b" cm="1">
        <f t="array" ref="G220">IsRed('Large Dataset'!I220)</f>
        <v>0</v>
      </c>
      <c r="H220" t="b" cm="1">
        <f t="array" ref="H220">IsBlue('Large Dataset'!I220)</f>
        <v>0</v>
      </c>
      <c r="I220" t="b" cm="1">
        <f t="array" ref="I220">IsPurple('Large Dataset'!I220)</f>
        <v>0</v>
      </c>
      <c r="J220" t="b" cm="1">
        <f t="array" ref="J220">IsGreen('Large Dataset'!G220)</f>
        <v>0</v>
      </c>
      <c r="P220" t="b" cm="1">
        <f t="array" ref="P220">IsRed('Large Dataset'!K220)</f>
        <v>0</v>
      </c>
      <c r="Q220" t="b" cm="1">
        <f t="array" ref="Q220">IsBlue('Large Dataset'!K220)</f>
        <v>0</v>
      </c>
      <c r="R220" t="b" cm="1">
        <f t="array" ref="R220">IsPurple('Large Dataset'!K220)</f>
        <v>0</v>
      </c>
      <c r="S220" t="b" cm="1">
        <f t="array" ref="S220">IsGreen('Large Dataset'!K220)</f>
        <v>0</v>
      </c>
      <c r="Y220" t="b" cm="1">
        <f t="array" ref="Y220">IsRed('Large Dataset'!M220)</f>
        <v>0</v>
      </c>
      <c r="Z220" t="b" cm="1">
        <f t="array" ref="Z220">IsBlue('Large Dataset'!M220)</f>
        <v>0</v>
      </c>
      <c r="AA220" t="b" cm="1">
        <f t="array" ref="AA220">IsPurple('Large Dataset'!M220)</f>
        <v>0</v>
      </c>
      <c r="AB220" t="b" cm="1">
        <f t="array" ref="AB220">IsGreen('Large Dataset'!M220)</f>
        <v>0</v>
      </c>
      <c r="AH220" t="b" cm="1">
        <f t="array" ref="AH220">IsRed('Large Dataset'!O220)</f>
        <v>0</v>
      </c>
      <c r="AI220" t="b" cm="1">
        <f t="array" ref="AI220">IsBlue('Large Dataset'!O220)</f>
        <v>1</v>
      </c>
      <c r="AJ220" t="b" cm="1">
        <f t="array" ref="AJ220">IsPurple('Large Dataset'!O220)</f>
        <v>0</v>
      </c>
      <c r="AK220" t="b" cm="1">
        <f t="array" ref="AK220">IsGreen('Large Dataset'!O220)</f>
        <v>0</v>
      </c>
      <c r="AR220" t="b" cm="1">
        <f t="array" ref="AR220">IsRed('Large Dataset'!Q220)</f>
        <v>1</v>
      </c>
      <c r="AS220" t="b" cm="1">
        <f t="array" ref="AS220">IsBlue('Large Dataset'!Q220)</f>
        <v>0</v>
      </c>
      <c r="AT220" t="b" cm="1">
        <f t="array" ref="AT220">IsPurple('Large Dataset'!Q220)</f>
        <v>0</v>
      </c>
      <c r="AU220" t="b" cm="1">
        <f t="array" ref="AU220">IsGreen('Large Dataset'!Q220)</f>
        <v>0</v>
      </c>
      <c r="BA220" t="b" cm="1">
        <f t="array" ref="BA220">IsRed('Large Dataset'!R220)</f>
        <v>1</v>
      </c>
      <c r="BB220" t="b" cm="1">
        <f t="array" ref="BB220">IsBlue('Large Dataset'!R220)</f>
        <v>0</v>
      </c>
      <c r="BC220" t="b" cm="1">
        <f t="array" ref="BC220">IsPurple('Large Dataset'!R220)</f>
        <v>0</v>
      </c>
      <c r="BD220" t="b" cm="1">
        <f t="array" ref="BD220">IsGreen('Large Dataset'!R220)</f>
        <v>0</v>
      </c>
      <c r="BJ220" t="b" cm="1">
        <f t="array" ref="BJ220">IsRed('Large Dataset'!T220)</f>
        <v>0</v>
      </c>
      <c r="BK220" t="b" cm="1">
        <f t="array" ref="BK220">IsBlue('Large Dataset'!T220)</f>
        <v>0</v>
      </c>
      <c r="BL220" t="b" cm="1">
        <f t="array" ref="BL220">IsPurple('Large Dataset'!T220)</f>
        <v>0</v>
      </c>
      <c r="BM220" t="b" cm="1">
        <f t="array" ref="BM220">IsGreen('Large Dataset'!T220)</f>
        <v>0</v>
      </c>
      <c r="BS220" t="b" cm="1">
        <f t="array" ref="BS220">IsRed('Large Dataset'!U220)</f>
        <v>1</v>
      </c>
      <c r="BT220" t="b" cm="1">
        <f t="array" ref="BT220">IsBlue('Large Dataset'!U220)</f>
        <v>0</v>
      </c>
      <c r="BU220" t="b" cm="1">
        <f t="array" ref="BU220">IsPurple('Large Dataset'!U220)</f>
        <v>0</v>
      </c>
      <c r="BV220" t="b" cm="1">
        <f t="array" ref="BV220">IsGreen('Large Dataset'!U220)</f>
        <v>0</v>
      </c>
    </row>
    <row r="221" spans="7:74">
      <c r="G221" t="b" cm="1">
        <f t="array" ref="G221">IsRed('Large Dataset'!I221)</f>
        <v>0</v>
      </c>
      <c r="H221" t="b" cm="1">
        <f t="array" ref="H221">IsBlue('Large Dataset'!I221)</f>
        <v>0</v>
      </c>
      <c r="I221" t="b" cm="1">
        <f t="array" ref="I221">IsPurple('Large Dataset'!I221)</f>
        <v>0</v>
      </c>
      <c r="J221" t="b" cm="1">
        <f t="array" ref="J221">IsGreen('Large Dataset'!G221)</f>
        <v>0</v>
      </c>
      <c r="P221" t="b" cm="1">
        <f t="array" ref="P221">IsRed('Large Dataset'!K221)</f>
        <v>0</v>
      </c>
      <c r="Q221" t="b" cm="1">
        <f t="array" ref="Q221">IsBlue('Large Dataset'!K221)</f>
        <v>0</v>
      </c>
      <c r="R221" t="b" cm="1">
        <f t="array" ref="R221">IsPurple('Large Dataset'!K221)</f>
        <v>0</v>
      </c>
      <c r="S221" t="b" cm="1">
        <f t="array" ref="S221">IsGreen('Large Dataset'!K221)</f>
        <v>0</v>
      </c>
      <c r="Y221" t="b" cm="1">
        <f t="array" ref="Y221">IsRed('Large Dataset'!M221)</f>
        <v>0</v>
      </c>
      <c r="Z221" t="b" cm="1">
        <f t="array" ref="Z221">IsBlue('Large Dataset'!M221)</f>
        <v>0</v>
      </c>
      <c r="AA221" t="b" cm="1">
        <f t="array" ref="AA221">IsPurple('Large Dataset'!M221)</f>
        <v>0</v>
      </c>
      <c r="AB221" t="b" cm="1">
        <f t="array" ref="AB221">IsGreen('Large Dataset'!M221)</f>
        <v>0</v>
      </c>
      <c r="AH221" t="b" cm="1">
        <f t="array" ref="AH221">IsRed('Large Dataset'!O221)</f>
        <v>0</v>
      </c>
      <c r="AI221" t="b" cm="1">
        <f t="array" ref="AI221">IsBlue('Large Dataset'!O221)</f>
        <v>0</v>
      </c>
      <c r="AJ221" t="b" cm="1">
        <f t="array" ref="AJ221">IsPurple('Large Dataset'!O221)</f>
        <v>0</v>
      </c>
      <c r="AK221" t="b" cm="1">
        <f t="array" ref="AK221">IsGreen('Large Dataset'!O221)</f>
        <v>0</v>
      </c>
      <c r="AR221" t="b" cm="1">
        <f t="array" ref="AR221">IsRed('Large Dataset'!Q221)</f>
        <v>1</v>
      </c>
      <c r="AS221" t="b" cm="1">
        <f t="array" ref="AS221">IsBlue('Large Dataset'!Q221)</f>
        <v>0</v>
      </c>
      <c r="AT221" t="b" cm="1">
        <f t="array" ref="AT221">IsPurple('Large Dataset'!Q221)</f>
        <v>0</v>
      </c>
      <c r="AU221" t="b" cm="1">
        <f t="array" ref="AU221">IsGreen('Large Dataset'!Q221)</f>
        <v>0</v>
      </c>
      <c r="BA221" t="b" cm="1">
        <f t="array" ref="BA221">IsRed('Large Dataset'!R221)</f>
        <v>1</v>
      </c>
      <c r="BB221" t="b" cm="1">
        <f t="array" ref="BB221">IsBlue('Large Dataset'!R221)</f>
        <v>0</v>
      </c>
      <c r="BC221" t="b" cm="1">
        <f t="array" ref="BC221">IsPurple('Large Dataset'!R221)</f>
        <v>0</v>
      </c>
      <c r="BD221" t="b" cm="1">
        <f t="array" ref="BD221">IsGreen('Large Dataset'!R221)</f>
        <v>0</v>
      </c>
      <c r="BJ221" t="b" cm="1">
        <f t="array" ref="BJ221">IsRed('Large Dataset'!T221)</f>
        <v>1</v>
      </c>
      <c r="BK221" t="b" cm="1">
        <f t="array" ref="BK221">IsBlue('Large Dataset'!T221)</f>
        <v>0</v>
      </c>
      <c r="BL221" t="b" cm="1">
        <f t="array" ref="BL221">IsPurple('Large Dataset'!T221)</f>
        <v>0</v>
      </c>
      <c r="BM221" t="b" cm="1">
        <f t="array" ref="BM221">IsGreen('Large Dataset'!T221)</f>
        <v>0</v>
      </c>
      <c r="BS221" t="b" cm="1">
        <f t="array" ref="BS221">IsRed('Large Dataset'!U221)</f>
        <v>1</v>
      </c>
      <c r="BT221" t="b" cm="1">
        <f t="array" ref="BT221">IsBlue('Large Dataset'!U221)</f>
        <v>0</v>
      </c>
      <c r="BU221" t="b" cm="1">
        <f t="array" ref="BU221">IsPurple('Large Dataset'!U221)</f>
        <v>0</v>
      </c>
      <c r="BV221" t="b" cm="1">
        <f t="array" ref="BV221">IsGreen('Large Dataset'!U221)</f>
        <v>0</v>
      </c>
    </row>
    <row r="222" spans="7:74">
      <c r="G222" t="b" cm="1">
        <f t="array" ref="G222">IsRed('Large Dataset'!I222)</f>
        <v>0</v>
      </c>
      <c r="H222" t="b" cm="1">
        <f t="array" ref="H222">IsBlue('Large Dataset'!I222)</f>
        <v>0</v>
      </c>
      <c r="I222" t="b" cm="1">
        <f t="array" ref="I222">IsPurple('Large Dataset'!I222)</f>
        <v>0</v>
      </c>
      <c r="J222" t="b" cm="1">
        <f t="array" ref="J222">IsGreen('Large Dataset'!G222)</f>
        <v>0</v>
      </c>
      <c r="P222" t="b" cm="1">
        <f t="array" ref="P222">IsRed('Large Dataset'!K222)</f>
        <v>0</v>
      </c>
      <c r="Q222" t="b" cm="1">
        <f t="array" ref="Q222">IsBlue('Large Dataset'!K222)</f>
        <v>0</v>
      </c>
      <c r="R222" t="b" cm="1">
        <f t="array" ref="R222">IsPurple('Large Dataset'!K222)</f>
        <v>0</v>
      </c>
      <c r="S222" t="b" cm="1">
        <f t="array" ref="S222">IsGreen('Large Dataset'!K222)</f>
        <v>0</v>
      </c>
      <c r="Y222" t="b" cm="1">
        <f t="array" ref="Y222">IsRed('Large Dataset'!M222)</f>
        <v>0</v>
      </c>
      <c r="Z222" t="b" cm="1">
        <f t="array" ref="Z222">IsBlue('Large Dataset'!M222)</f>
        <v>0</v>
      </c>
      <c r="AA222" t="b" cm="1">
        <f t="array" ref="AA222">IsPurple('Large Dataset'!M222)</f>
        <v>0</v>
      </c>
      <c r="AB222" t="b" cm="1">
        <f t="array" ref="AB222">IsGreen('Large Dataset'!M222)</f>
        <v>0</v>
      </c>
      <c r="AH222" t="b" cm="1">
        <f t="array" ref="AH222">IsRed('Large Dataset'!O222)</f>
        <v>0</v>
      </c>
      <c r="AI222" t="b" cm="1">
        <f t="array" ref="AI222">IsBlue('Large Dataset'!O222)</f>
        <v>0</v>
      </c>
      <c r="AJ222" t="b" cm="1">
        <f t="array" ref="AJ222">IsPurple('Large Dataset'!O222)</f>
        <v>0</v>
      </c>
      <c r="AK222" t="b" cm="1">
        <f t="array" ref="AK222">IsGreen('Large Dataset'!O222)</f>
        <v>0</v>
      </c>
      <c r="AR222" t="b" cm="1">
        <f t="array" ref="AR222">IsRed('Large Dataset'!Q222)</f>
        <v>1</v>
      </c>
      <c r="AS222" t="b" cm="1">
        <f t="array" ref="AS222">IsBlue('Large Dataset'!Q222)</f>
        <v>0</v>
      </c>
      <c r="AT222" t="b" cm="1">
        <f t="array" ref="AT222">IsPurple('Large Dataset'!Q222)</f>
        <v>0</v>
      </c>
      <c r="AU222" t="b" cm="1">
        <f t="array" ref="AU222">IsGreen('Large Dataset'!Q222)</f>
        <v>0</v>
      </c>
      <c r="BA222" t="b" cm="1">
        <f t="array" ref="BA222">IsRed('Large Dataset'!R222)</f>
        <v>1</v>
      </c>
      <c r="BB222" t="b" cm="1">
        <f t="array" ref="BB222">IsBlue('Large Dataset'!R222)</f>
        <v>0</v>
      </c>
      <c r="BC222" t="b" cm="1">
        <f t="array" ref="BC222">IsPurple('Large Dataset'!R222)</f>
        <v>0</v>
      </c>
      <c r="BD222" t="b" cm="1">
        <f t="array" ref="BD222">IsGreen('Large Dataset'!R222)</f>
        <v>0</v>
      </c>
      <c r="BJ222" t="b" cm="1">
        <f t="array" ref="BJ222">IsRed('Large Dataset'!T222)</f>
        <v>0</v>
      </c>
      <c r="BK222" t="b" cm="1">
        <f t="array" ref="BK222">IsBlue('Large Dataset'!T222)</f>
        <v>0</v>
      </c>
      <c r="BL222" t="b" cm="1">
        <f t="array" ref="BL222">IsPurple('Large Dataset'!T222)</f>
        <v>0</v>
      </c>
      <c r="BM222" t="b" cm="1">
        <f t="array" ref="BM222">IsGreen('Large Dataset'!T222)</f>
        <v>0</v>
      </c>
      <c r="BS222" t="b" cm="1">
        <f t="array" ref="BS222">IsRed('Large Dataset'!U222)</f>
        <v>1</v>
      </c>
      <c r="BT222" t="b" cm="1">
        <f t="array" ref="BT222">IsBlue('Large Dataset'!U222)</f>
        <v>0</v>
      </c>
      <c r="BU222" t="b" cm="1">
        <f t="array" ref="BU222">IsPurple('Large Dataset'!U222)</f>
        <v>0</v>
      </c>
      <c r="BV222" t="b" cm="1">
        <f t="array" ref="BV222">IsGreen('Large Dataset'!U222)</f>
        <v>0</v>
      </c>
    </row>
    <row r="223" spans="7:74">
      <c r="G223" t="b" cm="1">
        <f t="array" ref="G223">IsRed('Large Dataset'!I223)</f>
        <v>0</v>
      </c>
      <c r="H223" t="b" cm="1">
        <f t="array" ref="H223">IsBlue('Large Dataset'!I223)</f>
        <v>0</v>
      </c>
      <c r="I223" t="b" cm="1">
        <f t="array" ref="I223">IsPurple('Large Dataset'!I223)</f>
        <v>0</v>
      </c>
      <c r="J223" t="b" cm="1">
        <f t="array" ref="J223">IsGreen('Large Dataset'!G223)</f>
        <v>0</v>
      </c>
      <c r="P223" t="b" cm="1">
        <f t="array" ref="P223">IsRed('Large Dataset'!K223)</f>
        <v>0</v>
      </c>
      <c r="Q223" t="b" cm="1">
        <f t="array" ref="Q223">IsBlue('Large Dataset'!K223)</f>
        <v>0</v>
      </c>
      <c r="R223" t="b" cm="1">
        <f t="array" ref="R223">IsPurple('Large Dataset'!K223)</f>
        <v>0</v>
      </c>
      <c r="S223" t="b" cm="1">
        <f t="array" ref="S223">IsGreen('Large Dataset'!K223)</f>
        <v>0</v>
      </c>
      <c r="Y223" t="b" cm="1">
        <f t="array" ref="Y223">IsRed('Large Dataset'!M223)</f>
        <v>0</v>
      </c>
      <c r="Z223" t="b" cm="1">
        <f t="array" ref="Z223">IsBlue('Large Dataset'!M223)</f>
        <v>0</v>
      </c>
      <c r="AA223" t="b" cm="1">
        <f t="array" ref="AA223">IsPurple('Large Dataset'!M223)</f>
        <v>0</v>
      </c>
      <c r="AB223" t="b" cm="1">
        <f t="array" ref="AB223">IsGreen('Large Dataset'!M223)</f>
        <v>0</v>
      </c>
      <c r="AH223" t="b" cm="1">
        <f t="array" ref="AH223">IsRed('Large Dataset'!O223)</f>
        <v>0</v>
      </c>
      <c r="AI223" t="b" cm="1">
        <f t="array" ref="AI223">IsBlue('Large Dataset'!O223)</f>
        <v>1</v>
      </c>
      <c r="AJ223" t="b" cm="1">
        <f t="array" ref="AJ223">IsPurple('Large Dataset'!O223)</f>
        <v>0</v>
      </c>
      <c r="AK223" t="b" cm="1">
        <f t="array" ref="AK223">IsGreen('Large Dataset'!O223)</f>
        <v>0</v>
      </c>
      <c r="AR223" t="b" cm="1">
        <f t="array" ref="AR223">IsRed('Large Dataset'!Q223)</f>
        <v>0</v>
      </c>
      <c r="AS223" t="b" cm="1">
        <f t="array" ref="AS223">IsBlue('Large Dataset'!Q223)</f>
        <v>0</v>
      </c>
      <c r="AT223" t="b" cm="1">
        <f t="array" ref="AT223">IsPurple('Large Dataset'!Q223)</f>
        <v>0</v>
      </c>
      <c r="AU223" t="b" cm="1">
        <f t="array" ref="AU223">IsGreen('Large Dataset'!Q223)</f>
        <v>0</v>
      </c>
      <c r="BA223" t="b" cm="1">
        <f t="array" ref="BA223">IsRed('Large Dataset'!R223)</f>
        <v>0</v>
      </c>
      <c r="BB223" t="b" cm="1">
        <f t="array" ref="BB223">IsBlue('Large Dataset'!R223)</f>
        <v>0</v>
      </c>
      <c r="BC223" t="b" cm="1">
        <f t="array" ref="BC223">IsPurple('Large Dataset'!R223)</f>
        <v>0</v>
      </c>
      <c r="BD223" t="b" cm="1">
        <f t="array" ref="BD223">IsGreen('Large Dataset'!R223)</f>
        <v>0</v>
      </c>
      <c r="BJ223" t="b" cm="1">
        <f t="array" ref="BJ223">IsRed('Large Dataset'!T223)</f>
        <v>0</v>
      </c>
      <c r="BK223" t="b" cm="1">
        <f t="array" ref="BK223">IsBlue('Large Dataset'!T223)</f>
        <v>0</v>
      </c>
      <c r="BL223" t="b" cm="1">
        <f t="array" ref="BL223">IsPurple('Large Dataset'!T223)</f>
        <v>0</v>
      </c>
      <c r="BM223" t="b" cm="1">
        <f t="array" ref="BM223">IsGreen('Large Dataset'!T223)</f>
        <v>0</v>
      </c>
      <c r="BS223" t="b" cm="1">
        <f t="array" ref="BS223">IsRed('Large Dataset'!U223)</f>
        <v>1</v>
      </c>
      <c r="BT223" t="b" cm="1">
        <f t="array" ref="BT223">IsBlue('Large Dataset'!U223)</f>
        <v>0</v>
      </c>
      <c r="BU223" t="b" cm="1">
        <f t="array" ref="BU223">IsPurple('Large Dataset'!U223)</f>
        <v>0</v>
      </c>
      <c r="BV223" t="b" cm="1">
        <f t="array" ref="BV223">IsGreen('Large Dataset'!U223)</f>
        <v>0</v>
      </c>
    </row>
    <row r="224" spans="7:74">
      <c r="G224" t="b" cm="1">
        <f t="array" ref="G224">IsRed('Large Dataset'!I224)</f>
        <v>1</v>
      </c>
      <c r="H224" t="b" cm="1">
        <f t="array" ref="H224">IsBlue('Large Dataset'!I224)</f>
        <v>0</v>
      </c>
      <c r="I224" t="b" cm="1">
        <f t="array" ref="I224">IsPurple('Large Dataset'!I224)</f>
        <v>0</v>
      </c>
      <c r="J224" t="b" cm="1">
        <f t="array" ref="J224">IsGreen('Large Dataset'!G224)</f>
        <v>0</v>
      </c>
      <c r="P224" t="b" cm="1">
        <f t="array" ref="P224">IsRed('Large Dataset'!K224)</f>
        <v>0</v>
      </c>
      <c r="Q224" t="b" cm="1">
        <f t="array" ref="Q224">IsBlue('Large Dataset'!K224)</f>
        <v>0</v>
      </c>
      <c r="R224" t="b" cm="1">
        <f t="array" ref="R224">IsPurple('Large Dataset'!K224)</f>
        <v>0</v>
      </c>
      <c r="S224" t="b" cm="1">
        <f t="array" ref="S224">IsGreen('Large Dataset'!K224)</f>
        <v>0</v>
      </c>
      <c r="Y224" t="b" cm="1">
        <f t="array" ref="Y224">IsRed('Large Dataset'!M224)</f>
        <v>0</v>
      </c>
      <c r="Z224" t="b" cm="1">
        <f t="array" ref="Z224">IsBlue('Large Dataset'!M224)</f>
        <v>0</v>
      </c>
      <c r="AA224" t="b" cm="1">
        <f t="array" ref="AA224">IsPurple('Large Dataset'!M224)</f>
        <v>0</v>
      </c>
      <c r="AB224" t="b" cm="1">
        <f t="array" ref="AB224">IsGreen('Large Dataset'!M224)</f>
        <v>0</v>
      </c>
      <c r="AH224" t="b" cm="1">
        <f t="array" ref="AH224">IsRed('Large Dataset'!O224)</f>
        <v>0</v>
      </c>
      <c r="AI224" t="b" cm="1">
        <f t="array" ref="AI224">IsBlue('Large Dataset'!O224)</f>
        <v>0</v>
      </c>
      <c r="AJ224" t="b" cm="1">
        <f t="array" ref="AJ224">IsPurple('Large Dataset'!O224)</f>
        <v>0</v>
      </c>
      <c r="AK224" t="b" cm="1">
        <f t="array" ref="AK224">IsGreen('Large Dataset'!O224)</f>
        <v>0</v>
      </c>
      <c r="AR224" t="b" cm="1">
        <f t="array" ref="AR224">IsRed('Large Dataset'!Q224)</f>
        <v>0</v>
      </c>
      <c r="AS224" t="b" cm="1">
        <f t="array" ref="AS224">IsBlue('Large Dataset'!Q224)</f>
        <v>0</v>
      </c>
      <c r="AT224" t="b" cm="1">
        <f t="array" ref="AT224">IsPurple('Large Dataset'!Q224)</f>
        <v>0</v>
      </c>
      <c r="AU224" t="b" cm="1">
        <f t="array" ref="AU224">IsGreen('Large Dataset'!Q224)</f>
        <v>0</v>
      </c>
      <c r="BA224" t="b" cm="1">
        <f t="array" ref="BA224">IsRed('Large Dataset'!R224)</f>
        <v>0</v>
      </c>
      <c r="BB224" t="b" cm="1">
        <f t="array" ref="BB224">IsBlue('Large Dataset'!R224)</f>
        <v>0</v>
      </c>
      <c r="BC224" t="b" cm="1">
        <f t="array" ref="BC224">IsPurple('Large Dataset'!R224)</f>
        <v>0</v>
      </c>
      <c r="BD224" t="b" cm="1">
        <f t="array" ref="BD224">IsGreen('Large Dataset'!R224)</f>
        <v>0</v>
      </c>
      <c r="BJ224" t="b" cm="1">
        <f t="array" ref="BJ224">IsRed('Large Dataset'!T224)</f>
        <v>0</v>
      </c>
      <c r="BK224" t="b" cm="1">
        <f t="array" ref="BK224">IsBlue('Large Dataset'!T224)</f>
        <v>0</v>
      </c>
      <c r="BL224" t="b" cm="1">
        <f t="array" ref="BL224">IsPurple('Large Dataset'!T224)</f>
        <v>0</v>
      </c>
      <c r="BM224" t="b" cm="1">
        <f t="array" ref="BM224">IsGreen('Large Dataset'!T224)</f>
        <v>0</v>
      </c>
      <c r="BS224" t="b" cm="1">
        <f t="array" ref="BS224">IsRed('Large Dataset'!U224)</f>
        <v>1</v>
      </c>
      <c r="BT224" t="b" cm="1">
        <f t="array" ref="BT224">IsBlue('Large Dataset'!U224)</f>
        <v>0</v>
      </c>
      <c r="BU224" t="b" cm="1">
        <f t="array" ref="BU224">IsPurple('Large Dataset'!U224)</f>
        <v>0</v>
      </c>
      <c r="BV224" t="b" cm="1">
        <f t="array" ref="BV224">IsGreen('Large Dataset'!U224)</f>
        <v>0</v>
      </c>
    </row>
    <row r="225" spans="7:74">
      <c r="G225" t="b" cm="1">
        <f t="array" ref="G225">IsRed('Large Dataset'!I225)</f>
        <v>0</v>
      </c>
      <c r="H225" t="b" cm="1">
        <f t="array" ref="H225">IsBlue('Large Dataset'!I225)</f>
        <v>0</v>
      </c>
      <c r="I225" t="b" cm="1">
        <f t="array" ref="I225">IsPurple('Large Dataset'!I225)</f>
        <v>0</v>
      </c>
      <c r="J225" t="b" cm="1">
        <f t="array" ref="J225">IsGreen('Large Dataset'!G225)</f>
        <v>0</v>
      </c>
      <c r="P225" t="b" cm="1">
        <f t="array" ref="P225">IsRed('Large Dataset'!K225)</f>
        <v>0</v>
      </c>
      <c r="Q225" t="b" cm="1">
        <f t="array" ref="Q225">IsBlue('Large Dataset'!K225)</f>
        <v>0</v>
      </c>
      <c r="R225" t="b" cm="1">
        <f t="array" ref="R225">IsPurple('Large Dataset'!K225)</f>
        <v>0</v>
      </c>
      <c r="S225" t="b" cm="1">
        <f t="array" ref="S225">IsGreen('Large Dataset'!K225)</f>
        <v>0</v>
      </c>
      <c r="Y225" t="b" cm="1">
        <f t="array" ref="Y225">IsRed('Large Dataset'!M225)</f>
        <v>0</v>
      </c>
      <c r="Z225" t="b" cm="1">
        <f t="array" ref="Z225">IsBlue('Large Dataset'!M225)</f>
        <v>0</v>
      </c>
      <c r="AA225" t="b" cm="1">
        <f t="array" ref="AA225">IsPurple('Large Dataset'!M225)</f>
        <v>0</v>
      </c>
      <c r="AB225" t="b" cm="1">
        <f t="array" ref="AB225">IsGreen('Large Dataset'!M225)</f>
        <v>0</v>
      </c>
      <c r="AH225" t="b" cm="1">
        <f t="array" ref="AH225">IsRed('Large Dataset'!O225)</f>
        <v>0</v>
      </c>
      <c r="AI225" t="b" cm="1">
        <f t="array" ref="AI225">IsBlue('Large Dataset'!O225)</f>
        <v>0</v>
      </c>
      <c r="AJ225" t="b" cm="1">
        <f t="array" ref="AJ225">IsPurple('Large Dataset'!O225)</f>
        <v>0</v>
      </c>
      <c r="AK225" t="b" cm="1">
        <f t="array" ref="AK225">IsGreen('Large Dataset'!O225)</f>
        <v>0</v>
      </c>
      <c r="AR225" t="b" cm="1">
        <f t="array" ref="AR225">IsRed('Large Dataset'!Q225)</f>
        <v>0</v>
      </c>
      <c r="AS225" t="b" cm="1">
        <f t="array" ref="AS225">IsBlue('Large Dataset'!Q225)</f>
        <v>0</v>
      </c>
      <c r="AT225" t="b" cm="1">
        <f t="array" ref="AT225">IsPurple('Large Dataset'!Q225)</f>
        <v>0</v>
      </c>
      <c r="AU225" t="b" cm="1">
        <f t="array" ref="AU225">IsGreen('Large Dataset'!Q225)</f>
        <v>0</v>
      </c>
      <c r="BA225" t="b" cm="1">
        <f t="array" ref="BA225">IsRed('Large Dataset'!R225)</f>
        <v>0</v>
      </c>
      <c r="BB225" t="b" cm="1">
        <f t="array" ref="BB225">IsBlue('Large Dataset'!R225)</f>
        <v>0</v>
      </c>
      <c r="BC225" t="b" cm="1">
        <f t="array" ref="BC225">IsPurple('Large Dataset'!R225)</f>
        <v>0</v>
      </c>
      <c r="BD225" t="b" cm="1">
        <f t="array" ref="BD225">IsGreen('Large Dataset'!R225)</f>
        <v>0</v>
      </c>
      <c r="BJ225" t="b" cm="1">
        <f t="array" ref="BJ225">IsRed('Large Dataset'!T225)</f>
        <v>0</v>
      </c>
      <c r="BK225" t="b" cm="1">
        <f t="array" ref="BK225">IsBlue('Large Dataset'!T225)</f>
        <v>0</v>
      </c>
      <c r="BL225" t="b" cm="1">
        <f t="array" ref="BL225">IsPurple('Large Dataset'!T225)</f>
        <v>0</v>
      </c>
      <c r="BM225" t="b" cm="1">
        <f t="array" ref="BM225">IsGreen('Large Dataset'!T225)</f>
        <v>0</v>
      </c>
      <c r="BS225" t="b" cm="1">
        <f t="array" ref="BS225">IsRed('Large Dataset'!U225)</f>
        <v>0</v>
      </c>
      <c r="BT225" t="b" cm="1">
        <f t="array" ref="BT225">IsBlue('Large Dataset'!U225)</f>
        <v>0</v>
      </c>
      <c r="BU225" t="b" cm="1">
        <f t="array" ref="BU225">IsPurple('Large Dataset'!U225)</f>
        <v>0</v>
      </c>
      <c r="BV225" t="b" cm="1">
        <f t="array" ref="BV225">IsGreen('Large Dataset'!U225)</f>
        <v>0</v>
      </c>
    </row>
    <row r="226" spans="7:74">
      <c r="G226" t="b" cm="1">
        <f t="array" ref="G226">IsRed('Large Dataset'!I226)</f>
        <v>0</v>
      </c>
      <c r="H226" t="b" cm="1">
        <f t="array" ref="H226">IsBlue('Large Dataset'!I226)</f>
        <v>0</v>
      </c>
      <c r="I226" t="b" cm="1">
        <f t="array" ref="I226">IsPurple('Large Dataset'!I226)</f>
        <v>0</v>
      </c>
      <c r="J226" t="b" cm="1">
        <f t="array" ref="J226">IsGreen('Large Dataset'!G226)</f>
        <v>0</v>
      </c>
      <c r="P226" t="b" cm="1">
        <f t="array" ref="P226">IsRed('Large Dataset'!K226)</f>
        <v>0</v>
      </c>
      <c r="Q226" t="b" cm="1">
        <f t="array" ref="Q226">IsBlue('Large Dataset'!K226)</f>
        <v>0</v>
      </c>
      <c r="R226" t="b" cm="1">
        <f t="array" ref="R226">IsPurple('Large Dataset'!K226)</f>
        <v>0</v>
      </c>
      <c r="S226" t="b" cm="1">
        <f t="array" ref="S226">IsGreen('Large Dataset'!K226)</f>
        <v>0</v>
      </c>
      <c r="Y226" t="b" cm="1">
        <f t="array" ref="Y226">IsRed('Large Dataset'!M226)</f>
        <v>0</v>
      </c>
      <c r="Z226" t="b" cm="1">
        <f t="array" ref="Z226">IsBlue('Large Dataset'!M226)</f>
        <v>0</v>
      </c>
      <c r="AA226" t="b" cm="1">
        <f t="array" ref="AA226">IsPurple('Large Dataset'!M226)</f>
        <v>0</v>
      </c>
      <c r="AB226" t="b" cm="1">
        <f t="array" ref="AB226">IsGreen('Large Dataset'!M226)</f>
        <v>0</v>
      </c>
      <c r="AH226" t="b" cm="1">
        <f t="array" ref="AH226">IsRed('Large Dataset'!O226)</f>
        <v>0</v>
      </c>
      <c r="AI226" t="b" cm="1">
        <f t="array" ref="AI226">IsBlue('Large Dataset'!O226)</f>
        <v>0</v>
      </c>
      <c r="AJ226" t="b" cm="1">
        <f t="array" ref="AJ226">IsPurple('Large Dataset'!O226)</f>
        <v>0</v>
      </c>
      <c r="AK226" t="b" cm="1">
        <f t="array" ref="AK226">IsGreen('Large Dataset'!O226)</f>
        <v>0</v>
      </c>
      <c r="AR226" t="b" cm="1">
        <f t="array" ref="AR226">IsRed('Large Dataset'!Q226)</f>
        <v>0</v>
      </c>
      <c r="AS226" t="b" cm="1">
        <f t="array" ref="AS226">IsBlue('Large Dataset'!Q226)</f>
        <v>0</v>
      </c>
      <c r="AT226" t="b" cm="1">
        <f t="array" ref="AT226">IsPurple('Large Dataset'!Q226)</f>
        <v>0</v>
      </c>
      <c r="AU226" t="b" cm="1">
        <f t="array" ref="AU226">IsGreen('Large Dataset'!Q226)</f>
        <v>0</v>
      </c>
      <c r="BA226" t="b" cm="1">
        <f t="array" ref="BA226">IsRed('Large Dataset'!R226)</f>
        <v>0</v>
      </c>
      <c r="BB226" t="b" cm="1">
        <f t="array" ref="BB226">IsBlue('Large Dataset'!R226)</f>
        <v>0</v>
      </c>
      <c r="BC226" t="b" cm="1">
        <f t="array" ref="BC226">IsPurple('Large Dataset'!R226)</f>
        <v>0</v>
      </c>
      <c r="BD226" t="b" cm="1">
        <f t="array" ref="BD226">IsGreen('Large Dataset'!R226)</f>
        <v>0</v>
      </c>
      <c r="BJ226" t="b" cm="1">
        <f t="array" ref="BJ226">IsRed('Large Dataset'!T226)</f>
        <v>0</v>
      </c>
      <c r="BK226" t="b" cm="1">
        <f t="array" ref="BK226">IsBlue('Large Dataset'!T226)</f>
        <v>0</v>
      </c>
      <c r="BL226" t="b" cm="1">
        <f t="array" ref="BL226">IsPurple('Large Dataset'!T226)</f>
        <v>0</v>
      </c>
      <c r="BM226" t="b" cm="1">
        <f t="array" ref="BM226">IsGreen('Large Dataset'!T226)</f>
        <v>0</v>
      </c>
      <c r="BS226" t="b" cm="1">
        <f t="array" ref="BS226">IsRed('Large Dataset'!U226)</f>
        <v>0</v>
      </c>
      <c r="BT226" t="b" cm="1">
        <f t="array" ref="BT226">IsBlue('Large Dataset'!U226)</f>
        <v>0</v>
      </c>
      <c r="BU226" t="b" cm="1">
        <f t="array" ref="BU226">IsPurple('Large Dataset'!U226)</f>
        <v>0</v>
      </c>
      <c r="BV226" t="b" cm="1">
        <f t="array" ref="BV226">IsGreen('Large Dataset'!U226)</f>
        <v>0</v>
      </c>
    </row>
    <row r="227" spans="7:74">
      <c r="G227" t="b" cm="1">
        <f t="array" ref="G227">IsRed('Large Dataset'!I227)</f>
        <v>1</v>
      </c>
      <c r="H227" t="b" cm="1">
        <f t="array" ref="H227">IsBlue('Large Dataset'!I227)</f>
        <v>0</v>
      </c>
      <c r="I227" t="b" cm="1">
        <f t="array" ref="I227">IsPurple('Large Dataset'!I227)</f>
        <v>0</v>
      </c>
      <c r="J227" t="b" cm="1">
        <f t="array" ref="J227">IsGreen('Large Dataset'!G227)</f>
        <v>0</v>
      </c>
      <c r="P227" t="b" cm="1">
        <f t="array" ref="P227">IsRed('Large Dataset'!K227)</f>
        <v>0</v>
      </c>
      <c r="Q227" t="b" cm="1">
        <f t="array" ref="Q227">IsBlue('Large Dataset'!K227)</f>
        <v>0</v>
      </c>
      <c r="R227" t="b" cm="1">
        <f t="array" ref="R227">IsPurple('Large Dataset'!K227)</f>
        <v>0</v>
      </c>
      <c r="S227" t="b" cm="1">
        <f t="array" ref="S227">IsGreen('Large Dataset'!K227)</f>
        <v>0</v>
      </c>
      <c r="Y227" t="b" cm="1">
        <f t="array" ref="Y227">IsRed('Large Dataset'!M227)</f>
        <v>0</v>
      </c>
      <c r="Z227" t="b" cm="1">
        <f t="array" ref="Z227">IsBlue('Large Dataset'!M227)</f>
        <v>0</v>
      </c>
      <c r="AA227" t="b" cm="1">
        <f t="array" ref="AA227">IsPurple('Large Dataset'!M227)</f>
        <v>0</v>
      </c>
      <c r="AB227" t="b" cm="1">
        <f t="array" ref="AB227">IsGreen('Large Dataset'!M227)</f>
        <v>0</v>
      </c>
      <c r="AH227" t="b" cm="1">
        <f t="array" ref="AH227">IsRed('Large Dataset'!O227)</f>
        <v>0</v>
      </c>
      <c r="AI227" t="b" cm="1">
        <f t="array" ref="AI227">IsBlue('Large Dataset'!O227)</f>
        <v>0</v>
      </c>
      <c r="AJ227" t="b" cm="1">
        <f t="array" ref="AJ227">IsPurple('Large Dataset'!O227)</f>
        <v>0</v>
      </c>
      <c r="AK227" t="b" cm="1">
        <f t="array" ref="AK227">IsGreen('Large Dataset'!O227)</f>
        <v>0</v>
      </c>
      <c r="AR227" t="b" cm="1">
        <f t="array" ref="AR227">IsRed('Large Dataset'!Q227)</f>
        <v>0</v>
      </c>
      <c r="AS227" t="b" cm="1">
        <f t="array" ref="AS227">IsBlue('Large Dataset'!Q227)</f>
        <v>0</v>
      </c>
      <c r="AT227" t="b" cm="1">
        <f t="array" ref="AT227">IsPurple('Large Dataset'!Q227)</f>
        <v>0</v>
      </c>
      <c r="AU227" t="b" cm="1">
        <f t="array" ref="AU227">IsGreen('Large Dataset'!Q227)</f>
        <v>0</v>
      </c>
      <c r="BA227" t="b" cm="1">
        <f t="array" ref="BA227">IsRed('Large Dataset'!R227)</f>
        <v>0</v>
      </c>
      <c r="BB227" t="b" cm="1">
        <f t="array" ref="BB227">IsBlue('Large Dataset'!R227)</f>
        <v>0</v>
      </c>
      <c r="BC227" t="b" cm="1">
        <f t="array" ref="BC227">IsPurple('Large Dataset'!R227)</f>
        <v>0</v>
      </c>
      <c r="BD227" t="b" cm="1">
        <f t="array" ref="BD227">IsGreen('Large Dataset'!R227)</f>
        <v>0</v>
      </c>
      <c r="BJ227" t="b" cm="1">
        <f t="array" ref="BJ227">IsRed('Large Dataset'!T227)</f>
        <v>0</v>
      </c>
      <c r="BK227" t="b" cm="1">
        <f t="array" ref="BK227">IsBlue('Large Dataset'!T227)</f>
        <v>0</v>
      </c>
      <c r="BL227" t="b" cm="1">
        <f t="array" ref="BL227">IsPurple('Large Dataset'!T227)</f>
        <v>0</v>
      </c>
      <c r="BM227" t="b" cm="1">
        <f t="array" ref="BM227">IsGreen('Large Dataset'!T227)</f>
        <v>0</v>
      </c>
      <c r="BS227" t="b" cm="1">
        <f t="array" ref="BS227">IsRed('Large Dataset'!U227)</f>
        <v>0</v>
      </c>
      <c r="BT227" t="b" cm="1">
        <f t="array" ref="BT227">IsBlue('Large Dataset'!U227)</f>
        <v>0</v>
      </c>
      <c r="BU227" t="b" cm="1">
        <f t="array" ref="BU227">IsPurple('Large Dataset'!U227)</f>
        <v>0</v>
      </c>
      <c r="BV227" t="b" cm="1">
        <f t="array" ref="BV227">IsGreen('Large Dataset'!U227)</f>
        <v>0</v>
      </c>
    </row>
    <row r="228" spans="7:74">
      <c r="G228" t="b" cm="1">
        <f t="array" ref="G228">IsRed('Large Dataset'!I228)</f>
        <v>0</v>
      </c>
      <c r="H228" t="b" cm="1">
        <f t="array" ref="H228">IsBlue('Large Dataset'!I228)</f>
        <v>0</v>
      </c>
      <c r="I228" t="b" cm="1">
        <f t="array" ref="I228">IsPurple('Large Dataset'!I228)</f>
        <v>0</v>
      </c>
      <c r="J228" t="b" cm="1">
        <f t="array" ref="J228">IsGreen('Large Dataset'!G228)</f>
        <v>0</v>
      </c>
      <c r="P228" t="b" cm="1">
        <f t="array" ref="P228">IsRed('Large Dataset'!K228)</f>
        <v>0</v>
      </c>
      <c r="Q228" t="b" cm="1">
        <f t="array" ref="Q228">IsBlue('Large Dataset'!K228)</f>
        <v>0</v>
      </c>
      <c r="R228" t="b" cm="1">
        <f t="array" ref="R228">IsPurple('Large Dataset'!K228)</f>
        <v>0</v>
      </c>
      <c r="S228" t="b" cm="1">
        <f t="array" ref="S228">IsGreen('Large Dataset'!K228)</f>
        <v>0</v>
      </c>
      <c r="Y228" t="b" cm="1">
        <f t="array" ref="Y228">IsRed('Large Dataset'!M228)</f>
        <v>0</v>
      </c>
      <c r="Z228" t="b" cm="1">
        <f t="array" ref="Z228">IsBlue('Large Dataset'!M228)</f>
        <v>0</v>
      </c>
      <c r="AA228" t="b" cm="1">
        <f t="array" ref="AA228">IsPurple('Large Dataset'!M228)</f>
        <v>0</v>
      </c>
      <c r="AB228" t="b" cm="1">
        <f t="array" ref="AB228">IsGreen('Large Dataset'!M228)</f>
        <v>0</v>
      </c>
      <c r="AH228" t="b" cm="1">
        <f t="array" ref="AH228">IsRed('Large Dataset'!O228)</f>
        <v>0</v>
      </c>
      <c r="AI228" t="b" cm="1">
        <f t="array" ref="AI228">IsBlue('Large Dataset'!O228)</f>
        <v>0</v>
      </c>
      <c r="AJ228" t="b" cm="1">
        <f t="array" ref="AJ228">IsPurple('Large Dataset'!O228)</f>
        <v>0</v>
      </c>
      <c r="AK228" t="b" cm="1">
        <f t="array" ref="AK228">IsGreen('Large Dataset'!O228)</f>
        <v>0</v>
      </c>
      <c r="AR228" t="b" cm="1">
        <f t="array" ref="AR228">IsRed('Large Dataset'!Q228)</f>
        <v>0</v>
      </c>
      <c r="AS228" t="b" cm="1">
        <f t="array" ref="AS228">IsBlue('Large Dataset'!Q228)</f>
        <v>0</v>
      </c>
      <c r="AT228" t="b" cm="1">
        <f t="array" ref="AT228">IsPurple('Large Dataset'!Q228)</f>
        <v>0</v>
      </c>
      <c r="AU228" t="b" cm="1">
        <f t="array" ref="AU228">IsGreen('Large Dataset'!Q228)</f>
        <v>0</v>
      </c>
      <c r="BA228" t="b" cm="1">
        <f t="array" ref="BA228">IsRed('Large Dataset'!R228)</f>
        <v>0</v>
      </c>
      <c r="BB228" t="b" cm="1">
        <f t="array" ref="BB228">IsBlue('Large Dataset'!R228)</f>
        <v>0</v>
      </c>
      <c r="BC228" t="b" cm="1">
        <f t="array" ref="BC228">IsPurple('Large Dataset'!R228)</f>
        <v>0</v>
      </c>
      <c r="BD228" t="b" cm="1">
        <f t="array" ref="BD228">IsGreen('Large Dataset'!R228)</f>
        <v>0</v>
      </c>
      <c r="BJ228" t="b" cm="1">
        <f t="array" ref="BJ228">IsRed('Large Dataset'!T228)</f>
        <v>0</v>
      </c>
      <c r="BK228" t="b" cm="1">
        <f t="array" ref="BK228">IsBlue('Large Dataset'!T228)</f>
        <v>0</v>
      </c>
      <c r="BL228" t="b" cm="1">
        <f t="array" ref="BL228">IsPurple('Large Dataset'!T228)</f>
        <v>0</v>
      </c>
      <c r="BM228" t="b" cm="1">
        <f t="array" ref="BM228">IsGreen('Large Dataset'!T228)</f>
        <v>0</v>
      </c>
      <c r="BS228" t="b" cm="1">
        <f t="array" ref="BS228">IsRed('Large Dataset'!U228)</f>
        <v>0</v>
      </c>
      <c r="BT228" t="b" cm="1">
        <f t="array" ref="BT228">IsBlue('Large Dataset'!U228)</f>
        <v>0</v>
      </c>
      <c r="BU228" t="b" cm="1">
        <f t="array" ref="BU228">IsPurple('Large Dataset'!U228)</f>
        <v>0</v>
      </c>
      <c r="BV228" t="b" cm="1">
        <f t="array" ref="BV228">IsGreen('Large Dataset'!U228)</f>
        <v>0</v>
      </c>
    </row>
    <row r="229" spans="7:74">
      <c r="G229" t="b" cm="1">
        <f t="array" ref="G229">IsRed('Large Dataset'!I229)</f>
        <v>0</v>
      </c>
      <c r="H229" t="b" cm="1">
        <f t="array" ref="H229">IsBlue('Large Dataset'!I229)</f>
        <v>0</v>
      </c>
      <c r="I229" t="b" cm="1">
        <f t="array" ref="I229">IsPurple('Large Dataset'!I229)</f>
        <v>0</v>
      </c>
      <c r="J229" t="b" cm="1">
        <f t="array" ref="J229">IsGreen('Large Dataset'!G229)</f>
        <v>0</v>
      </c>
      <c r="P229" t="b" cm="1">
        <f t="array" ref="P229">IsRed('Large Dataset'!K229)</f>
        <v>0</v>
      </c>
      <c r="Q229" t="b" cm="1">
        <f t="array" ref="Q229">IsBlue('Large Dataset'!K229)</f>
        <v>0</v>
      </c>
      <c r="R229" t="b" cm="1">
        <f t="array" ref="R229">IsPurple('Large Dataset'!K229)</f>
        <v>0</v>
      </c>
      <c r="S229" t="b" cm="1">
        <f t="array" ref="S229">IsGreen('Large Dataset'!K229)</f>
        <v>0</v>
      </c>
      <c r="Y229" t="b" cm="1">
        <f t="array" ref="Y229">IsRed('Large Dataset'!M229)</f>
        <v>0</v>
      </c>
      <c r="Z229" t="b" cm="1">
        <f t="array" ref="Z229">IsBlue('Large Dataset'!M229)</f>
        <v>0</v>
      </c>
      <c r="AA229" t="b" cm="1">
        <f t="array" ref="AA229">IsPurple('Large Dataset'!M229)</f>
        <v>0</v>
      </c>
      <c r="AB229" t="b" cm="1">
        <f t="array" ref="AB229">IsGreen('Large Dataset'!M229)</f>
        <v>0</v>
      </c>
      <c r="AH229" t="b" cm="1">
        <f t="array" ref="AH229">IsRed('Large Dataset'!O229)</f>
        <v>0</v>
      </c>
      <c r="AI229" t="b" cm="1">
        <f t="array" ref="AI229">IsBlue('Large Dataset'!O229)</f>
        <v>0</v>
      </c>
      <c r="AJ229" t="b" cm="1">
        <f t="array" ref="AJ229">IsPurple('Large Dataset'!O229)</f>
        <v>0</v>
      </c>
      <c r="AK229" t="b" cm="1">
        <f t="array" ref="AK229">IsGreen('Large Dataset'!O229)</f>
        <v>0</v>
      </c>
      <c r="AR229" t="b" cm="1">
        <f t="array" ref="AR229">IsRed('Large Dataset'!Q229)</f>
        <v>0</v>
      </c>
      <c r="AS229" t="b" cm="1">
        <f t="array" ref="AS229">IsBlue('Large Dataset'!Q229)</f>
        <v>0</v>
      </c>
      <c r="AT229" t="b" cm="1">
        <f t="array" ref="AT229">IsPurple('Large Dataset'!Q229)</f>
        <v>0</v>
      </c>
      <c r="AU229" t="b" cm="1">
        <f t="array" ref="AU229">IsGreen('Large Dataset'!Q229)</f>
        <v>0</v>
      </c>
      <c r="BA229" t="b" cm="1">
        <f t="array" ref="BA229">IsRed('Large Dataset'!R229)</f>
        <v>0</v>
      </c>
      <c r="BB229" t="b" cm="1">
        <f t="array" ref="BB229">IsBlue('Large Dataset'!R229)</f>
        <v>0</v>
      </c>
      <c r="BC229" t="b" cm="1">
        <f t="array" ref="BC229">IsPurple('Large Dataset'!R229)</f>
        <v>0</v>
      </c>
      <c r="BD229" t="b" cm="1">
        <f t="array" ref="BD229">IsGreen('Large Dataset'!R229)</f>
        <v>0</v>
      </c>
      <c r="BJ229" t="b" cm="1">
        <f t="array" ref="BJ229">IsRed('Large Dataset'!T229)</f>
        <v>0</v>
      </c>
      <c r="BK229" t="b" cm="1">
        <f t="array" ref="BK229">IsBlue('Large Dataset'!T229)</f>
        <v>0</v>
      </c>
      <c r="BL229" t="b" cm="1">
        <f t="array" ref="BL229">IsPurple('Large Dataset'!T229)</f>
        <v>0</v>
      </c>
      <c r="BM229" t="b" cm="1">
        <f t="array" ref="BM229">IsGreen('Large Dataset'!T229)</f>
        <v>0</v>
      </c>
      <c r="BS229" t="b" cm="1">
        <f t="array" ref="BS229">IsRed('Large Dataset'!U229)</f>
        <v>0</v>
      </c>
      <c r="BT229" t="b" cm="1">
        <f t="array" ref="BT229">IsBlue('Large Dataset'!U229)</f>
        <v>0</v>
      </c>
      <c r="BU229" t="b" cm="1">
        <f t="array" ref="BU229">IsPurple('Large Dataset'!U229)</f>
        <v>0</v>
      </c>
      <c r="BV229" t="b" cm="1">
        <f t="array" ref="BV229">IsGreen('Large Dataset'!U229)</f>
        <v>0</v>
      </c>
    </row>
    <row r="230" spans="7:74">
      <c r="G230" t="b" cm="1">
        <f t="array" ref="G230">IsRed('Large Dataset'!I230)</f>
        <v>0</v>
      </c>
      <c r="H230" t="b" cm="1">
        <f t="array" ref="H230">IsBlue('Large Dataset'!I230)</f>
        <v>0</v>
      </c>
      <c r="I230" t="b" cm="1">
        <f t="array" ref="I230">IsPurple('Large Dataset'!I230)</f>
        <v>0</v>
      </c>
      <c r="J230" t="b" cm="1">
        <f t="array" ref="J230">IsGreen('Large Dataset'!G230)</f>
        <v>0</v>
      </c>
      <c r="P230" t="b" cm="1">
        <f t="array" ref="P230">IsRed('Large Dataset'!K230)</f>
        <v>0</v>
      </c>
      <c r="Q230" t="b" cm="1">
        <f t="array" ref="Q230">IsBlue('Large Dataset'!K230)</f>
        <v>0</v>
      </c>
      <c r="R230" t="b" cm="1">
        <f t="array" ref="R230">IsPurple('Large Dataset'!K230)</f>
        <v>0</v>
      </c>
      <c r="S230" t="b" cm="1">
        <f t="array" ref="S230">IsGreen('Large Dataset'!K230)</f>
        <v>0</v>
      </c>
      <c r="Y230" t="b" cm="1">
        <f t="array" ref="Y230">IsRed('Large Dataset'!M230)</f>
        <v>0</v>
      </c>
      <c r="Z230" t="b" cm="1">
        <f t="array" ref="Z230">IsBlue('Large Dataset'!M230)</f>
        <v>0</v>
      </c>
      <c r="AA230" t="b" cm="1">
        <f t="array" ref="AA230">IsPurple('Large Dataset'!M230)</f>
        <v>0</v>
      </c>
      <c r="AB230" t="b" cm="1">
        <f t="array" ref="AB230">IsGreen('Large Dataset'!M230)</f>
        <v>0</v>
      </c>
      <c r="AH230" t="b" cm="1">
        <f t="array" ref="AH230">IsRed('Large Dataset'!O230)</f>
        <v>0</v>
      </c>
      <c r="AI230" t="b" cm="1">
        <f t="array" ref="AI230">IsBlue('Large Dataset'!O230)</f>
        <v>0</v>
      </c>
      <c r="AJ230" t="b" cm="1">
        <f t="array" ref="AJ230">IsPurple('Large Dataset'!O230)</f>
        <v>0</v>
      </c>
      <c r="AK230" t="b" cm="1">
        <f t="array" ref="AK230">IsGreen('Large Dataset'!O230)</f>
        <v>0</v>
      </c>
      <c r="AR230" t="b" cm="1">
        <f t="array" ref="AR230">IsRed('Large Dataset'!Q230)</f>
        <v>0</v>
      </c>
      <c r="AS230" t="b" cm="1">
        <f t="array" ref="AS230">IsBlue('Large Dataset'!Q230)</f>
        <v>0</v>
      </c>
      <c r="AT230" t="b" cm="1">
        <f t="array" ref="AT230">IsPurple('Large Dataset'!Q230)</f>
        <v>0</v>
      </c>
      <c r="AU230" t="b" cm="1">
        <f t="array" ref="AU230">IsGreen('Large Dataset'!Q230)</f>
        <v>0</v>
      </c>
      <c r="BA230" t="b" cm="1">
        <f t="array" ref="BA230">IsRed('Large Dataset'!R230)</f>
        <v>0</v>
      </c>
      <c r="BB230" t="b" cm="1">
        <f t="array" ref="BB230">IsBlue('Large Dataset'!R230)</f>
        <v>0</v>
      </c>
      <c r="BC230" t="b" cm="1">
        <f t="array" ref="BC230">IsPurple('Large Dataset'!R230)</f>
        <v>0</v>
      </c>
      <c r="BD230" t="b" cm="1">
        <f t="array" ref="BD230">IsGreen('Large Dataset'!R230)</f>
        <v>0</v>
      </c>
      <c r="BJ230" t="b" cm="1">
        <f t="array" ref="BJ230">IsRed('Large Dataset'!T230)</f>
        <v>0</v>
      </c>
      <c r="BK230" t="b" cm="1">
        <f t="array" ref="BK230">IsBlue('Large Dataset'!T230)</f>
        <v>0</v>
      </c>
      <c r="BL230" t="b" cm="1">
        <f t="array" ref="BL230">IsPurple('Large Dataset'!T230)</f>
        <v>0</v>
      </c>
      <c r="BM230" t="b" cm="1">
        <f t="array" ref="BM230">IsGreen('Large Dataset'!T230)</f>
        <v>0</v>
      </c>
      <c r="BS230" t="b" cm="1">
        <f t="array" ref="BS230">IsRed('Large Dataset'!U230)</f>
        <v>0</v>
      </c>
      <c r="BT230" t="b" cm="1">
        <f t="array" ref="BT230">IsBlue('Large Dataset'!U230)</f>
        <v>0</v>
      </c>
      <c r="BU230" t="b" cm="1">
        <f t="array" ref="BU230">IsPurple('Large Dataset'!U230)</f>
        <v>0</v>
      </c>
      <c r="BV230" t="b" cm="1">
        <f t="array" ref="BV230">IsGreen('Large Dataset'!U230)</f>
        <v>0</v>
      </c>
    </row>
    <row r="231" spans="7:74">
      <c r="G231" t="b" cm="1">
        <f t="array" ref="G231">IsRed('Large Dataset'!I231)</f>
        <v>0</v>
      </c>
      <c r="H231" t="b" cm="1">
        <f t="array" ref="H231">IsBlue('Large Dataset'!I231)</f>
        <v>0</v>
      </c>
      <c r="I231" t="b" cm="1">
        <f t="array" ref="I231">IsPurple('Large Dataset'!I231)</f>
        <v>0</v>
      </c>
      <c r="J231" t="b" cm="1">
        <f t="array" ref="J231">IsGreen('Large Dataset'!G231)</f>
        <v>0</v>
      </c>
      <c r="P231" t="b" cm="1">
        <f t="array" ref="P231">IsRed('Large Dataset'!K231)</f>
        <v>0</v>
      </c>
      <c r="Q231" t="b" cm="1">
        <f t="array" ref="Q231">IsBlue('Large Dataset'!K231)</f>
        <v>0</v>
      </c>
      <c r="R231" t="b" cm="1">
        <f t="array" ref="R231">IsPurple('Large Dataset'!K231)</f>
        <v>0</v>
      </c>
      <c r="S231" t="b" cm="1">
        <f t="array" ref="S231">IsGreen('Large Dataset'!K231)</f>
        <v>0</v>
      </c>
      <c r="Y231" t="b" cm="1">
        <f t="array" ref="Y231">IsRed('Large Dataset'!M231)</f>
        <v>0</v>
      </c>
      <c r="Z231" t="b" cm="1">
        <f t="array" ref="Z231">IsBlue('Large Dataset'!M231)</f>
        <v>0</v>
      </c>
      <c r="AA231" t="b" cm="1">
        <f t="array" ref="AA231">IsPurple('Large Dataset'!M231)</f>
        <v>0</v>
      </c>
      <c r="AB231" t="b" cm="1">
        <f t="array" ref="AB231">IsGreen('Large Dataset'!M231)</f>
        <v>0</v>
      </c>
      <c r="AH231" t="b" cm="1">
        <f t="array" ref="AH231">IsRed('Large Dataset'!O231)</f>
        <v>0</v>
      </c>
      <c r="AI231" t="b" cm="1">
        <f t="array" ref="AI231">IsBlue('Large Dataset'!O231)</f>
        <v>0</v>
      </c>
      <c r="AJ231" t="b" cm="1">
        <f t="array" ref="AJ231">IsPurple('Large Dataset'!O231)</f>
        <v>0</v>
      </c>
      <c r="AK231" t="b" cm="1">
        <f t="array" ref="AK231">IsGreen('Large Dataset'!O231)</f>
        <v>0</v>
      </c>
      <c r="AR231" t="b" cm="1">
        <f t="array" ref="AR231">IsRed('Large Dataset'!Q231)</f>
        <v>0</v>
      </c>
      <c r="AS231" t="b" cm="1">
        <f t="array" ref="AS231">IsBlue('Large Dataset'!Q231)</f>
        <v>0</v>
      </c>
      <c r="AT231" t="b" cm="1">
        <f t="array" ref="AT231">IsPurple('Large Dataset'!Q231)</f>
        <v>0</v>
      </c>
      <c r="AU231" t="b" cm="1">
        <f t="array" ref="AU231">IsGreen('Large Dataset'!Q231)</f>
        <v>0</v>
      </c>
      <c r="BA231" t="b" cm="1">
        <f t="array" ref="BA231">IsRed('Large Dataset'!R231)</f>
        <v>0</v>
      </c>
      <c r="BB231" t="b" cm="1">
        <f t="array" ref="BB231">IsBlue('Large Dataset'!R231)</f>
        <v>0</v>
      </c>
      <c r="BC231" t="b" cm="1">
        <f t="array" ref="BC231">IsPurple('Large Dataset'!R231)</f>
        <v>0</v>
      </c>
      <c r="BD231" t="b" cm="1">
        <f t="array" ref="BD231">IsGreen('Large Dataset'!R231)</f>
        <v>0</v>
      </c>
      <c r="BJ231" t="b" cm="1">
        <f t="array" ref="BJ231">IsRed('Large Dataset'!T231)</f>
        <v>0</v>
      </c>
      <c r="BK231" t="b" cm="1">
        <f t="array" ref="BK231">IsBlue('Large Dataset'!T231)</f>
        <v>0</v>
      </c>
      <c r="BL231" t="b" cm="1">
        <f t="array" ref="BL231">IsPurple('Large Dataset'!T231)</f>
        <v>0</v>
      </c>
      <c r="BM231" t="b" cm="1">
        <f t="array" ref="BM231">IsGreen('Large Dataset'!T231)</f>
        <v>0</v>
      </c>
      <c r="BS231" t="b" cm="1">
        <f t="array" ref="BS231">IsRed('Large Dataset'!U231)</f>
        <v>0</v>
      </c>
      <c r="BT231" t="b" cm="1">
        <f t="array" ref="BT231">IsBlue('Large Dataset'!U231)</f>
        <v>0</v>
      </c>
      <c r="BU231" t="b" cm="1">
        <f t="array" ref="BU231">IsPurple('Large Dataset'!U231)</f>
        <v>0</v>
      </c>
      <c r="BV231" t="b" cm="1">
        <f t="array" ref="BV231">IsGreen('Large Dataset'!U231)</f>
        <v>0</v>
      </c>
    </row>
    <row r="232" spans="7:74">
      <c r="G232" t="b" cm="1">
        <f t="array" ref="G232">IsRed('Large Dataset'!I232)</f>
        <v>0</v>
      </c>
      <c r="H232" t="b" cm="1">
        <f t="array" ref="H232">IsBlue('Large Dataset'!I232)</f>
        <v>0</v>
      </c>
      <c r="I232" t="b" cm="1">
        <f t="array" ref="I232">IsPurple('Large Dataset'!I232)</f>
        <v>0</v>
      </c>
      <c r="J232" t="b" cm="1">
        <f t="array" ref="J232">IsGreen('Large Dataset'!G232)</f>
        <v>0</v>
      </c>
      <c r="P232" t="b" cm="1">
        <f t="array" ref="P232">IsRed('Large Dataset'!K232)</f>
        <v>0</v>
      </c>
      <c r="Q232" t="b" cm="1">
        <f t="array" ref="Q232">IsBlue('Large Dataset'!K232)</f>
        <v>0</v>
      </c>
      <c r="R232" t="b" cm="1">
        <f t="array" ref="R232">IsPurple('Large Dataset'!K232)</f>
        <v>0</v>
      </c>
      <c r="S232" t="b" cm="1">
        <f t="array" ref="S232">IsGreen('Large Dataset'!K232)</f>
        <v>0</v>
      </c>
      <c r="Y232" t="b" cm="1">
        <f t="array" ref="Y232">IsRed('Large Dataset'!M232)</f>
        <v>0</v>
      </c>
      <c r="Z232" t="b" cm="1">
        <f t="array" ref="Z232">IsBlue('Large Dataset'!M232)</f>
        <v>0</v>
      </c>
      <c r="AA232" t="b" cm="1">
        <f t="array" ref="AA232">IsPurple('Large Dataset'!M232)</f>
        <v>0</v>
      </c>
      <c r="AB232" t="b" cm="1">
        <f t="array" ref="AB232">IsGreen('Large Dataset'!M232)</f>
        <v>0</v>
      </c>
      <c r="AH232" t="b" cm="1">
        <f t="array" ref="AH232">IsRed('Large Dataset'!O232)</f>
        <v>0</v>
      </c>
      <c r="AI232" t="b" cm="1">
        <f t="array" ref="AI232">IsBlue('Large Dataset'!O232)</f>
        <v>0</v>
      </c>
      <c r="AJ232" t="b" cm="1">
        <f t="array" ref="AJ232">IsPurple('Large Dataset'!O232)</f>
        <v>0</v>
      </c>
      <c r="AK232" t="b" cm="1">
        <f t="array" ref="AK232">IsGreen('Large Dataset'!O232)</f>
        <v>0</v>
      </c>
      <c r="AR232" t="b" cm="1">
        <f t="array" ref="AR232">IsRed('Large Dataset'!Q232)</f>
        <v>0</v>
      </c>
      <c r="AS232" t="b" cm="1">
        <f t="array" ref="AS232">IsBlue('Large Dataset'!Q232)</f>
        <v>0</v>
      </c>
      <c r="AT232" t="b" cm="1">
        <f t="array" ref="AT232">IsPurple('Large Dataset'!Q232)</f>
        <v>0</v>
      </c>
      <c r="AU232" t="b" cm="1">
        <f t="array" ref="AU232">IsGreen('Large Dataset'!Q232)</f>
        <v>0</v>
      </c>
      <c r="BA232" t="b" cm="1">
        <f t="array" ref="BA232">IsRed('Large Dataset'!R232)</f>
        <v>0</v>
      </c>
      <c r="BB232" t="b" cm="1">
        <f t="array" ref="BB232">IsBlue('Large Dataset'!R232)</f>
        <v>0</v>
      </c>
      <c r="BC232" t="b" cm="1">
        <f t="array" ref="BC232">IsPurple('Large Dataset'!R232)</f>
        <v>0</v>
      </c>
      <c r="BD232" t="b" cm="1">
        <f t="array" ref="BD232">IsGreen('Large Dataset'!R232)</f>
        <v>0</v>
      </c>
      <c r="BJ232" t="b" cm="1">
        <f t="array" ref="BJ232">IsRed('Large Dataset'!T232)</f>
        <v>0</v>
      </c>
      <c r="BK232" t="b" cm="1">
        <f t="array" ref="BK232">IsBlue('Large Dataset'!T232)</f>
        <v>0</v>
      </c>
      <c r="BL232" t="b" cm="1">
        <f t="array" ref="BL232">IsPurple('Large Dataset'!T232)</f>
        <v>0</v>
      </c>
      <c r="BM232" t="b" cm="1">
        <f t="array" ref="BM232">IsGreen('Large Dataset'!T232)</f>
        <v>0</v>
      </c>
      <c r="BS232" t="b" cm="1">
        <f t="array" ref="BS232">IsRed('Large Dataset'!U232)</f>
        <v>0</v>
      </c>
      <c r="BT232" t="b" cm="1">
        <f t="array" ref="BT232">IsBlue('Large Dataset'!U232)</f>
        <v>0</v>
      </c>
      <c r="BU232" t="b" cm="1">
        <f t="array" ref="BU232">IsPurple('Large Dataset'!U232)</f>
        <v>0</v>
      </c>
      <c r="BV232" t="b" cm="1">
        <f t="array" ref="BV232">IsGreen('Large Dataset'!U232)</f>
        <v>0</v>
      </c>
    </row>
    <row r="233" spans="7:74">
      <c r="G233" t="b" cm="1">
        <f t="array" ref="G233">IsRed('Large Dataset'!I233)</f>
        <v>0</v>
      </c>
      <c r="H233" t="b" cm="1">
        <f t="array" ref="H233">IsBlue('Large Dataset'!I233)</f>
        <v>0</v>
      </c>
      <c r="I233" t="b" cm="1">
        <f t="array" ref="I233">IsPurple('Large Dataset'!I233)</f>
        <v>0</v>
      </c>
      <c r="J233" t="b" cm="1">
        <f t="array" ref="J233">IsGreen('Large Dataset'!G233)</f>
        <v>0</v>
      </c>
      <c r="P233" t="b" cm="1">
        <f t="array" ref="P233">IsRed('Large Dataset'!K233)</f>
        <v>0</v>
      </c>
      <c r="Q233" t="b" cm="1">
        <f t="array" ref="Q233">IsBlue('Large Dataset'!K233)</f>
        <v>0</v>
      </c>
      <c r="R233" t="b" cm="1">
        <f t="array" ref="R233">IsPurple('Large Dataset'!K233)</f>
        <v>0</v>
      </c>
      <c r="S233" t="b" cm="1">
        <f t="array" ref="S233">IsGreen('Large Dataset'!K233)</f>
        <v>0</v>
      </c>
      <c r="Y233" t="b" cm="1">
        <f t="array" ref="Y233">IsRed('Large Dataset'!M233)</f>
        <v>0</v>
      </c>
      <c r="Z233" t="b" cm="1">
        <f t="array" ref="Z233">IsBlue('Large Dataset'!M233)</f>
        <v>0</v>
      </c>
      <c r="AA233" t="b" cm="1">
        <f t="array" ref="AA233">IsPurple('Large Dataset'!M233)</f>
        <v>0</v>
      </c>
      <c r="AB233" t="b" cm="1">
        <f t="array" ref="AB233">IsGreen('Large Dataset'!M233)</f>
        <v>0</v>
      </c>
      <c r="AH233" t="b" cm="1">
        <f t="array" ref="AH233">IsRed('Large Dataset'!O233)</f>
        <v>0</v>
      </c>
      <c r="AI233" t="b" cm="1">
        <f t="array" ref="AI233">IsBlue('Large Dataset'!O233)</f>
        <v>0</v>
      </c>
      <c r="AJ233" t="b" cm="1">
        <f t="array" ref="AJ233">IsPurple('Large Dataset'!O233)</f>
        <v>0</v>
      </c>
      <c r="AK233" t="b" cm="1">
        <f t="array" ref="AK233">IsGreen('Large Dataset'!O233)</f>
        <v>0</v>
      </c>
      <c r="AR233" t="b" cm="1">
        <f t="array" ref="AR233">IsRed('Large Dataset'!Q233)</f>
        <v>0</v>
      </c>
      <c r="AS233" t="b" cm="1">
        <f t="array" ref="AS233">IsBlue('Large Dataset'!Q233)</f>
        <v>0</v>
      </c>
      <c r="AT233" t="b" cm="1">
        <f t="array" ref="AT233">IsPurple('Large Dataset'!Q233)</f>
        <v>0</v>
      </c>
      <c r="AU233" t="b" cm="1">
        <f t="array" ref="AU233">IsGreen('Large Dataset'!Q233)</f>
        <v>0</v>
      </c>
      <c r="BA233" t="b" cm="1">
        <f t="array" ref="BA233">IsRed('Large Dataset'!R233)</f>
        <v>0</v>
      </c>
      <c r="BB233" t="b" cm="1">
        <f t="array" ref="BB233">IsBlue('Large Dataset'!R233)</f>
        <v>0</v>
      </c>
      <c r="BC233" t="b" cm="1">
        <f t="array" ref="BC233">IsPurple('Large Dataset'!R233)</f>
        <v>0</v>
      </c>
      <c r="BD233" t="b" cm="1">
        <f t="array" ref="BD233">IsGreen('Large Dataset'!R233)</f>
        <v>0</v>
      </c>
      <c r="BJ233" t="b" cm="1">
        <f t="array" ref="BJ233">IsRed('Large Dataset'!T233)</f>
        <v>0</v>
      </c>
      <c r="BK233" t="b" cm="1">
        <f t="array" ref="BK233">IsBlue('Large Dataset'!T233)</f>
        <v>0</v>
      </c>
      <c r="BL233" t="b" cm="1">
        <f t="array" ref="BL233">IsPurple('Large Dataset'!T233)</f>
        <v>0</v>
      </c>
      <c r="BM233" t="b" cm="1">
        <f t="array" ref="BM233">IsGreen('Large Dataset'!T233)</f>
        <v>0</v>
      </c>
      <c r="BS233" t="b" cm="1">
        <f t="array" ref="BS233">IsRed('Large Dataset'!U233)</f>
        <v>0</v>
      </c>
      <c r="BT233" t="b" cm="1">
        <f t="array" ref="BT233">IsBlue('Large Dataset'!U233)</f>
        <v>0</v>
      </c>
      <c r="BU233" t="b" cm="1">
        <f t="array" ref="BU233">IsPurple('Large Dataset'!U233)</f>
        <v>0</v>
      </c>
      <c r="BV233" t="b" cm="1">
        <f t="array" ref="BV233">IsGreen('Large Dataset'!U233)</f>
        <v>0</v>
      </c>
    </row>
    <row r="234" spans="7:74">
      <c r="G234" t="b" cm="1">
        <f t="array" ref="G234">IsRed('Large Dataset'!I234)</f>
        <v>0</v>
      </c>
      <c r="H234" t="b" cm="1">
        <f t="array" ref="H234">IsBlue('Large Dataset'!I234)</f>
        <v>0</v>
      </c>
      <c r="I234" t="b" cm="1">
        <f t="array" ref="I234">IsPurple('Large Dataset'!I234)</f>
        <v>0</v>
      </c>
      <c r="J234" t="b" cm="1">
        <f t="array" ref="J234">IsGreen('Large Dataset'!G234)</f>
        <v>0</v>
      </c>
      <c r="P234" t="b" cm="1">
        <f t="array" ref="P234">IsRed('Large Dataset'!K234)</f>
        <v>0</v>
      </c>
      <c r="Q234" t="b" cm="1">
        <f t="array" ref="Q234">IsBlue('Large Dataset'!K234)</f>
        <v>0</v>
      </c>
      <c r="R234" t="b" cm="1">
        <f t="array" ref="R234">IsPurple('Large Dataset'!K234)</f>
        <v>0</v>
      </c>
      <c r="S234" t="b" cm="1">
        <f t="array" ref="S234">IsGreen('Large Dataset'!K234)</f>
        <v>0</v>
      </c>
      <c r="Y234" t="b" cm="1">
        <f t="array" ref="Y234">IsRed('Large Dataset'!M234)</f>
        <v>0</v>
      </c>
      <c r="Z234" t="b" cm="1">
        <f t="array" ref="Z234">IsBlue('Large Dataset'!M234)</f>
        <v>0</v>
      </c>
      <c r="AA234" t="b" cm="1">
        <f t="array" ref="AA234">IsPurple('Large Dataset'!M234)</f>
        <v>0</v>
      </c>
      <c r="AB234" t="b" cm="1">
        <f t="array" ref="AB234">IsGreen('Large Dataset'!M234)</f>
        <v>0</v>
      </c>
      <c r="AH234" t="b" cm="1">
        <f t="array" ref="AH234">IsRed('Large Dataset'!O234)</f>
        <v>0</v>
      </c>
      <c r="AI234" t="b" cm="1">
        <f t="array" ref="AI234">IsBlue('Large Dataset'!O234)</f>
        <v>0</v>
      </c>
      <c r="AJ234" t="b" cm="1">
        <f t="array" ref="AJ234">IsPurple('Large Dataset'!O234)</f>
        <v>0</v>
      </c>
      <c r="AK234" t="b" cm="1">
        <f t="array" ref="AK234">IsGreen('Large Dataset'!O234)</f>
        <v>0</v>
      </c>
      <c r="AR234" t="b" cm="1">
        <f t="array" ref="AR234">IsRed('Large Dataset'!Q234)</f>
        <v>0</v>
      </c>
      <c r="AS234" t="b" cm="1">
        <f t="array" ref="AS234">IsBlue('Large Dataset'!Q234)</f>
        <v>0</v>
      </c>
      <c r="AT234" t="b" cm="1">
        <f t="array" ref="AT234">IsPurple('Large Dataset'!Q234)</f>
        <v>0</v>
      </c>
      <c r="AU234" t="b" cm="1">
        <f t="array" ref="AU234">IsGreen('Large Dataset'!Q234)</f>
        <v>0</v>
      </c>
      <c r="BA234" t="b" cm="1">
        <f t="array" ref="BA234">IsRed('Large Dataset'!R234)</f>
        <v>0</v>
      </c>
      <c r="BB234" t="b" cm="1">
        <f t="array" ref="BB234">IsBlue('Large Dataset'!R234)</f>
        <v>0</v>
      </c>
      <c r="BC234" t="b" cm="1">
        <f t="array" ref="BC234">IsPurple('Large Dataset'!R234)</f>
        <v>0</v>
      </c>
      <c r="BD234" t="b" cm="1">
        <f t="array" ref="BD234">IsGreen('Large Dataset'!R234)</f>
        <v>0</v>
      </c>
      <c r="BJ234" t="b" cm="1">
        <f t="array" ref="BJ234">IsRed('Large Dataset'!T234)</f>
        <v>0</v>
      </c>
      <c r="BK234" t="b" cm="1">
        <f t="array" ref="BK234">IsBlue('Large Dataset'!T234)</f>
        <v>0</v>
      </c>
      <c r="BL234" t="b" cm="1">
        <f t="array" ref="BL234">IsPurple('Large Dataset'!T234)</f>
        <v>0</v>
      </c>
      <c r="BM234" t="b" cm="1">
        <f t="array" ref="BM234">IsGreen('Large Dataset'!T234)</f>
        <v>0</v>
      </c>
      <c r="BS234" t="b" cm="1">
        <f t="array" ref="BS234">IsRed('Large Dataset'!U234)</f>
        <v>0</v>
      </c>
      <c r="BT234" t="b" cm="1">
        <f t="array" ref="BT234">IsBlue('Large Dataset'!U234)</f>
        <v>0</v>
      </c>
      <c r="BU234" t="b" cm="1">
        <f t="array" ref="BU234">IsPurple('Large Dataset'!U234)</f>
        <v>0</v>
      </c>
      <c r="BV234" t="b" cm="1">
        <f t="array" ref="BV234">IsGreen('Large Dataset'!U234)</f>
        <v>0</v>
      </c>
    </row>
    <row r="235" spans="7:74">
      <c r="G235" t="b" cm="1">
        <f t="array" ref="G235">IsRed('Large Dataset'!I235)</f>
        <v>0</v>
      </c>
      <c r="H235" t="b" cm="1">
        <f t="array" ref="H235">IsBlue('Large Dataset'!I235)</f>
        <v>0</v>
      </c>
      <c r="I235" t="b" cm="1">
        <f t="array" ref="I235">IsPurple('Large Dataset'!I235)</f>
        <v>0</v>
      </c>
      <c r="J235" t="b" cm="1">
        <f t="array" ref="J235">IsGreen('Large Dataset'!G235)</f>
        <v>0</v>
      </c>
      <c r="P235" t="b" cm="1">
        <f t="array" ref="P235">IsRed('Large Dataset'!K235)</f>
        <v>0</v>
      </c>
      <c r="Q235" t="b" cm="1">
        <f t="array" ref="Q235">IsBlue('Large Dataset'!K235)</f>
        <v>0</v>
      </c>
      <c r="R235" t="b" cm="1">
        <f t="array" ref="R235">IsPurple('Large Dataset'!K235)</f>
        <v>0</v>
      </c>
      <c r="S235" t="b" cm="1">
        <f t="array" ref="S235">IsGreen('Large Dataset'!K235)</f>
        <v>0</v>
      </c>
      <c r="Y235" t="b" cm="1">
        <f t="array" ref="Y235">IsRed('Large Dataset'!M235)</f>
        <v>0</v>
      </c>
      <c r="Z235" t="b" cm="1">
        <f t="array" ref="Z235">IsBlue('Large Dataset'!M235)</f>
        <v>0</v>
      </c>
      <c r="AA235" t="b" cm="1">
        <f t="array" ref="AA235">IsPurple('Large Dataset'!M235)</f>
        <v>0</v>
      </c>
      <c r="AB235" t="b" cm="1">
        <f t="array" ref="AB235">IsGreen('Large Dataset'!M235)</f>
        <v>0</v>
      </c>
      <c r="AH235" t="b" cm="1">
        <f t="array" ref="AH235">IsRed('Large Dataset'!O235)</f>
        <v>0</v>
      </c>
      <c r="AI235" t="b" cm="1">
        <f t="array" ref="AI235">IsBlue('Large Dataset'!O235)</f>
        <v>0</v>
      </c>
      <c r="AJ235" t="b" cm="1">
        <f t="array" ref="AJ235">IsPurple('Large Dataset'!O235)</f>
        <v>0</v>
      </c>
      <c r="AK235" t="b" cm="1">
        <f t="array" ref="AK235">IsGreen('Large Dataset'!O235)</f>
        <v>0</v>
      </c>
      <c r="AR235" t="b" cm="1">
        <f t="array" ref="AR235">IsRed('Large Dataset'!Q235)</f>
        <v>0</v>
      </c>
      <c r="AS235" t="b" cm="1">
        <f t="array" ref="AS235">IsBlue('Large Dataset'!Q235)</f>
        <v>0</v>
      </c>
      <c r="AT235" t="b" cm="1">
        <f t="array" ref="AT235">IsPurple('Large Dataset'!Q235)</f>
        <v>0</v>
      </c>
      <c r="AU235" t="b" cm="1">
        <f t="array" ref="AU235">IsGreen('Large Dataset'!Q235)</f>
        <v>0</v>
      </c>
      <c r="BA235" t="b" cm="1">
        <f t="array" ref="BA235">IsRed('Large Dataset'!R235)</f>
        <v>0</v>
      </c>
      <c r="BB235" t="b" cm="1">
        <f t="array" ref="BB235">IsBlue('Large Dataset'!R235)</f>
        <v>0</v>
      </c>
      <c r="BC235" t="b" cm="1">
        <f t="array" ref="BC235">IsPurple('Large Dataset'!R235)</f>
        <v>0</v>
      </c>
      <c r="BD235" t="b" cm="1">
        <f t="array" ref="BD235">IsGreen('Large Dataset'!R235)</f>
        <v>0</v>
      </c>
      <c r="BJ235" t="b" cm="1">
        <f t="array" ref="BJ235">IsRed('Large Dataset'!T235)</f>
        <v>0</v>
      </c>
      <c r="BK235" t="b" cm="1">
        <f t="array" ref="BK235">IsBlue('Large Dataset'!T235)</f>
        <v>0</v>
      </c>
      <c r="BL235" t="b" cm="1">
        <f t="array" ref="BL235">IsPurple('Large Dataset'!T235)</f>
        <v>0</v>
      </c>
      <c r="BM235" t="b" cm="1">
        <f t="array" ref="BM235">IsGreen('Large Dataset'!T235)</f>
        <v>0</v>
      </c>
      <c r="BS235" t="b" cm="1">
        <f t="array" ref="BS235">IsRed('Large Dataset'!U235)</f>
        <v>0</v>
      </c>
      <c r="BT235" t="b" cm="1">
        <f t="array" ref="BT235">IsBlue('Large Dataset'!U235)</f>
        <v>0</v>
      </c>
      <c r="BU235" t="b" cm="1">
        <f t="array" ref="BU235">IsPurple('Large Dataset'!U235)</f>
        <v>0</v>
      </c>
      <c r="BV235" t="b" cm="1">
        <f t="array" ref="BV235">IsGreen('Large Dataset'!U235)</f>
        <v>0</v>
      </c>
    </row>
    <row r="236" spans="7:74">
      <c r="G236" t="b" cm="1">
        <f t="array" ref="G236">IsRed('Large Dataset'!I236)</f>
        <v>0</v>
      </c>
      <c r="H236" t="b" cm="1">
        <f t="array" ref="H236">IsBlue('Large Dataset'!I236)</f>
        <v>0</v>
      </c>
      <c r="I236" t="b" cm="1">
        <f t="array" ref="I236">IsPurple('Large Dataset'!I236)</f>
        <v>0</v>
      </c>
      <c r="J236" t="b" cm="1">
        <f t="array" ref="J236">IsGreen('Large Dataset'!G236)</f>
        <v>0</v>
      </c>
      <c r="P236" t="b" cm="1">
        <f t="array" ref="P236">IsRed('Large Dataset'!K236)</f>
        <v>0</v>
      </c>
      <c r="Q236" t="b" cm="1">
        <f t="array" ref="Q236">IsBlue('Large Dataset'!K236)</f>
        <v>0</v>
      </c>
      <c r="R236" t="b" cm="1">
        <f t="array" ref="R236">IsPurple('Large Dataset'!K236)</f>
        <v>0</v>
      </c>
      <c r="S236" t="b" cm="1">
        <f t="array" ref="S236">IsGreen('Large Dataset'!K236)</f>
        <v>0</v>
      </c>
      <c r="Y236" t="b" cm="1">
        <f t="array" ref="Y236">IsRed('Large Dataset'!M236)</f>
        <v>0</v>
      </c>
      <c r="Z236" t="b" cm="1">
        <f t="array" ref="Z236">IsBlue('Large Dataset'!M236)</f>
        <v>0</v>
      </c>
      <c r="AA236" t="b" cm="1">
        <f t="array" ref="AA236">IsPurple('Large Dataset'!M236)</f>
        <v>0</v>
      </c>
      <c r="AB236" t="b" cm="1">
        <f t="array" ref="AB236">IsGreen('Large Dataset'!M236)</f>
        <v>0</v>
      </c>
      <c r="AH236" t="b" cm="1">
        <f t="array" ref="AH236">IsRed('Large Dataset'!O236)</f>
        <v>0</v>
      </c>
      <c r="AI236" t="b" cm="1">
        <f t="array" ref="AI236">IsBlue('Large Dataset'!O236)</f>
        <v>0</v>
      </c>
      <c r="AJ236" t="b" cm="1">
        <f t="array" ref="AJ236">IsPurple('Large Dataset'!O236)</f>
        <v>0</v>
      </c>
      <c r="AK236" t="b" cm="1">
        <f t="array" ref="AK236">IsGreen('Large Dataset'!O236)</f>
        <v>0</v>
      </c>
      <c r="AR236" t="b" cm="1">
        <f t="array" ref="AR236">IsRed('Large Dataset'!Q236)</f>
        <v>0</v>
      </c>
      <c r="AS236" t="b" cm="1">
        <f t="array" ref="AS236">IsBlue('Large Dataset'!Q236)</f>
        <v>0</v>
      </c>
      <c r="AT236" t="b" cm="1">
        <f t="array" ref="AT236">IsPurple('Large Dataset'!Q236)</f>
        <v>0</v>
      </c>
      <c r="AU236" t="b" cm="1">
        <f t="array" ref="AU236">IsGreen('Large Dataset'!Q236)</f>
        <v>0</v>
      </c>
      <c r="BA236" t="b" cm="1">
        <f t="array" ref="BA236">IsRed('Large Dataset'!R236)</f>
        <v>0</v>
      </c>
      <c r="BB236" t="b" cm="1">
        <f t="array" ref="BB236">IsBlue('Large Dataset'!R236)</f>
        <v>0</v>
      </c>
      <c r="BC236" t="b" cm="1">
        <f t="array" ref="BC236">IsPurple('Large Dataset'!R236)</f>
        <v>0</v>
      </c>
      <c r="BD236" t="b" cm="1">
        <f t="array" ref="BD236">IsGreen('Large Dataset'!R236)</f>
        <v>0</v>
      </c>
      <c r="BJ236" t="b" cm="1">
        <f t="array" ref="BJ236">IsRed('Large Dataset'!T236)</f>
        <v>0</v>
      </c>
      <c r="BK236" t="b" cm="1">
        <f t="array" ref="BK236">IsBlue('Large Dataset'!T236)</f>
        <v>0</v>
      </c>
      <c r="BL236" t="b" cm="1">
        <f t="array" ref="BL236">IsPurple('Large Dataset'!T236)</f>
        <v>0</v>
      </c>
      <c r="BM236" t="b" cm="1">
        <f t="array" ref="BM236">IsGreen('Large Dataset'!T236)</f>
        <v>0</v>
      </c>
      <c r="BS236" t="b" cm="1">
        <f t="array" ref="BS236">IsRed('Large Dataset'!U236)</f>
        <v>0</v>
      </c>
      <c r="BT236" t="b" cm="1">
        <f t="array" ref="BT236">IsBlue('Large Dataset'!U236)</f>
        <v>0</v>
      </c>
      <c r="BU236" t="b" cm="1">
        <f t="array" ref="BU236">IsPurple('Large Dataset'!U236)</f>
        <v>0</v>
      </c>
      <c r="BV236" t="b" cm="1">
        <f t="array" ref="BV236">IsGreen('Large Dataset'!U236)</f>
        <v>0</v>
      </c>
    </row>
    <row r="237" spans="7:74">
      <c r="G237" t="b" cm="1">
        <f t="array" ref="G237">IsRed('Large Dataset'!I237)</f>
        <v>0</v>
      </c>
      <c r="H237" t="b" cm="1">
        <f t="array" ref="H237">IsBlue('Large Dataset'!I237)</f>
        <v>0</v>
      </c>
      <c r="I237" t="b" cm="1">
        <f t="array" ref="I237">IsPurple('Large Dataset'!I237)</f>
        <v>0</v>
      </c>
      <c r="J237" t="b" cm="1">
        <f t="array" ref="J237">IsGreen('Large Dataset'!G237)</f>
        <v>0</v>
      </c>
      <c r="P237" t="b" cm="1">
        <f t="array" ref="P237">IsRed('Large Dataset'!K237)</f>
        <v>0</v>
      </c>
      <c r="Q237" t="b" cm="1">
        <f t="array" ref="Q237">IsBlue('Large Dataset'!K237)</f>
        <v>0</v>
      </c>
      <c r="R237" t="b" cm="1">
        <f t="array" ref="R237">IsPurple('Large Dataset'!K237)</f>
        <v>0</v>
      </c>
      <c r="S237" t="b" cm="1">
        <f t="array" ref="S237">IsGreen('Large Dataset'!K237)</f>
        <v>0</v>
      </c>
      <c r="Y237" t="b" cm="1">
        <f t="array" ref="Y237">IsRed('Large Dataset'!M237)</f>
        <v>0</v>
      </c>
      <c r="Z237" t="b" cm="1">
        <f t="array" ref="Z237">IsBlue('Large Dataset'!M237)</f>
        <v>0</v>
      </c>
      <c r="AA237" t="b" cm="1">
        <f t="array" ref="AA237">IsPurple('Large Dataset'!M237)</f>
        <v>0</v>
      </c>
      <c r="AB237" t="b" cm="1">
        <f t="array" ref="AB237">IsGreen('Large Dataset'!M237)</f>
        <v>0</v>
      </c>
      <c r="AH237" t="b" cm="1">
        <f t="array" ref="AH237">IsRed('Large Dataset'!O237)</f>
        <v>1</v>
      </c>
      <c r="AI237" t="b" cm="1">
        <f t="array" ref="AI237">IsBlue('Large Dataset'!O237)</f>
        <v>0</v>
      </c>
      <c r="AJ237" t="b" cm="1">
        <f t="array" ref="AJ237">IsPurple('Large Dataset'!O237)</f>
        <v>0</v>
      </c>
      <c r="AK237" t="b" cm="1">
        <f t="array" ref="AK237">IsGreen('Large Dataset'!O237)</f>
        <v>0</v>
      </c>
      <c r="AR237" t="b" cm="1">
        <f t="array" ref="AR237">IsRed('Large Dataset'!Q237)</f>
        <v>0</v>
      </c>
      <c r="AS237" t="b" cm="1">
        <f t="array" ref="AS237">IsBlue('Large Dataset'!Q237)</f>
        <v>0</v>
      </c>
      <c r="AT237" t="b" cm="1">
        <f t="array" ref="AT237">IsPurple('Large Dataset'!Q237)</f>
        <v>0</v>
      </c>
      <c r="AU237" t="b" cm="1">
        <f t="array" ref="AU237">IsGreen('Large Dataset'!Q237)</f>
        <v>0</v>
      </c>
      <c r="BA237" t="b" cm="1">
        <f t="array" ref="BA237">IsRed('Large Dataset'!R237)</f>
        <v>0</v>
      </c>
      <c r="BB237" t="b" cm="1">
        <f t="array" ref="BB237">IsBlue('Large Dataset'!R237)</f>
        <v>0</v>
      </c>
      <c r="BC237" t="b" cm="1">
        <f t="array" ref="BC237">IsPurple('Large Dataset'!R237)</f>
        <v>0</v>
      </c>
      <c r="BD237" t="b" cm="1">
        <f t="array" ref="BD237">IsGreen('Large Dataset'!R237)</f>
        <v>0</v>
      </c>
      <c r="BJ237" t="b" cm="1">
        <f t="array" ref="BJ237">IsRed('Large Dataset'!T237)</f>
        <v>0</v>
      </c>
      <c r="BK237" t="b" cm="1">
        <f t="array" ref="BK237">IsBlue('Large Dataset'!T237)</f>
        <v>0</v>
      </c>
      <c r="BL237" t="b" cm="1">
        <f t="array" ref="BL237">IsPurple('Large Dataset'!T237)</f>
        <v>0</v>
      </c>
      <c r="BM237" t="b" cm="1">
        <f t="array" ref="BM237">IsGreen('Large Dataset'!T237)</f>
        <v>0</v>
      </c>
      <c r="BS237" t="b" cm="1">
        <f t="array" ref="BS237">IsRed('Large Dataset'!U237)</f>
        <v>0</v>
      </c>
      <c r="BT237" t="b" cm="1">
        <f t="array" ref="BT237">IsBlue('Large Dataset'!U237)</f>
        <v>0</v>
      </c>
      <c r="BU237" t="b" cm="1">
        <f t="array" ref="BU237">IsPurple('Large Dataset'!U237)</f>
        <v>0</v>
      </c>
      <c r="BV237" t="b" cm="1">
        <f t="array" ref="BV237">IsGreen('Large Dataset'!U237)</f>
        <v>0</v>
      </c>
    </row>
    <row r="238" spans="7:74">
      <c r="G238" t="b" cm="1">
        <f t="array" ref="G238">IsRed('Large Dataset'!I238)</f>
        <v>0</v>
      </c>
      <c r="H238" t="b" cm="1">
        <f t="array" ref="H238">IsBlue('Large Dataset'!I238)</f>
        <v>0</v>
      </c>
      <c r="I238" t="b" cm="1">
        <f t="array" ref="I238">IsPurple('Large Dataset'!I238)</f>
        <v>0</v>
      </c>
      <c r="J238" t="b" cm="1">
        <f t="array" ref="J238">IsGreen('Large Dataset'!G238)</f>
        <v>0</v>
      </c>
      <c r="P238" t="b" cm="1">
        <f t="array" ref="P238">IsRed('Large Dataset'!K238)</f>
        <v>0</v>
      </c>
      <c r="Q238" t="b" cm="1">
        <f t="array" ref="Q238">IsBlue('Large Dataset'!K238)</f>
        <v>0</v>
      </c>
      <c r="R238" t="b" cm="1">
        <f t="array" ref="R238">IsPurple('Large Dataset'!K238)</f>
        <v>0</v>
      </c>
      <c r="S238" t="b" cm="1">
        <f t="array" ref="S238">IsGreen('Large Dataset'!K238)</f>
        <v>0</v>
      </c>
      <c r="Y238" t="b" cm="1">
        <f t="array" ref="Y238">IsRed('Large Dataset'!M238)</f>
        <v>0</v>
      </c>
      <c r="Z238" t="b" cm="1">
        <f t="array" ref="Z238">IsBlue('Large Dataset'!M238)</f>
        <v>0</v>
      </c>
      <c r="AA238" t="b" cm="1">
        <f t="array" ref="AA238">IsPurple('Large Dataset'!M238)</f>
        <v>0</v>
      </c>
      <c r="AB238" t="b" cm="1">
        <f t="array" ref="AB238">IsGreen('Large Dataset'!M238)</f>
        <v>0</v>
      </c>
      <c r="AH238" t="b" cm="1">
        <f t="array" ref="AH238">IsRed('Large Dataset'!O238)</f>
        <v>0</v>
      </c>
      <c r="AI238" t="b" cm="1">
        <f t="array" ref="AI238">IsBlue('Large Dataset'!O238)</f>
        <v>1</v>
      </c>
      <c r="AJ238" t="b" cm="1">
        <f t="array" ref="AJ238">IsPurple('Large Dataset'!O238)</f>
        <v>0</v>
      </c>
      <c r="AK238" t="b" cm="1">
        <f t="array" ref="AK238">IsGreen('Large Dataset'!O238)</f>
        <v>0</v>
      </c>
      <c r="AR238" t="b" cm="1">
        <f t="array" ref="AR238">IsRed('Large Dataset'!Q238)</f>
        <v>0</v>
      </c>
      <c r="AS238" t="b" cm="1">
        <f t="array" ref="AS238">IsBlue('Large Dataset'!Q238)</f>
        <v>0</v>
      </c>
      <c r="AT238" t="b" cm="1">
        <f t="array" ref="AT238">IsPurple('Large Dataset'!Q238)</f>
        <v>0</v>
      </c>
      <c r="AU238" t="b" cm="1">
        <f t="array" ref="AU238">IsGreen('Large Dataset'!Q238)</f>
        <v>0</v>
      </c>
      <c r="BA238" t="b" cm="1">
        <f t="array" ref="BA238">IsRed('Large Dataset'!R238)</f>
        <v>0</v>
      </c>
      <c r="BB238" t="b" cm="1">
        <f t="array" ref="BB238">IsBlue('Large Dataset'!R238)</f>
        <v>0</v>
      </c>
      <c r="BC238" t="b" cm="1">
        <f t="array" ref="BC238">IsPurple('Large Dataset'!R238)</f>
        <v>0</v>
      </c>
      <c r="BD238" t="b" cm="1">
        <f t="array" ref="BD238">IsGreen('Large Dataset'!R238)</f>
        <v>0</v>
      </c>
      <c r="BJ238" t="b" cm="1">
        <f t="array" ref="BJ238">IsRed('Large Dataset'!T238)</f>
        <v>0</v>
      </c>
      <c r="BK238" t="b" cm="1">
        <f t="array" ref="BK238">IsBlue('Large Dataset'!T238)</f>
        <v>0</v>
      </c>
      <c r="BL238" t="b" cm="1">
        <f t="array" ref="BL238">IsPurple('Large Dataset'!T238)</f>
        <v>0</v>
      </c>
      <c r="BM238" t="b" cm="1">
        <f t="array" ref="BM238">IsGreen('Large Dataset'!T238)</f>
        <v>0</v>
      </c>
      <c r="BS238" t="b" cm="1">
        <f t="array" ref="BS238">IsRed('Large Dataset'!U238)</f>
        <v>0</v>
      </c>
      <c r="BT238" t="b" cm="1">
        <f t="array" ref="BT238">IsBlue('Large Dataset'!U238)</f>
        <v>0</v>
      </c>
      <c r="BU238" t="b" cm="1">
        <f t="array" ref="BU238">IsPurple('Large Dataset'!U238)</f>
        <v>0</v>
      </c>
      <c r="BV238" t="b" cm="1">
        <f t="array" ref="BV238">IsGreen('Large Dataset'!U238)</f>
        <v>0</v>
      </c>
    </row>
    <row r="239" spans="7:74">
      <c r="G239" t="b" cm="1">
        <f t="array" ref="G239">IsRed('Large Dataset'!I239)</f>
        <v>0</v>
      </c>
      <c r="H239" t="b" cm="1">
        <f t="array" ref="H239">IsBlue('Large Dataset'!I239)</f>
        <v>0</v>
      </c>
      <c r="I239" t="b" cm="1">
        <f t="array" ref="I239">IsPurple('Large Dataset'!I239)</f>
        <v>0</v>
      </c>
      <c r="J239" t="b" cm="1">
        <f t="array" ref="J239">IsGreen('Large Dataset'!G239)</f>
        <v>0</v>
      </c>
      <c r="P239" t="b" cm="1">
        <f t="array" ref="P239">IsRed('Large Dataset'!K239)</f>
        <v>0</v>
      </c>
      <c r="Q239" t="b" cm="1">
        <f t="array" ref="Q239">IsBlue('Large Dataset'!K239)</f>
        <v>0</v>
      </c>
      <c r="R239" t="b" cm="1">
        <f t="array" ref="R239">IsPurple('Large Dataset'!K239)</f>
        <v>0</v>
      </c>
      <c r="S239" t="b" cm="1">
        <f t="array" ref="S239">IsGreen('Large Dataset'!K239)</f>
        <v>0</v>
      </c>
      <c r="Y239" t="b" cm="1">
        <f t="array" ref="Y239">IsRed('Large Dataset'!M239)</f>
        <v>0</v>
      </c>
      <c r="Z239" t="b" cm="1">
        <f t="array" ref="Z239">IsBlue('Large Dataset'!M239)</f>
        <v>0</v>
      </c>
      <c r="AA239" t="b" cm="1">
        <f t="array" ref="AA239">IsPurple('Large Dataset'!M239)</f>
        <v>0</v>
      </c>
      <c r="AB239" t="b" cm="1">
        <f t="array" ref="AB239">IsGreen('Large Dataset'!M239)</f>
        <v>0</v>
      </c>
      <c r="AH239" t="b" cm="1">
        <f t="array" ref="AH239">IsRed('Large Dataset'!O239)</f>
        <v>0</v>
      </c>
      <c r="AI239" t="b" cm="1">
        <f t="array" ref="AI239">IsBlue('Large Dataset'!O239)</f>
        <v>0</v>
      </c>
      <c r="AJ239" t="b" cm="1">
        <f t="array" ref="AJ239">IsPurple('Large Dataset'!O239)</f>
        <v>0</v>
      </c>
      <c r="AK239" t="b" cm="1">
        <f t="array" ref="AK239">IsGreen('Large Dataset'!O239)</f>
        <v>0</v>
      </c>
      <c r="AR239" t="b" cm="1">
        <f t="array" ref="AR239">IsRed('Large Dataset'!Q239)</f>
        <v>0</v>
      </c>
      <c r="AS239" t="b" cm="1">
        <f t="array" ref="AS239">IsBlue('Large Dataset'!Q239)</f>
        <v>0</v>
      </c>
      <c r="AT239" t="b" cm="1">
        <f t="array" ref="AT239">IsPurple('Large Dataset'!Q239)</f>
        <v>0</v>
      </c>
      <c r="AU239" t="b" cm="1">
        <f t="array" ref="AU239">IsGreen('Large Dataset'!Q239)</f>
        <v>0</v>
      </c>
      <c r="BA239" t="b" cm="1">
        <f t="array" ref="BA239">IsRed('Large Dataset'!R239)</f>
        <v>0</v>
      </c>
      <c r="BB239" t="b" cm="1">
        <f t="array" ref="BB239">IsBlue('Large Dataset'!R239)</f>
        <v>0</v>
      </c>
      <c r="BC239" t="b" cm="1">
        <f t="array" ref="BC239">IsPurple('Large Dataset'!R239)</f>
        <v>0</v>
      </c>
      <c r="BD239" t="b" cm="1">
        <f t="array" ref="BD239">IsGreen('Large Dataset'!R239)</f>
        <v>0</v>
      </c>
      <c r="BJ239" t="b" cm="1">
        <f t="array" ref="BJ239">IsRed('Large Dataset'!T239)</f>
        <v>0</v>
      </c>
      <c r="BK239" t="b" cm="1">
        <f t="array" ref="BK239">IsBlue('Large Dataset'!T239)</f>
        <v>0</v>
      </c>
      <c r="BL239" t="b" cm="1">
        <f t="array" ref="BL239">IsPurple('Large Dataset'!T239)</f>
        <v>0</v>
      </c>
      <c r="BM239" t="b" cm="1">
        <f t="array" ref="BM239">IsGreen('Large Dataset'!T239)</f>
        <v>0</v>
      </c>
      <c r="BS239" t="b" cm="1">
        <f t="array" ref="BS239">IsRed('Large Dataset'!U239)</f>
        <v>0</v>
      </c>
      <c r="BT239" t="b" cm="1">
        <f t="array" ref="BT239">IsBlue('Large Dataset'!U239)</f>
        <v>0</v>
      </c>
      <c r="BU239" t="b" cm="1">
        <f t="array" ref="BU239">IsPurple('Large Dataset'!U239)</f>
        <v>0</v>
      </c>
      <c r="BV239" t="b" cm="1">
        <f t="array" ref="BV239">IsGreen('Large Dataset'!U239)</f>
        <v>0</v>
      </c>
    </row>
    <row r="240" spans="7:74">
      <c r="G240" t="b" cm="1">
        <f t="array" ref="G240">IsRed('Large Dataset'!I240)</f>
        <v>0</v>
      </c>
      <c r="H240" t="b" cm="1">
        <f t="array" ref="H240">IsBlue('Large Dataset'!I240)</f>
        <v>0</v>
      </c>
      <c r="I240" t="b" cm="1">
        <f t="array" ref="I240">IsPurple('Large Dataset'!I240)</f>
        <v>0</v>
      </c>
      <c r="J240" t="b" cm="1">
        <f t="array" ref="J240">IsGreen('Large Dataset'!G240)</f>
        <v>0</v>
      </c>
      <c r="P240" t="b" cm="1">
        <f t="array" ref="P240">IsRed('Large Dataset'!K240)</f>
        <v>0</v>
      </c>
      <c r="Q240" t="b" cm="1">
        <f t="array" ref="Q240">IsBlue('Large Dataset'!K240)</f>
        <v>0</v>
      </c>
      <c r="R240" t="b" cm="1">
        <f t="array" ref="R240">IsPurple('Large Dataset'!K240)</f>
        <v>0</v>
      </c>
      <c r="S240" t="b" cm="1">
        <f t="array" ref="S240">IsGreen('Large Dataset'!K240)</f>
        <v>0</v>
      </c>
      <c r="Y240" t="b" cm="1">
        <f t="array" ref="Y240">IsRed('Large Dataset'!M240)</f>
        <v>0</v>
      </c>
      <c r="Z240" t="b" cm="1">
        <f t="array" ref="Z240">IsBlue('Large Dataset'!M240)</f>
        <v>0</v>
      </c>
      <c r="AA240" t="b" cm="1">
        <f t="array" ref="AA240">IsPurple('Large Dataset'!M240)</f>
        <v>0</v>
      </c>
      <c r="AB240" t="b" cm="1">
        <f t="array" ref="AB240">IsGreen('Large Dataset'!M240)</f>
        <v>0</v>
      </c>
      <c r="AH240" t="b" cm="1">
        <f t="array" ref="AH240">IsRed('Large Dataset'!O240)</f>
        <v>0</v>
      </c>
      <c r="AI240" t="b" cm="1">
        <f t="array" ref="AI240">IsBlue('Large Dataset'!O240)</f>
        <v>0</v>
      </c>
      <c r="AJ240" t="b" cm="1">
        <f t="array" ref="AJ240">IsPurple('Large Dataset'!O240)</f>
        <v>0</v>
      </c>
      <c r="AK240" t="b" cm="1">
        <f t="array" ref="AK240">IsGreen('Large Dataset'!O240)</f>
        <v>0</v>
      </c>
      <c r="AR240" t="b" cm="1">
        <f t="array" ref="AR240">IsRed('Large Dataset'!Q240)</f>
        <v>0</v>
      </c>
      <c r="AS240" t="b" cm="1">
        <f t="array" ref="AS240">IsBlue('Large Dataset'!Q240)</f>
        <v>0</v>
      </c>
      <c r="AT240" t="b" cm="1">
        <f t="array" ref="AT240">IsPurple('Large Dataset'!Q240)</f>
        <v>0</v>
      </c>
      <c r="AU240" t="b" cm="1">
        <f t="array" ref="AU240">IsGreen('Large Dataset'!Q240)</f>
        <v>0</v>
      </c>
      <c r="BA240" t="b" cm="1">
        <f t="array" ref="BA240">IsRed('Large Dataset'!R240)</f>
        <v>0</v>
      </c>
      <c r="BB240" t="b" cm="1">
        <f t="array" ref="BB240">IsBlue('Large Dataset'!R240)</f>
        <v>0</v>
      </c>
      <c r="BC240" t="b" cm="1">
        <f t="array" ref="BC240">IsPurple('Large Dataset'!R240)</f>
        <v>0</v>
      </c>
      <c r="BD240" t="b" cm="1">
        <f t="array" ref="BD240">IsGreen('Large Dataset'!R240)</f>
        <v>0</v>
      </c>
      <c r="BJ240" t="b" cm="1">
        <f t="array" ref="BJ240">IsRed('Large Dataset'!T240)</f>
        <v>0</v>
      </c>
      <c r="BK240" t="b" cm="1">
        <f t="array" ref="BK240">IsBlue('Large Dataset'!T240)</f>
        <v>0</v>
      </c>
      <c r="BL240" t="b" cm="1">
        <f t="array" ref="BL240">IsPurple('Large Dataset'!T240)</f>
        <v>0</v>
      </c>
      <c r="BM240" t="b" cm="1">
        <f t="array" ref="BM240">IsGreen('Large Dataset'!T240)</f>
        <v>0</v>
      </c>
      <c r="BS240" t="b" cm="1">
        <f t="array" ref="BS240">IsRed('Large Dataset'!U240)</f>
        <v>0</v>
      </c>
      <c r="BT240" t="b" cm="1">
        <f t="array" ref="BT240">IsBlue('Large Dataset'!U240)</f>
        <v>0</v>
      </c>
      <c r="BU240" t="b" cm="1">
        <f t="array" ref="BU240">IsPurple('Large Dataset'!U240)</f>
        <v>0</v>
      </c>
      <c r="BV240" t="b" cm="1">
        <f t="array" ref="BV240">IsGreen('Large Dataset'!U240)</f>
        <v>0</v>
      </c>
    </row>
    <row r="241" spans="7:74">
      <c r="G241" t="b" cm="1">
        <f t="array" ref="G241">IsRed('Large Dataset'!I241)</f>
        <v>0</v>
      </c>
      <c r="H241" t="b" cm="1">
        <f t="array" ref="H241">IsBlue('Large Dataset'!I241)</f>
        <v>0</v>
      </c>
      <c r="I241" t="b" cm="1">
        <f t="array" ref="I241">IsPurple('Large Dataset'!I241)</f>
        <v>0</v>
      </c>
      <c r="J241" t="b" cm="1">
        <f t="array" ref="J241">IsGreen('Large Dataset'!G241)</f>
        <v>0</v>
      </c>
      <c r="P241" t="b" cm="1">
        <f t="array" ref="P241">IsRed('Large Dataset'!K241)</f>
        <v>0</v>
      </c>
      <c r="Q241" t="b" cm="1">
        <f t="array" ref="Q241">IsBlue('Large Dataset'!K241)</f>
        <v>0</v>
      </c>
      <c r="R241" t="b" cm="1">
        <f t="array" ref="R241">IsPurple('Large Dataset'!K241)</f>
        <v>0</v>
      </c>
      <c r="S241" t="b" cm="1">
        <f t="array" ref="S241">IsGreen('Large Dataset'!K241)</f>
        <v>0</v>
      </c>
      <c r="Y241" t="b" cm="1">
        <f t="array" ref="Y241">IsRed('Large Dataset'!M241)</f>
        <v>0</v>
      </c>
      <c r="Z241" t="b" cm="1">
        <f t="array" ref="Z241">IsBlue('Large Dataset'!M241)</f>
        <v>0</v>
      </c>
      <c r="AA241" t="b" cm="1">
        <f t="array" ref="AA241">IsPurple('Large Dataset'!M241)</f>
        <v>0</v>
      </c>
      <c r="AB241" t="b" cm="1">
        <f t="array" ref="AB241">IsGreen('Large Dataset'!M241)</f>
        <v>0</v>
      </c>
      <c r="AH241" t="b" cm="1">
        <f t="array" ref="AH241">IsRed('Large Dataset'!O241)</f>
        <v>0</v>
      </c>
      <c r="AI241" t="b" cm="1">
        <f t="array" ref="AI241">IsBlue('Large Dataset'!O241)</f>
        <v>0</v>
      </c>
      <c r="AJ241" t="b" cm="1">
        <f t="array" ref="AJ241">IsPurple('Large Dataset'!O241)</f>
        <v>0</v>
      </c>
      <c r="AK241" t="b" cm="1">
        <f t="array" ref="AK241">IsGreen('Large Dataset'!O241)</f>
        <v>0</v>
      </c>
      <c r="AR241" t="b" cm="1">
        <f t="array" ref="AR241">IsRed('Large Dataset'!Q241)</f>
        <v>0</v>
      </c>
      <c r="AS241" t="b" cm="1">
        <f t="array" ref="AS241">IsBlue('Large Dataset'!Q241)</f>
        <v>0</v>
      </c>
      <c r="AT241" t="b" cm="1">
        <f t="array" ref="AT241">IsPurple('Large Dataset'!Q241)</f>
        <v>0</v>
      </c>
      <c r="AU241" t="b" cm="1">
        <f t="array" ref="AU241">IsGreen('Large Dataset'!Q241)</f>
        <v>0</v>
      </c>
      <c r="BA241" t="b" cm="1">
        <f t="array" ref="BA241">IsRed('Large Dataset'!R241)</f>
        <v>0</v>
      </c>
      <c r="BB241" t="b" cm="1">
        <f t="array" ref="BB241">IsBlue('Large Dataset'!R241)</f>
        <v>0</v>
      </c>
      <c r="BC241" t="b" cm="1">
        <f t="array" ref="BC241">IsPurple('Large Dataset'!R241)</f>
        <v>0</v>
      </c>
      <c r="BD241" t="b" cm="1">
        <f t="array" ref="BD241">IsGreen('Large Dataset'!R241)</f>
        <v>0</v>
      </c>
      <c r="BJ241" t="b" cm="1">
        <f t="array" ref="BJ241">IsRed('Large Dataset'!T241)</f>
        <v>0</v>
      </c>
      <c r="BK241" t="b" cm="1">
        <f t="array" ref="BK241">IsBlue('Large Dataset'!T241)</f>
        <v>0</v>
      </c>
      <c r="BL241" t="b" cm="1">
        <f t="array" ref="BL241">IsPurple('Large Dataset'!T241)</f>
        <v>0</v>
      </c>
      <c r="BM241" t="b" cm="1">
        <f t="array" ref="BM241">IsGreen('Large Dataset'!T241)</f>
        <v>0</v>
      </c>
      <c r="BS241" t="b" cm="1">
        <f t="array" ref="BS241">IsRed('Large Dataset'!U241)</f>
        <v>0</v>
      </c>
      <c r="BT241" t="b" cm="1">
        <f t="array" ref="BT241">IsBlue('Large Dataset'!U241)</f>
        <v>0</v>
      </c>
      <c r="BU241" t="b" cm="1">
        <f t="array" ref="BU241">IsPurple('Large Dataset'!U241)</f>
        <v>0</v>
      </c>
      <c r="BV241" t="b" cm="1">
        <f t="array" ref="BV241">IsGreen('Large Dataset'!U241)</f>
        <v>0</v>
      </c>
    </row>
    <row r="242" spans="7:74">
      <c r="G242" t="b" cm="1">
        <f t="array" ref="G242">IsRed('Large Dataset'!I242)</f>
        <v>0</v>
      </c>
      <c r="H242" t="b" cm="1">
        <f t="array" ref="H242">IsBlue('Large Dataset'!I242)</f>
        <v>0</v>
      </c>
      <c r="I242" t="b" cm="1">
        <f t="array" ref="I242">IsPurple('Large Dataset'!I242)</f>
        <v>0</v>
      </c>
      <c r="J242" t="b" cm="1">
        <f t="array" ref="J242">IsGreen('Large Dataset'!G242)</f>
        <v>0</v>
      </c>
      <c r="P242" t="b" cm="1">
        <f t="array" ref="P242">IsRed('Large Dataset'!K242)</f>
        <v>0</v>
      </c>
      <c r="Q242" t="b" cm="1">
        <f t="array" ref="Q242">IsBlue('Large Dataset'!K242)</f>
        <v>0</v>
      </c>
      <c r="R242" t="b" cm="1">
        <f t="array" ref="R242">IsPurple('Large Dataset'!K242)</f>
        <v>0</v>
      </c>
      <c r="S242" t="b" cm="1">
        <f t="array" ref="S242">IsGreen('Large Dataset'!K242)</f>
        <v>0</v>
      </c>
      <c r="Y242" t="b" cm="1">
        <f t="array" ref="Y242">IsRed('Large Dataset'!M242)</f>
        <v>0</v>
      </c>
      <c r="Z242" t="b" cm="1">
        <f t="array" ref="Z242">IsBlue('Large Dataset'!M242)</f>
        <v>0</v>
      </c>
      <c r="AA242" t="b" cm="1">
        <f t="array" ref="AA242">IsPurple('Large Dataset'!M242)</f>
        <v>0</v>
      </c>
      <c r="AB242" t="b" cm="1">
        <f t="array" ref="AB242">IsGreen('Large Dataset'!M242)</f>
        <v>0</v>
      </c>
      <c r="AH242" t="b" cm="1">
        <f t="array" ref="AH242">IsRed('Large Dataset'!O242)</f>
        <v>1</v>
      </c>
      <c r="AI242" t="b" cm="1">
        <f t="array" ref="AI242">IsBlue('Large Dataset'!O242)</f>
        <v>0</v>
      </c>
      <c r="AJ242" t="b" cm="1">
        <f t="array" ref="AJ242">IsPurple('Large Dataset'!O242)</f>
        <v>0</v>
      </c>
      <c r="AK242" t="b" cm="1">
        <f t="array" ref="AK242">IsGreen('Large Dataset'!O242)</f>
        <v>0</v>
      </c>
      <c r="AR242" t="b" cm="1">
        <f t="array" ref="AR242">IsRed('Large Dataset'!Q242)</f>
        <v>0</v>
      </c>
      <c r="AS242" t="b" cm="1">
        <f t="array" ref="AS242">IsBlue('Large Dataset'!Q242)</f>
        <v>0</v>
      </c>
      <c r="AT242" t="b" cm="1">
        <f t="array" ref="AT242">IsPurple('Large Dataset'!Q242)</f>
        <v>0</v>
      </c>
      <c r="AU242" t="b" cm="1">
        <f t="array" ref="AU242">IsGreen('Large Dataset'!Q242)</f>
        <v>0</v>
      </c>
      <c r="BA242" t="b" cm="1">
        <f t="array" ref="BA242">IsRed('Large Dataset'!R242)</f>
        <v>0</v>
      </c>
      <c r="BB242" t="b" cm="1">
        <f t="array" ref="BB242">IsBlue('Large Dataset'!R242)</f>
        <v>0</v>
      </c>
      <c r="BC242" t="b" cm="1">
        <f t="array" ref="BC242">IsPurple('Large Dataset'!R242)</f>
        <v>0</v>
      </c>
      <c r="BD242" t="b" cm="1">
        <f t="array" ref="BD242">IsGreen('Large Dataset'!R242)</f>
        <v>0</v>
      </c>
      <c r="BJ242" t="b" cm="1">
        <f t="array" ref="BJ242">IsRed('Large Dataset'!T242)</f>
        <v>0</v>
      </c>
      <c r="BK242" t="b" cm="1">
        <f t="array" ref="BK242">IsBlue('Large Dataset'!T242)</f>
        <v>0</v>
      </c>
      <c r="BL242" t="b" cm="1">
        <f t="array" ref="BL242">IsPurple('Large Dataset'!T242)</f>
        <v>0</v>
      </c>
      <c r="BM242" t="b" cm="1">
        <f t="array" ref="BM242">IsGreen('Large Dataset'!T242)</f>
        <v>0</v>
      </c>
      <c r="BS242" t="b" cm="1">
        <f t="array" ref="BS242">IsRed('Large Dataset'!U242)</f>
        <v>0</v>
      </c>
      <c r="BT242" t="b" cm="1">
        <f t="array" ref="BT242">IsBlue('Large Dataset'!U242)</f>
        <v>0</v>
      </c>
      <c r="BU242" t="b" cm="1">
        <f t="array" ref="BU242">IsPurple('Large Dataset'!U242)</f>
        <v>0</v>
      </c>
      <c r="BV242" t="b" cm="1">
        <f t="array" ref="BV242">IsGreen('Large Dataset'!U242)</f>
        <v>0</v>
      </c>
    </row>
    <row r="243" spans="7:74">
      <c r="G243" t="b" cm="1">
        <f t="array" ref="G243">IsRed('Large Dataset'!I243)</f>
        <v>0</v>
      </c>
      <c r="H243" t="b" cm="1">
        <f t="array" ref="H243">IsBlue('Large Dataset'!I243)</f>
        <v>0</v>
      </c>
      <c r="I243" t="b" cm="1">
        <f t="array" ref="I243">IsPurple('Large Dataset'!I243)</f>
        <v>0</v>
      </c>
      <c r="J243" t="b" cm="1">
        <f t="array" ref="J243">IsGreen('Large Dataset'!G243)</f>
        <v>0</v>
      </c>
      <c r="P243" t="b" cm="1">
        <f t="array" ref="P243">IsRed('Large Dataset'!K243)</f>
        <v>0</v>
      </c>
      <c r="Q243" t="b" cm="1">
        <f t="array" ref="Q243">IsBlue('Large Dataset'!K243)</f>
        <v>0</v>
      </c>
      <c r="R243" t="b" cm="1">
        <f t="array" ref="R243">IsPurple('Large Dataset'!K243)</f>
        <v>0</v>
      </c>
      <c r="S243" t="b" cm="1">
        <f t="array" ref="S243">IsGreen('Large Dataset'!K243)</f>
        <v>0</v>
      </c>
      <c r="Y243" t="b" cm="1">
        <f t="array" ref="Y243">IsRed('Large Dataset'!M243)</f>
        <v>0</v>
      </c>
      <c r="Z243" t="b" cm="1">
        <f t="array" ref="Z243">IsBlue('Large Dataset'!M243)</f>
        <v>0</v>
      </c>
      <c r="AA243" t="b" cm="1">
        <f t="array" ref="AA243">IsPurple('Large Dataset'!M243)</f>
        <v>0</v>
      </c>
      <c r="AB243" t="b" cm="1">
        <f t="array" ref="AB243">IsGreen('Large Dataset'!M243)</f>
        <v>0</v>
      </c>
      <c r="AH243" t="b" cm="1">
        <f t="array" ref="AH243">IsRed('Large Dataset'!O243)</f>
        <v>0</v>
      </c>
      <c r="AI243" t="b" cm="1">
        <f t="array" ref="AI243">IsBlue('Large Dataset'!O243)</f>
        <v>1</v>
      </c>
      <c r="AJ243" t="b" cm="1">
        <f t="array" ref="AJ243">IsPurple('Large Dataset'!O243)</f>
        <v>0</v>
      </c>
      <c r="AK243" t="b" cm="1">
        <f t="array" ref="AK243">IsGreen('Large Dataset'!O243)</f>
        <v>0</v>
      </c>
      <c r="AR243" t="b" cm="1">
        <f t="array" ref="AR243">IsRed('Large Dataset'!Q243)</f>
        <v>0</v>
      </c>
      <c r="AS243" t="b" cm="1">
        <f t="array" ref="AS243">IsBlue('Large Dataset'!Q243)</f>
        <v>0</v>
      </c>
      <c r="AT243" t="b" cm="1">
        <f t="array" ref="AT243">IsPurple('Large Dataset'!Q243)</f>
        <v>0</v>
      </c>
      <c r="AU243" t="b" cm="1">
        <f t="array" ref="AU243">IsGreen('Large Dataset'!Q243)</f>
        <v>0</v>
      </c>
      <c r="BA243" t="b" cm="1">
        <f t="array" ref="BA243">IsRed('Large Dataset'!R243)</f>
        <v>0</v>
      </c>
      <c r="BB243" t="b" cm="1">
        <f t="array" ref="BB243">IsBlue('Large Dataset'!R243)</f>
        <v>0</v>
      </c>
      <c r="BC243" t="b" cm="1">
        <f t="array" ref="BC243">IsPurple('Large Dataset'!R243)</f>
        <v>0</v>
      </c>
      <c r="BD243" t="b" cm="1">
        <f t="array" ref="BD243">IsGreen('Large Dataset'!R243)</f>
        <v>0</v>
      </c>
      <c r="BJ243" t="b" cm="1">
        <f t="array" ref="BJ243">IsRed('Large Dataset'!T243)</f>
        <v>0</v>
      </c>
      <c r="BK243" t="b" cm="1">
        <f t="array" ref="BK243">IsBlue('Large Dataset'!T243)</f>
        <v>0</v>
      </c>
      <c r="BL243" t="b" cm="1">
        <f t="array" ref="BL243">IsPurple('Large Dataset'!T243)</f>
        <v>0</v>
      </c>
      <c r="BM243" t="b" cm="1">
        <f t="array" ref="BM243">IsGreen('Large Dataset'!T243)</f>
        <v>0</v>
      </c>
      <c r="BS243" t="b" cm="1">
        <f t="array" ref="BS243">IsRed('Large Dataset'!U243)</f>
        <v>0</v>
      </c>
      <c r="BT243" t="b" cm="1">
        <f t="array" ref="BT243">IsBlue('Large Dataset'!U243)</f>
        <v>0</v>
      </c>
      <c r="BU243" t="b" cm="1">
        <f t="array" ref="BU243">IsPurple('Large Dataset'!U243)</f>
        <v>0</v>
      </c>
      <c r="BV243" t="b" cm="1">
        <f t="array" ref="BV243">IsGreen('Large Dataset'!U243)</f>
        <v>0</v>
      </c>
    </row>
    <row r="244" spans="7:74">
      <c r="G244" t="b" cm="1">
        <f t="array" ref="G244">IsRed('Large Dataset'!I244)</f>
        <v>0</v>
      </c>
      <c r="H244" t="b" cm="1">
        <f t="array" ref="H244">IsBlue('Large Dataset'!I244)</f>
        <v>0</v>
      </c>
      <c r="I244" t="b" cm="1">
        <f t="array" ref="I244">IsPurple('Large Dataset'!I244)</f>
        <v>0</v>
      </c>
      <c r="J244" t="b" cm="1">
        <f t="array" ref="J244">IsGreen('Large Dataset'!G244)</f>
        <v>0</v>
      </c>
      <c r="P244" t="b" cm="1">
        <f t="array" ref="P244">IsRed('Large Dataset'!K244)</f>
        <v>0</v>
      </c>
      <c r="Q244" t="b" cm="1">
        <f t="array" ref="Q244">IsBlue('Large Dataset'!K244)</f>
        <v>0</v>
      </c>
      <c r="R244" t="b" cm="1">
        <f t="array" ref="R244">IsPurple('Large Dataset'!K244)</f>
        <v>0</v>
      </c>
      <c r="S244" t="b" cm="1">
        <f t="array" ref="S244">IsGreen('Large Dataset'!K244)</f>
        <v>0</v>
      </c>
      <c r="Y244" t="b" cm="1">
        <f t="array" ref="Y244">IsRed('Large Dataset'!M244)</f>
        <v>0</v>
      </c>
      <c r="Z244" t="b" cm="1">
        <f t="array" ref="Z244">IsBlue('Large Dataset'!M244)</f>
        <v>0</v>
      </c>
      <c r="AA244" t="b" cm="1">
        <f t="array" ref="AA244">IsPurple('Large Dataset'!M244)</f>
        <v>0</v>
      </c>
      <c r="AB244" t="b" cm="1">
        <f t="array" ref="AB244">IsGreen('Large Dataset'!M244)</f>
        <v>0</v>
      </c>
      <c r="AH244" t="b" cm="1">
        <f t="array" ref="AH244">IsRed('Large Dataset'!O244)</f>
        <v>0</v>
      </c>
      <c r="AI244" t="b" cm="1">
        <f t="array" ref="AI244">IsBlue('Large Dataset'!O244)</f>
        <v>1</v>
      </c>
      <c r="AJ244" t="b" cm="1">
        <f t="array" ref="AJ244">IsPurple('Large Dataset'!O244)</f>
        <v>0</v>
      </c>
      <c r="AK244" t="b" cm="1">
        <f t="array" ref="AK244">IsGreen('Large Dataset'!O244)</f>
        <v>0</v>
      </c>
      <c r="AR244" t="b" cm="1">
        <f t="array" ref="AR244">IsRed('Large Dataset'!Q244)</f>
        <v>0</v>
      </c>
      <c r="AS244" t="b" cm="1">
        <f t="array" ref="AS244">IsBlue('Large Dataset'!Q244)</f>
        <v>0</v>
      </c>
      <c r="AT244" t="b" cm="1">
        <f t="array" ref="AT244">IsPurple('Large Dataset'!Q244)</f>
        <v>0</v>
      </c>
      <c r="AU244" t="b" cm="1">
        <f t="array" ref="AU244">IsGreen('Large Dataset'!Q244)</f>
        <v>0</v>
      </c>
      <c r="BA244" t="b" cm="1">
        <f t="array" ref="BA244">IsRed('Large Dataset'!R244)</f>
        <v>0</v>
      </c>
      <c r="BB244" t="b" cm="1">
        <f t="array" ref="BB244">IsBlue('Large Dataset'!R244)</f>
        <v>0</v>
      </c>
      <c r="BC244" t="b" cm="1">
        <f t="array" ref="BC244">IsPurple('Large Dataset'!R244)</f>
        <v>0</v>
      </c>
      <c r="BD244" t="b" cm="1">
        <f t="array" ref="BD244">IsGreen('Large Dataset'!R244)</f>
        <v>0</v>
      </c>
      <c r="BJ244" t="b" cm="1">
        <f t="array" ref="BJ244">IsRed('Large Dataset'!T244)</f>
        <v>0</v>
      </c>
      <c r="BK244" t="b" cm="1">
        <f t="array" ref="BK244">IsBlue('Large Dataset'!T244)</f>
        <v>0</v>
      </c>
      <c r="BL244" t="b" cm="1">
        <f t="array" ref="BL244">IsPurple('Large Dataset'!T244)</f>
        <v>0</v>
      </c>
      <c r="BM244" t="b" cm="1">
        <f t="array" ref="BM244">IsGreen('Large Dataset'!T244)</f>
        <v>0</v>
      </c>
      <c r="BS244" t="b" cm="1">
        <f t="array" ref="BS244">IsRed('Large Dataset'!U244)</f>
        <v>0</v>
      </c>
      <c r="BT244" t="b" cm="1">
        <f t="array" ref="BT244">IsBlue('Large Dataset'!U244)</f>
        <v>0</v>
      </c>
      <c r="BU244" t="b" cm="1">
        <f t="array" ref="BU244">IsPurple('Large Dataset'!U244)</f>
        <v>0</v>
      </c>
      <c r="BV244" t="b" cm="1">
        <f t="array" ref="BV244">IsGreen('Large Dataset'!U244)</f>
        <v>0</v>
      </c>
    </row>
    <row r="245" spans="7:74">
      <c r="G245" t="b" cm="1">
        <f t="array" ref="G245">IsRed('Large Dataset'!I245)</f>
        <v>0</v>
      </c>
      <c r="H245" t="b" cm="1">
        <f t="array" ref="H245">IsBlue('Large Dataset'!I245)</f>
        <v>0</v>
      </c>
      <c r="I245" t="b" cm="1">
        <f t="array" ref="I245">IsPurple('Large Dataset'!I245)</f>
        <v>0</v>
      </c>
      <c r="J245" t="b" cm="1">
        <f t="array" ref="J245">IsGreen('Large Dataset'!G245)</f>
        <v>0</v>
      </c>
      <c r="P245" t="b" cm="1">
        <f t="array" ref="P245">IsRed('Large Dataset'!K245)</f>
        <v>0</v>
      </c>
      <c r="Q245" t="b" cm="1">
        <f t="array" ref="Q245">IsBlue('Large Dataset'!K245)</f>
        <v>1</v>
      </c>
      <c r="R245" t="b" cm="1">
        <f t="array" ref="R245">IsPurple('Large Dataset'!K245)</f>
        <v>0</v>
      </c>
      <c r="S245" t="b" cm="1">
        <f t="array" ref="S245">IsGreen('Large Dataset'!K245)</f>
        <v>0</v>
      </c>
      <c r="Y245" t="b" cm="1">
        <f t="array" ref="Y245">IsRed('Large Dataset'!M245)</f>
        <v>0</v>
      </c>
      <c r="Z245" t="b" cm="1">
        <f t="array" ref="Z245">IsBlue('Large Dataset'!M245)</f>
        <v>0</v>
      </c>
      <c r="AA245" t="b" cm="1">
        <f t="array" ref="AA245">IsPurple('Large Dataset'!M245)</f>
        <v>0</v>
      </c>
      <c r="AB245" t="b" cm="1">
        <f t="array" ref="AB245">IsGreen('Large Dataset'!M245)</f>
        <v>0</v>
      </c>
      <c r="AH245" t="b" cm="1">
        <f t="array" ref="AH245">IsRed('Large Dataset'!O245)</f>
        <v>0</v>
      </c>
      <c r="AI245" t="b" cm="1">
        <f t="array" ref="AI245">IsBlue('Large Dataset'!O245)</f>
        <v>1</v>
      </c>
      <c r="AJ245" t="b" cm="1">
        <f t="array" ref="AJ245">IsPurple('Large Dataset'!O245)</f>
        <v>0</v>
      </c>
      <c r="AK245" t="b" cm="1">
        <f t="array" ref="AK245">IsGreen('Large Dataset'!O245)</f>
        <v>0</v>
      </c>
      <c r="AR245" t="b" cm="1">
        <f t="array" ref="AR245">IsRed('Large Dataset'!Q245)</f>
        <v>0</v>
      </c>
      <c r="AS245" t="b" cm="1">
        <f t="array" ref="AS245">IsBlue('Large Dataset'!Q245)</f>
        <v>0</v>
      </c>
      <c r="AT245" t="b" cm="1">
        <f t="array" ref="AT245">IsPurple('Large Dataset'!Q245)</f>
        <v>0</v>
      </c>
      <c r="AU245" t="b" cm="1">
        <f t="array" ref="AU245">IsGreen('Large Dataset'!Q245)</f>
        <v>0</v>
      </c>
      <c r="BA245" t="b" cm="1">
        <f t="array" ref="BA245">IsRed('Large Dataset'!R245)</f>
        <v>0</v>
      </c>
      <c r="BB245" t="b" cm="1">
        <f t="array" ref="BB245">IsBlue('Large Dataset'!R245)</f>
        <v>0</v>
      </c>
      <c r="BC245" t="b" cm="1">
        <f t="array" ref="BC245">IsPurple('Large Dataset'!R245)</f>
        <v>0</v>
      </c>
      <c r="BD245" t="b" cm="1">
        <f t="array" ref="BD245">IsGreen('Large Dataset'!R245)</f>
        <v>0</v>
      </c>
      <c r="BJ245" t="b" cm="1">
        <f t="array" ref="BJ245">IsRed('Large Dataset'!T245)</f>
        <v>0</v>
      </c>
      <c r="BK245" t="b" cm="1">
        <f t="array" ref="BK245">IsBlue('Large Dataset'!T245)</f>
        <v>0</v>
      </c>
      <c r="BL245" t="b" cm="1">
        <f t="array" ref="BL245">IsPurple('Large Dataset'!T245)</f>
        <v>0</v>
      </c>
      <c r="BM245" t="b" cm="1">
        <f t="array" ref="BM245">IsGreen('Large Dataset'!T245)</f>
        <v>0</v>
      </c>
      <c r="BS245" t="b" cm="1">
        <f t="array" ref="BS245">IsRed('Large Dataset'!U245)</f>
        <v>0</v>
      </c>
      <c r="BT245" t="b" cm="1">
        <f t="array" ref="BT245">IsBlue('Large Dataset'!U245)</f>
        <v>0</v>
      </c>
      <c r="BU245" t="b" cm="1">
        <f t="array" ref="BU245">IsPurple('Large Dataset'!U245)</f>
        <v>0</v>
      </c>
      <c r="BV245" t="b" cm="1">
        <f t="array" ref="BV245">IsGreen('Large Dataset'!U245)</f>
        <v>0</v>
      </c>
    </row>
    <row r="246" spans="7:74">
      <c r="G246" t="b" cm="1">
        <f t="array" ref="G246">IsRed('Large Dataset'!I246)</f>
        <v>0</v>
      </c>
      <c r="H246" t="b" cm="1">
        <f t="array" ref="H246">IsBlue('Large Dataset'!I246)</f>
        <v>0</v>
      </c>
      <c r="I246" t="b" cm="1">
        <f t="array" ref="I246">IsPurple('Large Dataset'!I246)</f>
        <v>0</v>
      </c>
      <c r="J246" t="b" cm="1">
        <f t="array" ref="J246">IsGreen('Large Dataset'!G246)</f>
        <v>0</v>
      </c>
      <c r="P246" t="b" cm="1">
        <f t="array" ref="P246">IsRed('Large Dataset'!K246)</f>
        <v>0</v>
      </c>
      <c r="Q246" t="b" cm="1">
        <f t="array" ref="Q246">IsBlue('Large Dataset'!K246)</f>
        <v>0</v>
      </c>
      <c r="R246" t="b" cm="1">
        <f t="array" ref="R246">IsPurple('Large Dataset'!K246)</f>
        <v>0</v>
      </c>
      <c r="S246" t="b" cm="1">
        <f t="array" ref="S246">IsGreen('Large Dataset'!K246)</f>
        <v>0</v>
      </c>
      <c r="Y246" t="b" cm="1">
        <f t="array" ref="Y246">IsRed('Large Dataset'!M246)</f>
        <v>0</v>
      </c>
      <c r="Z246" t="b" cm="1">
        <f t="array" ref="Z246">IsBlue('Large Dataset'!M246)</f>
        <v>1</v>
      </c>
      <c r="AA246" t="b" cm="1">
        <f t="array" ref="AA246">IsPurple('Large Dataset'!M246)</f>
        <v>0</v>
      </c>
      <c r="AB246" t="b" cm="1">
        <f t="array" ref="AB246">IsGreen('Large Dataset'!M246)</f>
        <v>0</v>
      </c>
      <c r="AH246" t="b" cm="1">
        <f t="array" ref="AH246">IsRed('Large Dataset'!O246)</f>
        <v>0</v>
      </c>
      <c r="AI246" t="b" cm="1">
        <f t="array" ref="AI246">IsBlue('Large Dataset'!O246)</f>
        <v>1</v>
      </c>
      <c r="AJ246" t="b" cm="1">
        <f t="array" ref="AJ246">IsPurple('Large Dataset'!O246)</f>
        <v>0</v>
      </c>
      <c r="AK246" t="b" cm="1">
        <f t="array" ref="AK246">IsGreen('Large Dataset'!O246)</f>
        <v>0</v>
      </c>
      <c r="AR246" t="b" cm="1">
        <f t="array" ref="AR246">IsRed('Large Dataset'!Q246)</f>
        <v>0</v>
      </c>
      <c r="AS246" t="b" cm="1">
        <f t="array" ref="AS246">IsBlue('Large Dataset'!Q246)</f>
        <v>0</v>
      </c>
      <c r="AT246" t="b" cm="1">
        <f t="array" ref="AT246">IsPurple('Large Dataset'!Q246)</f>
        <v>0</v>
      </c>
      <c r="AU246" t="b" cm="1">
        <f t="array" ref="AU246">IsGreen('Large Dataset'!Q246)</f>
        <v>0</v>
      </c>
      <c r="BA246" t="b" cm="1">
        <f t="array" ref="BA246">IsRed('Large Dataset'!R246)</f>
        <v>0</v>
      </c>
      <c r="BB246" t="b" cm="1">
        <f t="array" ref="BB246">IsBlue('Large Dataset'!R246)</f>
        <v>0</v>
      </c>
      <c r="BC246" t="b" cm="1">
        <f t="array" ref="BC246">IsPurple('Large Dataset'!R246)</f>
        <v>0</v>
      </c>
      <c r="BD246" t="b" cm="1">
        <f t="array" ref="BD246">IsGreen('Large Dataset'!R246)</f>
        <v>0</v>
      </c>
      <c r="BJ246" t="b" cm="1">
        <f t="array" ref="BJ246">IsRed('Large Dataset'!T246)</f>
        <v>0</v>
      </c>
      <c r="BK246" t="b" cm="1">
        <f t="array" ref="BK246">IsBlue('Large Dataset'!T246)</f>
        <v>0</v>
      </c>
      <c r="BL246" t="b" cm="1">
        <f t="array" ref="BL246">IsPurple('Large Dataset'!T246)</f>
        <v>0</v>
      </c>
      <c r="BM246" t="b" cm="1">
        <f t="array" ref="BM246">IsGreen('Large Dataset'!T246)</f>
        <v>0</v>
      </c>
      <c r="BS246" t="b" cm="1">
        <f t="array" ref="BS246">IsRed('Large Dataset'!U246)</f>
        <v>0</v>
      </c>
      <c r="BT246" t="b" cm="1">
        <f t="array" ref="BT246">IsBlue('Large Dataset'!U246)</f>
        <v>0</v>
      </c>
      <c r="BU246" t="b" cm="1">
        <f t="array" ref="BU246">IsPurple('Large Dataset'!U246)</f>
        <v>0</v>
      </c>
      <c r="BV246" t="b" cm="1">
        <f t="array" ref="BV246">IsGreen('Large Dataset'!U246)</f>
        <v>0</v>
      </c>
    </row>
    <row r="247" spans="7:74">
      <c r="G247" t="b" cm="1">
        <f t="array" ref="G247">IsRed('Large Dataset'!I247)</f>
        <v>0</v>
      </c>
      <c r="H247" t="b" cm="1">
        <f t="array" ref="H247">IsBlue('Large Dataset'!I247)</f>
        <v>0</v>
      </c>
      <c r="I247" t="b" cm="1">
        <f t="array" ref="I247">IsPurple('Large Dataset'!I247)</f>
        <v>0</v>
      </c>
      <c r="J247" t="b" cm="1">
        <f t="array" ref="J247">IsGreen('Large Dataset'!G247)</f>
        <v>0</v>
      </c>
      <c r="P247" t="b" cm="1">
        <f t="array" ref="P247">IsRed('Large Dataset'!K247)</f>
        <v>0</v>
      </c>
      <c r="Q247" t="b" cm="1">
        <f t="array" ref="Q247">IsBlue('Large Dataset'!K247)</f>
        <v>1</v>
      </c>
      <c r="R247" t="b" cm="1">
        <f t="array" ref="R247">IsPurple('Large Dataset'!K247)</f>
        <v>0</v>
      </c>
      <c r="S247" t="b" cm="1">
        <f t="array" ref="S247">IsGreen('Large Dataset'!K247)</f>
        <v>0</v>
      </c>
      <c r="Y247" t="b" cm="1">
        <f t="array" ref="Y247">IsRed('Large Dataset'!M247)</f>
        <v>0</v>
      </c>
      <c r="Z247" t="b" cm="1">
        <f t="array" ref="Z247">IsBlue('Large Dataset'!M247)</f>
        <v>1</v>
      </c>
      <c r="AA247" t="b" cm="1">
        <f t="array" ref="AA247">IsPurple('Large Dataset'!M247)</f>
        <v>0</v>
      </c>
      <c r="AB247" t="b" cm="1">
        <f t="array" ref="AB247">IsGreen('Large Dataset'!M247)</f>
        <v>0</v>
      </c>
      <c r="AH247" t="b" cm="1">
        <f t="array" ref="AH247">IsRed('Large Dataset'!O247)</f>
        <v>0</v>
      </c>
      <c r="AI247" t="b" cm="1">
        <f t="array" ref="AI247">IsBlue('Large Dataset'!O247)</f>
        <v>1</v>
      </c>
      <c r="AJ247" t="b" cm="1">
        <f t="array" ref="AJ247">IsPurple('Large Dataset'!O247)</f>
        <v>0</v>
      </c>
      <c r="AK247" t="b" cm="1">
        <f t="array" ref="AK247">IsGreen('Large Dataset'!O247)</f>
        <v>0</v>
      </c>
      <c r="AR247" t="b" cm="1">
        <f t="array" ref="AR247">IsRed('Large Dataset'!Q247)</f>
        <v>0</v>
      </c>
      <c r="AS247" t="b" cm="1">
        <f t="array" ref="AS247">IsBlue('Large Dataset'!Q247)</f>
        <v>0</v>
      </c>
      <c r="AT247" t="b" cm="1">
        <f t="array" ref="AT247">IsPurple('Large Dataset'!Q247)</f>
        <v>0</v>
      </c>
      <c r="AU247" t="b" cm="1">
        <f t="array" ref="AU247">IsGreen('Large Dataset'!Q247)</f>
        <v>0</v>
      </c>
      <c r="BA247" t="b" cm="1">
        <f t="array" ref="BA247">IsRed('Large Dataset'!R247)</f>
        <v>0</v>
      </c>
      <c r="BB247" t="b" cm="1">
        <f t="array" ref="BB247">IsBlue('Large Dataset'!R247)</f>
        <v>0</v>
      </c>
      <c r="BC247" t="b" cm="1">
        <f t="array" ref="BC247">IsPurple('Large Dataset'!R247)</f>
        <v>0</v>
      </c>
      <c r="BD247" t="b" cm="1">
        <f t="array" ref="BD247">IsGreen('Large Dataset'!R247)</f>
        <v>0</v>
      </c>
      <c r="BJ247" t="b" cm="1">
        <f t="array" ref="BJ247">IsRed('Large Dataset'!T247)</f>
        <v>0</v>
      </c>
      <c r="BK247" t="b" cm="1">
        <f t="array" ref="BK247">IsBlue('Large Dataset'!T247)</f>
        <v>0</v>
      </c>
      <c r="BL247" t="b" cm="1">
        <f t="array" ref="BL247">IsPurple('Large Dataset'!T247)</f>
        <v>0</v>
      </c>
      <c r="BM247" t="b" cm="1">
        <f t="array" ref="BM247">IsGreen('Large Dataset'!T247)</f>
        <v>0</v>
      </c>
      <c r="BS247" t="b" cm="1">
        <f t="array" ref="BS247">IsRed('Large Dataset'!U247)</f>
        <v>0</v>
      </c>
      <c r="BT247" t="b" cm="1">
        <f t="array" ref="BT247">IsBlue('Large Dataset'!U247)</f>
        <v>0</v>
      </c>
      <c r="BU247" t="b" cm="1">
        <f t="array" ref="BU247">IsPurple('Large Dataset'!U247)</f>
        <v>0</v>
      </c>
      <c r="BV247" t="b" cm="1">
        <f t="array" ref="BV247">IsGreen('Large Dataset'!U247)</f>
        <v>0</v>
      </c>
    </row>
    <row r="248" spans="7:74">
      <c r="G248" t="b" cm="1">
        <f t="array" ref="G248">IsRed('Large Dataset'!I248)</f>
        <v>0</v>
      </c>
      <c r="H248" t="b" cm="1">
        <f t="array" ref="H248">IsBlue('Large Dataset'!I248)</f>
        <v>0</v>
      </c>
      <c r="I248" t="b" cm="1">
        <f t="array" ref="I248">IsPurple('Large Dataset'!I248)</f>
        <v>0</v>
      </c>
      <c r="J248" t="b" cm="1">
        <f t="array" ref="J248">IsGreen('Large Dataset'!G248)</f>
        <v>0</v>
      </c>
      <c r="P248" t="b" cm="1">
        <f t="array" ref="P248">IsRed('Large Dataset'!K248)</f>
        <v>0</v>
      </c>
      <c r="Q248" t="b" cm="1">
        <f t="array" ref="Q248">IsBlue('Large Dataset'!K248)</f>
        <v>0</v>
      </c>
      <c r="R248" t="b" cm="1">
        <f t="array" ref="R248">IsPurple('Large Dataset'!K248)</f>
        <v>0</v>
      </c>
      <c r="S248" t="b" cm="1">
        <f t="array" ref="S248">IsGreen('Large Dataset'!K248)</f>
        <v>0</v>
      </c>
      <c r="Y248" t="b" cm="1">
        <f t="array" ref="Y248">IsRed('Large Dataset'!M248)</f>
        <v>0</v>
      </c>
      <c r="Z248" t="b" cm="1">
        <f t="array" ref="Z248">IsBlue('Large Dataset'!M248)</f>
        <v>0</v>
      </c>
      <c r="AA248" t="b" cm="1">
        <f t="array" ref="AA248">IsPurple('Large Dataset'!M248)</f>
        <v>0</v>
      </c>
      <c r="AB248" t="b" cm="1">
        <f t="array" ref="AB248">IsGreen('Large Dataset'!M248)</f>
        <v>0</v>
      </c>
      <c r="AH248" t="b" cm="1">
        <f t="array" ref="AH248">IsRed('Large Dataset'!O248)</f>
        <v>0</v>
      </c>
      <c r="AI248" t="b" cm="1">
        <f t="array" ref="AI248">IsBlue('Large Dataset'!O248)</f>
        <v>1</v>
      </c>
      <c r="AJ248" t="b" cm="1">
        <f t="array" ref="AJ248">IsPurple('Large Dataset'!O248)</f>
        <v>0</v>
      </c>
      <c r="AK248" t="b" cm="1">
        <f t="array" ref="AK248">IsGreen('Large Dataset'!O248)</f>
        <v>0</v>
      </c>
      <c r="AR248" t="b" cm="1">
        <f t="array" ref="AR248">IsRed('Large Dataset'!Q248)</f>
        <v>0</v>
      </c>
      <c r="AS248" t="b" cm="1">
        <f t="array" ref="AS248">IsBlue('Large Dataset'!Q248)</f>
        <v>0</v>
      </c>
      <c r="AT248" t="b" cm="1">
        <f t="array" ref="AT248">IsPurple('Large Dataset'!Q248)</f>
        <v>0</v>
      </c>
      <c r="AU248" t="b" cm="1">
        <f t="array" ref="AU248">IsGreen('Large Dataset'!Q248)</f>
        <v>0</v>
      </c>
      <c r="BA248" t="b" cm="1">
        <f t="array" ref="BA248">IsRed('Large Dataset'!R248)</f>
        <v>0</v>
      </c>
      <c r="BB248" t="b" cm="1">
        <f t="array" ref="BB248">IsBlue('Large Dataset'!R248)</f>
        <v>0</v>
      </c>
      <c r="BC248" t="b" cm="1">
        <f t="array" ref="BC248">IsPurple('Large Dataset'!R248)</f>
        <v>0</v>
      </c>
      <c r="BD248" t="b" cm="1">
        <f t="array" ref="BD248">IsGreen('Large Dataset'!R248)</f>
        <v>0</v>
      </c>
      <c r="BJ248" t="b" cm="1">
        <f t="array" ref="BJ248">IsRed('Large Dataset'!T248)</f>
        <v>0</v>
      </c>
      <c r="BK248" t="b" cm="1">
        <f t="array" ref="BK248">IsBlue('Large Dataset'!T248)</f>
        <v>0</v>
      </c>
      <c r="BL248" t="b" cm="1">
        <f t="array" ref="BL248">IsPurple('Large Dataset'!T248)</f>
        <v>0</v>
      </c>
      <c r="BM248" t="b" cm="1">
        <f t="array" ref="BM248">IsGreen('Large Dataset'!T248)</f>
        <v>0</v>
      </c>
      <c r="BS248" t="b" cm="1">
        <f t="array" ref="BS248">IsRed('Large Dataset'!U248)</f>
        <v>0</v>
      </c>
      <c r="BT248" t="b" cm="1">
        <f t="array" ref="BT248">IsBlue('Large Dataset'!U248)</f>
        <v>0</v>
      </c>
      <c r="BU248" t="b" cm="1">
        <f t="array" ref="BU248">IsPurple('Large Dataset'!U248)</f>
        <v>0</v>
      </c>
      <c r="BV248" t="b" cm="1">
        <f t="array" ref="BV248">IsGreen('Large Dataset'!U248)</f>
        <v>0</v>
      </c>
    </row>
    <row r="249" spans="7:74">
      <c r="G249" t="b" cm="1">
        <f t="array" ref="G249">IsRed('Large Dataset'!I249)</f>
        <v>0</v>
      </c>
      <c r="H249" t="b" cm="1">
        <f t="array" ref="H249">IsBlue('Large Dataset'!I249)</f>
        <v>0</v>
      </c>
      <c r="I249" t="b" cm="1">
        <f t="array" ref="I249">IsPurple('Large Dataset'!I249)</f>
        <v>0</v>
      </c>
      <c r="J249" t="b" cm="1">
        <f t="array" ref="J249">IsGreen('Large Dataset'!G249)</f>
        <v>0</v>
      </c>
      <c r="P249" t="b" cm="1">
        <f t="array" ref="P249">IsRed('Large Dataset'!K249)</f>
        <v>0</v>
      </c>
      <c r="Q249" t="b" cm="1">
        <f t="array" ref="Q249">IsBlue('Large Dataset'!K249)</f>
        <v>0</v>
      </c>
      <c r="R249" t="b" cm="1">
        <f t="array" ref="R249">IsPurple('Large Dataset'!K249)</f>
        <v>0</v>
      </c>
      <c r="S249" t="b" cm="1">
        <f t="array" ref="S249">IsGreen('Large Dataset'!K249)</f>
        <v>0</v>
      </c>
      <c r="Y249" t="b" cm="1">
        <f t="array" ref="Y249">IsRed('Large Dataset'!M249)</f>
        <v>0</v>
      </c>
      <c r="Z249" t="b" cm="1">
        <f t="array" ref="Z249">IsBlue('Large Dataset'!M249)</f>
        <v>0</v>
      </c>
      <c r="AA249" t="b" cm="1">
        <f t="array" ref="AA249">IsPurple('Large Dataset'!M249)</f>
        <v>0</v>
      </c>
      <c r="AB249" t="b" cm="1">
        <f t="array" ref="AB249">IsGreen('Large Dataset'!M249)</f>
        <v>0</v>
      </c>
      <c r="AH249" t="b" cm="1">
        <f t="array" ref="AH249">IsRed('Large Dataset'!O249)</f>
        <v>0</v>
      </c>
      <c r="AI249" t="b" cm="1">
        <f t="array" ref="AI249">IsBlue('Large Dataset'!O249)</f>
        <v>0</v>
      </c>
      <c r="AJ249" t="b" cm="1">
        <f t="array" ref="AJ249">IsPurple('Large Dataset'!O249)</f>
        <v>0</v>
      </c>
      <c r="AK249" t="b" cm="1">
        <f t="array" ref="AK249">IsGreen('Large Dataset'!O249)</f>
        <v>0</v>
      </c>
      <c r="AR249" t="b" cm="1">
        <f t="array" ref="AR249">IsRed('Large Dataset'!Q249)</f>
        <v>0</v>
      </c>
      <c r="AS249" t="b" cm="1">
        <f t="array" ref="AS249">IsBlue('Large Dataset'!Q249)</f>
        <v>0</v>
      </c>
      <c r="AT249" t="b" cm="1">
        <f t="array" ref="AT249">IsPurple('Large Dataset'!Q249)</f>
        <v>0</v>
      </c>
      <c r="AU249" t="b" cm="1">
        <f t="array" ref="AU249">IsGreen('Large Dataset'!Q249)</f>
        <v>0</v>
      </c>
      <c r="BA249" t="b" cm="1">
        <f t="array" ref="BA249">IsRed('Large Dataset'!R249)</f>
        <v>0</v>
      </c>
      <c r="BB249" t="b" cm="1">
        <f t="array" ref="BB249">IsBlue('Large Dataset'!R249)</f>
        <v>0</v>
      </c>
      <c r="BC249" t="b" cm="1">
        <f t="array" ref="BC249">IsPurple('Large Dataset'!R249)</f>
        <v>0</v>
      </c>
      <c r="BD249" t="b" cm="1">
        <f t="array" ref="BD249">IsGreen('Large Dataset'!R249)</f>
        <v>0</v>
      </c>
      <c r="BJ249" t="b" cm="1">
        <f t="array" ref="BJ249">IsRed('Large Dataset'!T249)</f>
        <v>0</v>
      </c>
      <c r="BK249" t="b" cm="1">
        <f t="array" ref="BK249">IsBlue('Large Dataset'!T249)</f>
        <v>0</v>
      </c>
      <c r="BL249" t="b" cm="1">
        <f t="array" ref="BL249">IsPurple('Large Dataset'!T249)</f>
        <v>0</v>
      </c>
      <c r="BM249" t="b" cm="1">
        <f t="array" ref="BM249">IsGreen('Large Dataset'!T249)</f>
        <v>0</v>
      </c>
      <c r="BS249" t="b" cm="1">
        <f t="array" ref="BS249">IsRed('Large Dataset'!U249)</f>
        <v>0</v>
      </c>
      <c r="BT249" t="b" cm="1">
        <f t="array" ref="BT249">IsBlue('Large Dataset'!U249)</f>
        <v>0</v>
      </c>
      <c r="BU249" t="b" cm="1">
        <f t="array" ref="BU249">IsPurple('Large Dataset'!U249)</f>
        <v>0</v>
      </c>
      <c r="BV249" t="b" cm="1">
        <f t="array" ref="BV249">IsGreen('Large Dataset'!U249)</f>
        <v>0</v>
      </c>
    </row>
    <row r="250" spans="7:74">
      <c r="G250" t="b" cm="1">
        <f t="array" ref="G250">IsRed('Large Dataset'!I250)</f>
        <v>0</v>
      </c>
      <c r="H250" t="b" cm="1">
        <f t="array" ref="H250">IsBlue('Large Dataset'!I250)</f>
        <v>0</v>
      </c>
      <c r="I250" t="b" cm="1">
        <f t="array" ref="I250">IsPurple('Large Dataset'!I250)</f>
        <v>0</v>
      </c>
      <c r="J250" t="b" cm="1">
        <f t="array" ref="J250">IsGreen('Large Dataset'!G250)</f>
        <v>0</v>
      </c>
      <c r="P250" t="b" cm="1">
        <f t="array" ref="P250">IsRed('Large Dataset'!K250)</f>
        <v>0</v>
      </c>
      <c r="Q250" t="b" cm="1">
        <f t="array" ref="Q250">IsBlue('Large Dataset'!K250)</f>
        <v>0</v>
      </c>
      <c r="R250" t="b" cm="1">
        <f t="array" ref="R250">IsPurple('Large Dataset'!K250)</f>
        <v>0</v>
      </c>
      <c r="S250" t="b" cm="1">
        <f t="array" ref="S250">IsGreen('Large Dataset'!K250)</f>
        <v>0</v>
      </c>
      <c r="Y250" t="b" cm="1">
        <f t="array" ref="Y250">IsRed('Large Dataset'!M250)</f>
        <v>0</v>
      </c>
      <c r="Z250" t="b" cm="1">
        <f t="array" ref="Z250">IsBlue('Large Dataset'!M250)</f>
        <v>0</v>
      </c>
      <c r="AA250" t="b" cm="1">
        <f t="array" ref="AA250">IsPurple('Large Dataset'!M250)</f>
        <v>0</v>
      </c>
      <c r="AB250" t="b" cm="1">
        <f t="array" ref="AB250">IsGreen('Large Dataset'!M250)</f>
        <v>0</v>
      </c>
      <c r="AH250" t="b" cm="1">
        <f t="array" ref="AH250">IsRed('Large Dataset'!O250)</f>
        <v>1</v>
      </c>
      <c r="AI250" t="b" cm="1">
        <f t="array" ref="AI250">IsBlue('Large Dataset'!O250)</f>
        <v>0</v>
      </c>
      <c r="AJ250" t="b" cm="1">
        <f t="array" ref="AJ250">IsPurple('Large Dataset'!O250)</f>
        <v>0</v>
      </c>
      <c r="AK250" t="b" cm="1">
        <f t="array" ref="AK250">IsGreen('Large Dataset'!O250)</f>
        <v>0</v>
      </c>
      <c r="AR250" t="b" cm="1">
        <f t="array" ref="AR250">IsRed('Large Dataset'!Q250)</f>
        <v>0</v>
      </c>
      <c r="AS250" t="b" cm="1">
        <f t="array" ref="AS250">IsBlue('Large Dataset'!Q250)</f>
        <v>0</v>
      </c>
      <c r="AT250" t="b" cm="1">
        <f t="array" ref="AT250">IsPurple('Large Dataset'!Q250)</f>
        <v>0</v>
      </c>
      <c r="AU250" t="b" cm="1">
        <f t="array" ref="AU250">IsGreen('Large Dataset'!Q250)</f>
        <v>0</v>
      </c>
      <c r="BA250" t="b" cm="1">
        <f t="array" ref="BA250">IsRed('Large Dataset'!R250)</f>
        <v>0</v>
      </c>
      <c r="BB250" t="b" cm="1">
        <f t="array" ref="BB250">IsBlue('Large Dataset'!R250)</f>
        <v>0</v>
      </c>
      <c r="BC250" t="b" cm="1">
        <f t="array" ref="BC250">IsPurple('Large Dataset'!R250)</f>
        <v>0</v>
      </c>
      <c r="BD250" t="b" cm="1">
        <f t="array" ref="BD250">IsGreen('Large Dataset'!R250)</f>
        <v>0</v>
      </c>
      <c r="BJ250" t="b" cm="1">
        <f t="array" ref="BJ250">IsRed('Large Dataset'!T250)</f>
        <v>0</v>
      </c>
      <c r="BK250" t="b" cm="1">
        <f t="array" ref="BK250">IsBlue('Large Dataset'!T250)</f>
        <v>0</v>
      </c>
      <c r="BL250" t="b" cm="1">
        <f t="array" ref="BL250">IsPurple('Large Dataset'!T250)</f>
        <v>0</v>
      </c>
      <c r="BM250" t="b" cm="1">
        <f t="array" ref="BM250">IsGreen('Large Dataset'!T250)</f>
        <v>0</v>
      </c>
      <c r="BS250" t="b" cm="1">
        <f t="array" ref="BS250">IsRed('Large Dataset'!U250)</f>
        <v>0</v>
      </c>
      <c r="BT250" t="b" cm="1">
        <f t="array" ref="BT250">IsBlue('Large Dataset'!U250)</f>
        <v>0</v>
      </c>
      <c r="BU250" t="b" cm="1">
        <f t="array" ref="BU250">IsPurple('Large Dataset'!U250)</f>
        <v>0</v>
      </c>
      <c r="BV250" t="b" cm="1">
        <f t="array" ref="BV250">IsGreen('Large Dataset'!U250)</f>
        <v>0</v>
      </c>
    </row>
    <row r="251" spans="7:74">
      <c r="G251" t="b" cm="1">
        <f t="array" ref="G251">IsRed('Large Dataset'!I251)</f>
        <v>0</v>
      </c>
      <c r="H251" t="b" cm="1">
        <f t="array" ref="H251">IsBlue('Large Dataset'!I251)</f>
        <v>0</v>
      </c>
      <c r="I251" t="b" cm="1">
        <f t="array" ref="I251">IsPurple('Large Dataset'!I251)</f>
        <v>0</v>
      </c>
      <c r="J251" t="b" cm="1">
        <f t="array" ref="J251">IsGreen('Large Dataset'!G251)</f>
        <v>0</v>
      </c>
      <c r="P251" t="b" cm="1">
        <f t="array" ref="P251">IsRed('Large Dataset'!K251)</f>
        <v>0</v>
      </c>
      <c r="Q251" t="b" cm="1">
        <f t="array" ref="Q251">IsBlue('Large Dataset'!K251)</f>
        <v>0</v>
      </c>
      <c r="R251" t="b" cm="1">
        <f t="array" ref="R251">IsPurple('Large Dataset'!K251)</f>
        <v>0</v>
      </c>
      <c r="S251" t="b" cm="1">
        <f t="array" ref="S251">IsGreen('Large Dataset'!K251)</f>
        <v>0</v>
      </c>
      <c r="Y251" t="b" cm="1">
        <f t="array" ref="Y251">IsRed('Large Dataset'!M251)</f>
        <v>0</v>
      </c>
      <c r="Z251" t="b" cm="1">
        <f t="array" ref="Z251">IsBlue('Large Dataset'!M251)</f>
        <v>0</v>
      </c>
      <c r="AA251" t="b" cm="1">
        <f t="array" ref="AA251">IsPurple('Large Dataset'!M251)</f>
        <v>0</v>
      </c>
      <c r="AB251" t="b" cm="1">
        <f t="array" ref="AB251">IsGreen('Large Dataset'!M251)</f>
        <v>0</v>
      </c>
      <c r="AH251" t="b" cm="1">
        <f t="array" ref="AH251">IsRed('Large Dataset'!O251)</f>
        <v>1</v>
      </c>
      <c r="AI251" t="b" cm="1">
        <f t="array" ref="AI251">IsBlue('Large Dataset'!O251)</f>
        <v>0</v>
      </c>
      <c r="AJ251" t="b" cm="1">
        <f t="array" ref="AJ251">IsPurple('Large Dataset'!O251)</f>
        <v>0</v>
      </c>
      <c r="AK251" t="b" cm="1">
        <f t="array" ref="AK251">IsGreen('Large Dataset'!O251)</f>
        <v>0</v>
      </c>
      <c r="AR251" t="b" cm="1">
        <f t="array" ref="AR251">IsRed('Large Dataset'!Q251)</f>
        <v>0</v>
      </c>
      <c r="AS251" t="b" cm="1">
        <f t="array" ref="AS251">IsBlue('Large Dataset'!Q251)</f>
        <v>0</v>
      </c>
      <c r="AT251" t="b" cm="1">
        <f t="array" ref="AT251">IsPurple('Large Dataset'!Q251)</f>
        <v>0</v>
      </c>
      <c r="AU251" t="b" cm="1">
        <f t="array" ref="AU251">IsGreen('Large Dataset'!Q251)</f>
        <v>0</v>
      </c>
      <c r="BA251" t="b" cm="1">
        <f t="array" ref="BA251">IsRed('Large Dataset'!R251)</f>
        <v>0</v>
      </c>
      <c r="BB251" t="b" cm="1">
        <f t="array" ref="BB251">IsBlue('Large Dataset'!R251)</f>
        <v>0</v>
      </c>
      <c r="BC251" t="b" cm="1">
        <f t="array" ref="BC251">IsPurple('Large Dataset'!R251)</f>
        <v>0</v>
      </c>
      <c r="BD251" t="b" cm="1">
        <f t="array" ref="BD251">IsGreen('Large Dataset'!R251)</f>
        <v>0</v>
      </c>
      <c r="BJ251" t="b" cm="1">
        <f t="array" ref="BJ251">IsRed('Large Dataset'!T251)</f>
        <v>0</v>
      </c>
      <c r="BK251" t="b" cm="1">
        <f t="array" ref="BK251">IsBlue('Large Dataset'!T251)</f>
        <v>0</v>
      </c>
      <c r="BL251" t="b" cm="1">
        <f t="array" ref="BL251">IsPurple('Large Dataset'!T251)</f>
        <v>0</v>
      </c>
      <c r="BM251" t="b" cm="1">
        <f t="array" ref="BM251">IsGreen('Large Dataset'!T251)</f>
        <v>0</v>
      </c>
      <c r="BS251" t="b" cm="1">
        <f t="array" ref="BS251">IsRed('Large Dataset'!U251)</f>
        <v>0</v>
      </c>
      <c r="BT251" t="b" cm="1">
        <f t="array" ref="BT251">IsBlue('Large Dataset'!U251)</f>
        <v>0</v>
      </c>
      <c r="BU251" t="b" cm="1">
        <f t="array" ref="BU251">IsPurple('Large Dataset'!U251)</f>
        <v>0</v>
      </c>
      <c r="BV251" t="b" cm="1">
        <f t="array" ref="BV251">IsGreen('Large Dataset'!U251)</f>
        <v>0</v>
      </c>
    </row>
    <row r="252" spans="7:74">
      <c r="G252" t="b" cm="1">
        <f t="array" ref="G252">IsRed('Large Dataset'!I252)</f>
        <v>0</v>
      </c>
      <c r="H252" t="b" cm="1">
        <f t="array" ref="H252">IsBlue('Large Dataset'!I252)</f>
        <v>0</v>
      </c>
      <c r="I252" t="b" cm="1">
        <f t="array" ref="I252">IsPurple('Large Dataset'!I252)</f>
        <v>0</v>
      </c>
      <c r="J252" t="b" cm="1">
        <f t="array" ref="J252">IsGreen('Large Dataset'!G252)</f>
        <v>0</v>
      </c>
      <c r="P252" t="b" cm="1">
        <f t="array" ref="P252">IsRed('Large Dataset'!K252)</f>
        <v>0</v>
      </c>
      <c r="Q252" t="b" cm="1">
        <f t="array" ref="Q252">IsBlue('Large Dataset'!K252)</f>
        <v>0</v>
      </c>
      <c r="R252" t="b" cm="1">
        <f t="array" ref="R252">IsPurple('Large Dataset'!K252)</f>
        <v>0</v>
      </c>
      <c r="S252" t="b" cm="1">
        <f t="array" ref="S252">IsGreen('Large Dataset'!K252)</f>
        <v>0</v>
      </c>
      <c r="Y252" t="b" cm="1">
        <f t="array" ref="Y252">IsRed('Large Dataset'!M252)</f>
        <v>0</v>
      </c>
      <c r="Z252" t="b" cm="1">
        <f t="array" ref="Z252">IsBlue('Large Dataset'!M252)</f>
        <v>0</v>
      </c>
      <c r="AA252" t="b" cm="1">
        <f t="array" ref="AA252">IsPurple('Large Dataset'!M252)</f>
        <v>0</v>
      </c>
      <c r="AB252" t="b" cm="1">
        <f t="array" ref="AB252">IsGreen('Large Dataset'!M252)</f>
        <v>0</v>
      </c>
      <c r="AH252" t="b" cm="1">
        <f t="array" ref="AH252">IsRed('Large Dataset'!O252)</f>
        <v>1</v>
      </c>
      <c r="AI252" t="b" cm="1">
        <f t="array" ref="AI252">IsBlue('Large Dataset'!O252)</f>
        <v>0</v>
      </c>
      <c r="AJ252" t="b" cm="1">
        <f t="array" ref="AJ252">IsPurple('Large Dataset'!O252)</f>
        <v>0</v>
      </c>
      <c r="AK252" t="b" cm="1">
        <f t="array" ref="AK252">IsGreen('Large Dataset'!O252)</f>
        <v>0</v>
      </c>
      <c r="AR252" t="b" cm="1">
        <f t="array" ref="AR252">IsRed('Large Dataset'!Q252)</f>
        <v>0</v>
      </c>
      <c r="AS252" t="b" cm="1">
        <f t="array" ref="AS252">IsBlue('Large Dataset'!Q252)</f>
        <v>0</v>
      </c>
      <c r="AT252" t="b" cm="1">
        <f t="array" ref="AT252">IsPurple('Large Dataset'!Q252)</f>
        <v>0</v>
      </c>
      <c r="AU252" t="b" cm="1">
        <f t="array" ref="AU252">IsGreen('Large Dataset'!Q252)</f>
        <v>0</v>
      </c>
      <c r="BA252" t="b" cm="1">
        <f t="array" ref="BA252">IsRed('Large Dataset'!R252)</f>
        <v>0</v>
      </c>
      <c r="BB252" t="b" cm="1">
        <f t="array" ref="BB252">IsBlue('Large Dataset'!R252)</f>
        <v>0</v>
      </c>
      <c r="BC252" t="b" cm="1">
        <f t="array" ref="BC252">IsPurple('Large Dataset'!R252)</f>
        <v>0</v>
      </c>
      <c r="BD252" t="b" cm="1">
        <f t="array" ref="BD252">IsGreen('Large Dataset'!R252)</f>
        <v>0</v>
      </c>
      <c r="BJ252" t="b" cm="1">
        <f t="array" ref="BJ252">IsRed('Large Dataset'!T252)</f>
        <v>0</v>
      </c>
      <c r="BK252" t="b" cm="1">
        <f t="array" ref="BK252">IsBlue('Large Dataset'!T252)</f>
        <v>0</v>
      </c>
      <c r="BL252" t="b" cm="1">
        <f t="array" ref="BL252">IsPurple('Large Dataset'!T252)</f>
        <v>0</v>
      </c>
      <c r="BM252" t="b" cm="1">
        <f t="array" ref="BM252">IsGreen('Large Dataset'!T252)</f>
        <v>0</v>
      </c>
      <c r="BS252" t="b" cm="1">
        <f t="array" ref="BS252">IsRed('Large Dataset'!U252)</f>
        <v>0</v>
      </c>
      <c r="BT252" t="b" cm="1">
        <f t="array" ref="BT252">IsBlue('Large Dataset'!U252)</f>
        <v>0</v>
      </c>
      <c r="BU252" t="b" cm="1">
        <f t="array" ref="BU252">IsPurple('Large Dataset'!U252)</f>
        <v>0</v>
      </c>
      <c r="BV252" t="b" cm="1">
        <f t="array" ref="BV252">IsGreen('Large Dataset'!U252)</f>
        <v>0</v>
      </c>
    </row>
    <row r="253" spans="7:74">
      <c r="G253" t="b" cm="1">
        <f t="array" ref="G253">IsRed('Large Dataset'!I253)</f>
        <v>0</v>
      </c>
      <c r="H253" t="b" cm="1">
        <f t="array" ref="H253">IsBlue('Large Dataset'!I253)</f>
        <v>0</v>
      </c>
      <c r="I253" t="b" cm="1">
        <f t="array" ref="I253">IsPurple('Large Dataset'!I253)</f>
        <v>0</v>
      </c>
      <c r="J253" t="b" cm="1">
        <f t="array" ref="J253">IsGreen('Large Dataset'!G253)</f>
        <v>0</v>
      </c>
      <c r="P253" t="b" cm="1">
        <f t="array" ref="P253">IsRed('Large Dataset'!K253)</f>
        <v>0</v>
      </c>
      <c r="Q253" t="b" cm="1">
        <f t="array" ref="Q253">IsBlue('Large Dataset'!K253)</f>
        <v>0</v>
      </c>
      <c r="R253" t="b" cm="1">
        <f t="array" ref="R253">IsPurple('Large Dataset'!K253)</f>
        <v>0</v>
      </c>
      <c r="S253" t="b" cm="1">
        <f t="array" ref="S253">IsGreen('Large Dataset'!K253)</f>
        <v>0</v>
      </c>
      <c r="Y253" t="b" cm="1">
        <f t="array" ref="Y253">IsRed('Large Dataset'!M253)</f>
        <v>0</v>
      </c>
      <c r="Z253" t="b" cm="1">
        <f t="array" ref="Z253">IsBlue('Large Dataset'!M253)</f>
        <v>0</v>
      </c>
      <c r="AA253" t="b" cm="1">
        <f t="array" ref="AA253">IsPurple('Large Dataset'!M253)</f>
        <v>0</v>
      </c>
      <c r="AB253" t="b" cm="1">
        <f t="array" ref="AB253">IsGreen('Large Dataset'!M253)</f>
        <v>0</v>
      </c>
      <c r="AH253" t="b" cm="1">
        <f t="array" ref="AH253">IsRed('Large Dataset'!O253)</f>
        <v>1</v>
      </c>
      <c r="AI253" t="b" cm="1">
        <f t="array" ref="AI253">IsBlue('Large Dataset'!O253)</f>
        <v>0</v>
      </c>
      <c r="AJ253" t="b" cm="1">
        <f t="array" ref="AJ253">IsPurple('Large Dataset'!O253)</f>
        <v>0</v>
      </c>
      <c r="AK253" t="b" cm="1">
        <f t="array" ref="AK253">IsGreen('Large Dataset'!O253)</f>
        <v>0</v>
      </c>
      <c r="AR253" t="b" cm="1">
        <f t="array" ref="AR253">IsRed('Large Dataset'!Q253)</f>
        <v>0</v>
      </c>
      <c r="AS253" t="b" cm="1">
        <f t="array" ref="AS253">IsBlue('Large Dataset'!Q253)</f>
        <v>0</v>
      </c>
      <c r="AT253" t="b" cm="1">
        <f t="array" ref="AT253">IsPurple('Large Dataset'!Q253)</f>
        <v>0</v>
      </c>
      <c r="AU253" t="b" cm="1">
        <f t="array" ref="AU253">IsGreen('Large Dataset'!Q253)</f>
        <v>0</v>
      </c>
      <c r="BA253" t="b" cm="1">
        <f t="array" ref="BA253">IsRed('Large Dataset'!R253)</f>
        <v>0</v>
      </c>
      <c r="BB253" t="b" cm="1">
        <f t="array" ref="BB253">IsBlue('Large Dataset'!R253)</f>
        <v>0</v>
      </c>
      <c r="BC253" t="b" cm="1">
        <f t="array" ref="BC253">IsPurple('Large Dataset'!R253)</f>
        <v>0</v>
      </c>
      <c r="BD253" t="b" cm="1">
        <f t="array" ref="BD253">IsGreen('Large Dataset'!R253)</f>
        <v>0</v>
      </c>
      <c r="BJ253" t="b" cm="1">
        <f t="array" ref="BJ253">IsRed('Large Dataset'!T253)</f>
        <v>0</v>
      </c>
      <c r="BK253" t="b" cm="1">
        <f t="array" ref="BK253">IsBlue('Large Dataset'!T253)</f>
        <v>0</v>
      </c>
      <c r="BL253" t="b" cm="1">
        <f t="array" ref="BL253">IsPurple('Large Dataset'!T253)</f>
        <v>0</v>
      </c>
      <c r="BM253" t="b" cm="1">
        <f t="array" ref="BM253">IsGreen('Large Dataset'!T253)</f>
        <v>0</v>
      </c>
      <c r="BS253" t="b" cm="1">
        <f t="array" ref="BS253">IsRed('Large Dataset'!U253)</f>
        <v>0</v>
      </c>
      <c r="BT253" t="b" cm="1">
        <f t="array" ref="BT253">IsBlue('Large Dataset'!U253)</f>
        <v>0</v>
      </c>
      <c r="BU253" t="b" cm="1">
        <f t="array" ref="BU253">IsPurple('Large Dataset'!U253)</f>
        <v>0</v>
      </c>
      <c r="BV253" t="b" cm="1">
        <f t="array" ref="BV253">IsGreen('Large Dataset'!U253)</f>
        <v>0</v>
      </c>
    </row>
    <row r="254" spans="7:74">
      <c r="G254" t="b" cm="1">
        <f t="array" ref="G254">IsRed('Large Dataset'!I254)</f>
        <v>0</v>
      </c>
      <c r="H254" t="b" cm="1">
        <f t="array" ref="H254">IsBlue('Large Dataset'!I254)</f>
        <v>0</v>
      </c>
      <c r="I254" t="b" cm="1">
        <f t="array" ref="I254">IsPurple('Large Dataset'!I254)</f>
        <v>0</v>
      </c>
      <c r="J254" t="b" cm="1">
        <f t="array" ref="J254">IsGreen('Large Dataset'!G254)</f>
        <v>0</v>
      </c>
      <c r="P254" t="b" cm="1">
        <f t="array" ref="P254">IsRed('Large Dataset'!K254)</f>
        <v>0</v>
      </c>
      <c r="Q254" t="b" cm="1">
        <f t="array" ref="Q254">IsBlue('Large Dataset'!K254)</f>
        <v>0</v>
      </c>
      <c r="R254" t="b" cm="1">
        <f t="array" ref="R254">IsPurple('Large Dataset'!K254)</f>
        <v>0</v>
      </c>
      <c r="S254" t="b" cm="1">
        <f t="array" ref="S254">IsGreen('Large Dataset'!K254)</f>
        <v>0</v>
      </c>
      <c r="Y254" t="b" cm="1">
        <f t="array" ref="Y254">IsRed('Large Dataset'!M254)</f>
        <v>0</v>
      </c>
      <c r="Z254" t="b" cm="1">
        <f t="array" ref="Z254">IsBlue('Large Dataset'!M254)</f>
        <v>0</v>
      </c>
      <c r="AA254" t="b" cm="1">
        <f t="array" ref="AA254">IsPurple('Large Dataset'!M254)</f>
        <v>0</v>
      </c>
      <c r="AB254" t="b" cm="1">
        <f t="array" ref="AB254">IsGreen('Large Dataset'!M254)</f>
        <v>0</v>
      </c>
      <c r="AH254" t="b" cm="1">
        <f t="array" ref="AH254">IsRed('Large Dataset'!O254)</f>
        <v>0</v>
      </c>
      <c r="AI254" t="b" cm="1">
        <f t="array" ref="AI254">IsBlue('Large Dataset'!O254)</f>
        <v>0</v>
      </c>
      <c r="AJ254" t="b" cm="1">
        <f t="array" ref="AJ254">IsPurple('Large Dataset'!O254)</f>
        <v>0</v>
      </c>
      <c r="AK254" t="b" cm="1">
        <f t="array" ref="AK254">IsGreen('Large Dataset'!O254)</f>
        <v>0</v>
      </c>
      <c r="AR254" t="b" cm="1">
        <f t="array" ref="AR254">IsRed('Large Dataset'!Q254)</f>
        <v>0</v>
      </c>
      <c r="AS254" t="b" cm="1">
        <f t="array" ref="AS254">IsBlue('Large Dataset'!Q254)</f>
        <v>0</v>
      </c>
      <c r="AT254" t="b" cm="1">
        <f t="array" ref="AT254">IsPurple('Large Dataset'!Q254)</f>
        <v>0</v>
      </c>
      <c r="AU254" t="b" cm="1">
        <f t="array" ref="AU254">IsGreen('Large Dataset'!Q254)</f>
        <v>0</v>
      </c>
      <c r="BA254" t="b" cm="1">
        <f t="array" ref="BA254">IsRed('Large Dataset'!R254)</f>
        <v>0</v>
      </c>
      <c r="BB254" t="b" cm="1">
        <f t="array" ref="BB254">IsBlue('Large Dataset'!R254)</f>
        <v>0</v>
      </c>
      <c r="BC254" t="b" cm="1">
        <f t="array" ref="BC254">IsPurple('Large Dataset'!R254)</f>
        <v>0</v>
      </c>
      <c r="BD254" t="b" cm="1">
        <f t="array" ref="BD254">IsGreen('Large Dataset'!R254)</f>
        <v>0</v>
      </c>
      <c r="BJ254" t="b" cm="1">
        <f t="array" ref="BJ254">IsRed('Large Dataset'!T254)</f>
        <v>0</v>
      </c>
      <c r="BK254" t="b" cm="1">
        <f t="array" ref="BK254">IsBlue('Large Dataset'!T254)</f>
        <v>0</v>
      </c>
      <c r="BL254" t="b" cm="1">
        <f t="array" ref="BL254">IsPurple('Large Dataset'!T254)</f>
        <v>0</v>
      </c>
      <c r="BM254" t="b" cm="1">
        <f t="array" ref="BM254">IsGreen('Large Dataset'!T254)</f>
        <v>0</v>
      </c>
      <c r="BS254" t="b" cm="1">
        <f t="array" ref="BS254">IsRed('Large Dataset'!U254)</f>
        <v>0</v>
      </c>
      <c r="BT254" t="b" cm="1">
        <f t="array" ref="BT254">IsBlue('Large Dataset'!U254)</f>
        <v>0</v>
      </c>
      <c r="BU254" t="b" cm="1">
        <f t="array" ref="BU254">IsPurple('Large Dataset'!U254)</f>
        <v>0</v>
      </c>
      <c r="BV254" t="b" cm="1">
        <f t="array" ref="BV254">IsGreen('Large Dataset'!U254)</f>
        <v>0</v>
      </c>
    </row>
    <row r="255" spans="7:74">
      <c r="G255" t="b" cm="1">
        <f t="array" ref="G255">IsRed('Large Dataset'!I255)</f>
        <v>0</v>
      </c>
      <c r="H255" t="b" cm="1">
        <f t="array" ref="H255">IsBlue('Large Dataset'!I255)</f>
        <v>0</v>
      </c>
      <c r="I255" t="b" cm="1">
        <f t="array" ref="I255">IsPurple('Large Dataset'!I255)</f>
        <v>0</v>
      </c>
      <c r="J255" t="b" cm="1">
        <f t="array" ref="J255">IsGreen('Large Dataset'!G255)</f>
        <v>0</v>
      </c>
      <c r="P255" t="b" cm="1">
        <f t="array" ref="P255">IsRed('Large Dataset'!K255)</f>
        <v>0</v>
      </c>
      <c r="Q255" t="b" cm="1">
        <f t="array" ref="Q255">IsBlue('Large Dataset'!K255)</f>
        <v>0</v>
      </c>
      <c r="R255" t="b" cm="1">
        <f t="array" ref="R255">IsPurple('Large Dataset'!K255)</f>
        <v>0</v>
      </c>
      <c r="S255" t="b" cm="1">
        <f t="array" ref="S255">IsGreen('Large Dataset'!K255)</f>
        <v>0</v>
      </c>
      <c r="Y255" t="b" cm="1">
        <f t="array" ref="Y255">IsRed('Large Dataset'!M255)</f>
        <v>0</v>
      </c>
      <c r="Z255" t="b" cm="1">
        <f t="array" ref="Z255">IsBlue('Large Dataset'!M255)</f>
        <v>0</v>
      </c>
      <c r="AA255" t="b" cm="1">
        <f t="array" ref="AA255">IsPurple('Large Dataset'!M255)</f>
        <v>0</v>
      </c>
      <c r="AB255" t="b" cm="1">
        <f t="array" ref="AB255">IsGreen('Large Dataset'!M255)</f>
        <v>0</v>
      </c>
      <c r="AH255" t="b" cm="1">
        <f t="array" ref="AH255">IsRed('Large Dataset'!O255)</f>
        <v>0</v>
      </c>
      <c r="AI255" t="b" cm="1">
        <f t="array" ref="AI255">IsBlue('Large Dataset'!O255)</f>
        <v>1</v>
      </c>
      <c r="AJ255" t="b" cm="1">
        <f t="array" ref="AJ255">IsPurple('Large Dataset'!O255)</f>
        <v>0</v>
      </c>
      <c r="AK255" t="b" cm="1">
        <f t="array" ref="AK255">IsGreen('Large Dataset'!O255)</f>
        <v>0</v>
      </c>
      <c r="AR255" t="b" cm="1">
        <f t="array" ref="AR255">IsRed('Large Dataset'!Q255)</f>
        <v>0</v>
      </c>
      <c r="AS255" t="b" cm="1">
        <f t="array" ref="AS255">IsBlue('Large Dataset'!Q255)</f>
        <v>0</v>
      </c>
      <c r="AT255" t="b" cm="1">
        <f t="array" ref="AT255">IsPurple('Large Dataset'!Q255)</f>
        <v>0</v>
      </c>
      <c r="AU255" t="b" cm="1">
        <f t="array" ref="AU255">IsGreen('Large Dataset'!Q255)</f>
        <v>0</v>
      </c>
      <c r="BA255" t="b" cm="1">
        <f t="array" ref="BA255">IsRed('Large Dataset'!R255)</f>
        <v>0</v>
      </c>
      <c r="BB255" t="b" cm="1">
        <f t="array" ref="BB255">IsBlue('Large Dataset'!R255)</f>
        <v>0</v>
      </c>
      <c r="BC255" t="b" cm="1">
        <f t="array" ref="BC255">IsPurple('Large Dataset'!R255)</f>
        <v>0</v>
      </c>
      <c r="BD255" t="b" cm="1">
        <f t="array" ref="BD255">IsGreen('Large Dataset'!R255)</f>
        <v>0</v>
      </c>
      <c r="BJ255" t="b" cm="1">
        <f t="array" ref="BJ255">IsRed('Large Dataset'!T255)</f>
        <v>0</v>
      </c>
      <c r="BK255" t="b" cm="1">
        <f t="array" ref="BK255">IsBlue('Large Dataset'!T255)</f>
        <v>0</v>
      </c>
      <c r="BL255" t="b" cm="1">
        <f t="array" ref="BL255">IsPurple('Large Dataset'!T255)</f>
        <v>0</v>
      </c>
      <c r="BM255" t="b" cm="1">
        <f t="array" ref="BM255">IsGreen('Large Dataset'!T255)</f>
        <v>0</v>
      </c>
      <c r="BS255" t="b" cm="1">
        <f t="array" ref="BS255">IsRed('Large Dataset'!U255)</f>
        <v>0</v>
      </c>
      <c r="BT255" t="b" cm="1">
        <f t="array" ref="BT255">IsBlue('Large Dataset'!U255)</f>
        <v>0</v>
      </c>
      <c r="BU255" t="b" cm="1">
        <f t="array" ref="BU255">IsPurple('Large Dataset'!U255)</f>
        <v>0</v>
      </c>
      <c r="BV255" t="b" cm="1">
        <f t="array" ref="BV255">IsGreen('Large Dataset'!U255)</f>
        <v>0</v>
      </c>
    </row>
    <row r="256" spans="7:74">
      <c r="G256" t="b" cm="1">
        <f t="array" ref="G256">IsRed('Large Dataset'!I256)</f>
        <v>0</v>
      </c>
      <c r="H256" t="b" cm="1">
        <f t="array" ref="H256">IsBlue('Large Dataset'!I256)</f>
        <v>0</v>
      </c>
      <c r="I256" t="b" cm="1">
        <f t="array" ref="I256">IsPurple('Large Dataset'!I256)</f>
        <v>0</v>
      </c>
      <c r="J256" t="b" cm="1">
        <f t="array" ref="J256">IsGreen('Large Dataset'!G256)</f>
        <v>0</v>
      </c>
      <c r="P256" t="b" cm="1">
        <f t="array" ref="P256">IsRed('Large Dataset'!K256)</f>
        <v>0</v>
      </c>
      <c r="Q256" t="b" cm="1">
        <f t="array" ref="Q256">IsBlue('Large Dataset'!K256)</f>
        <v>0</v>
      </c>
      <c r="R256" t="b" cm="1">
        <f t="array" ref="R256">IsPurple('Large Dataset'!K256)</f>
        <v>0</v>
      </c>
      <c r="S256" t="b" cm="1">
        <f t="array" ref="S256">IsGreen('Large Dataset'!K256)</f>
        <v>0</v>
      </c>
      <c r="Y256" t="b" cm="1">
        <f t="array" ref="Y256">IsRed('Large Dataset'!M256)</f>
        <v>1</v>
      </c>
      <c r="Z256" t="b" cm="1">
        <f t="array" ref="Z256">IsBlue('Large Dataset'!M256)</f>
        <v>0</v>
      </c>
      <c r="AA256" t="b" cm="1">
        <f t="array" ref="AA256">IsPurple('Large Dataset'!M256)</f>
        <v>0</v>
      </c>
      <c r="AB256" t="b" cm="1">
        <f t="array" ref="AB256">IsGreen('Large Dataset'!M256)</f>
        <v>0</v>
      </c>
      <c r="AH256" t="b" cm="1">
        <f t="array" ref="AH256">IsRed('Large Dataset'!O256)</f>
        <v>0</v>
      </c>
      <c r="AI256" t="b" cm="1">
        <f t="array" ref="AI256">IsBlue('Large Dataset'!O256)</f>
        <v>1</v>
      </c>
      <c r="AJ256" t="b" cm="1">
        <f t="array" ref="AJ256">IsPurple('Large Dataset'!O256)</f>
        <v>0</v>
      </c>
      <c r="AK256" t="b" cm="1">
        <f t="array" ref="AK256">IsGreen('Large Dataset'!O256)</f>
        <v>0</v>
      </c>
      <c r="AR256" t="b" cm="1">
        <f t="array" ref="AR256">IsRed('Large Dataset'!Q256)</f>
        <v>0</v>
      </c>
      <c r="AS256" t="b" cm="1">
        <f t="array" ref="AS256">IsBlue('Large Dataset'!Q256)</f>
        <v>0</v>
      </c>
      <c r="AT256" t="b" cm="1">
        <f t="array" ref="AT256">IsPurple('Large Dataset'!Q256)</f>
        <v>0</v>
      </c>
      <c r="AU256" t="b" cm="1">
        <f t="array" ref="AU256">IsGreen('Large Dataset'!Q256)</f>
        <v>0</v>
      </c>
      <c r="BA256" t="b" cm="1">
        <f t="array" ref="BA256">IsRed('Large Dataset'!R256)</f>
        <v>0</v>
      </c>
      <c r="BB256" t="b" cm="1">
        <f t="array" ref="BB256">IsBlue('Large Dataset'!R256)</f>
        <v>0</v>
      </c>
      <c r="BC256" t="b" cm="1">
        <f t="array" ref="BC256">IsPurple('Large Dataset'!R256)</f>
        <v>0</v>
      </c>
      <c r="BD256" t="b" cm="1">
        <f t="array" ref="BD256">IsGreen('Large Dataset'!R256)</f>
        <v>0</v>
      </c>
      <c r="BJ256" t="b" cm="1">
        <f t="array" ref="BJ256">IsRed('Large Dataset'!T256)</f>
        <v>0</v>
      </c>
      <c r="BK256" t="b" cm="1">
        <f t="array" ref="BK256">IsBlue('Large Dataset'!T256)</f>
        <v>0</v>
      </c>
      <c r="BL256" t="b" cm="1">
        <f t="array" ref="BL256">IsPurple('Large Dataset'!T256)</f>
        <v>0</v>
      </c>
      <c r="BM256" t="b" cm="1">
        <f t="array" ref="BM256">IsGreen('Large Dataset'!T256)</f>
        <v>0</v>
      </c>
      <c r="BS256" t="b" cm="1">
        <f t="array" ref="BS256">IsRed('Large Dataset'!U256)</f>
        <v>0</v>
      </c>
      <c r="BT256" t="b" cm="1">
        <f t="array" ref="BT256">IsBlue('Large Dataset'!U256)</f>
        <v>0</v>
      </c>
      <c r="BU256" t="b" cm="1">
        <f t="array" ref="BU256">IsPurple('Large Dataset'!U256)</f>
        <v>0</v>
      </c>
      <c r="BV256" t="b" cm="1">
        <f t="array" ref="BV256">IsGreen('Large Dataset'!U256)</f>
        <v>0</v>
      </c>
    </row>
    <row r="257" spans="7:74">
      <c r="G257" t="b" cm="1">
        <f t="array" ref="G257">IsRed('Large Dataset'!I257)</f>
        <v>0</v>
      </c>
      <c r="H257" t="b" cm="1">
        <f t="array" ref="H257">IsBlue('Large Dataset'!I257)</f>
        <v>0</v>
      </c>
      <c r="I257" t="b" cm="1">
        <f t="array" ref="I257">IsPurple('Large Dataset'!I257)</f>
        <v>0</v>
      </c>
      <c r="J257" t="b" cm="1">
        <f t="array" ref="J257">IsGreen('Large Dataset'!G257)</f>
        <v>0</v>
      </c>
      <c r="P257" t="b" cm="1">
        <f t="array" ref="P257">IsRed('Large Dataset'!K257)</f>
        <v>0</v>
      </c>
      <c r="Q257" t="b" cm="1">
        <f t="array" ref="Q257">IsBlue('Large Dataset'!K257)</f>
        <v>0</v>
      </c>
      <c r="R257" t="b" cm="1">
        <f t="array" ref="R257">IsPurple('Large Dataset'!K257)</f>
        <v>0</v>
      </c>
      <c r="S257" t="b" cm="1">
        <f t="array" ref="S257">IsGreen('Large Dataset'!K257)</f>
        <v>0</v>
      </c>
      <c r="Y257" t="b" cm="1">
        <f t="array" ref="Y257">IsRed('Large Dataset'!M257)</f>
        <v>1</v>
      </c>
      <c r="Z257" t="b" cm="1">
        <f t="array" ref="Z257">IsBlue('Large Dataset'!M257)</f>
        <v>0</v>
      </c>
      <c r="AA257" t="b" cm="1">
        <f t="array" ref="AA257">IsPurple('Large Dataset'!M257)</f>
        <v>0</v>
      </c>
      <c r="AB257" t="b" cm="1">
        <f t="array" ref="AB257">IsGreen('Large Dataset'!M257)</f>
        <v>0</v>
      </c>
      <c r="AH257" t="b" cm="1">
        <f t="array" ref="AH257">IsRed('Large Dataset'!O257)</f>
        <v>0</v>
      </c>
      <c r="AI257" t="b" cm="1">
        <f t="array" ref="AI257">IsBlue('Large Dataset'!O257)</f>
        <v>1</v>
      </c>
      <c r="AJ257" t="b" cm="1">
        <f t="array" ref="AJ257">IsPurple('Large Dataset'!O257)</f>
        <v>0</v>
      </c>
      <c r="AK257" t="b" cm="1">
        <f t="array" ref="AK257">IsGreen('Large Dataset'!O257)</f>
        <v>0</v>
      </c>
      <c r="AR257" t="b" cm="1">
        <f t="array" ref="AR257">IsRed('Large Dataset'!Q257)</f>
        <v>0</v>
      </c>
      <c r="AS257" t="b" cm="1">
        <f t="array" ref="AS257">IsBlue('Large Dataset'!Q257)</f>
        <v>0</v>
      </c>
      <c r="AT257" t="b" cm="1">
        <f t="array" ref="AT257">IsPurple('Large Dataset'!Q257)</f>
        <v>0</v>
      </c>
      <c r="AU257" t="b" cm="1">
        <f t="array" ref="AU257">IsGreen('Large Dataset'!Q257)</f>
        <v>0</v>
      </c>
      <c r="BA257" t="b" cm="1">
        <f t="array" ref="BA257">IsRed('Large Dataset'!R257)</f>
        <v>0</v>
      </c>
      <c r="BB257" t="b" cm="1">
        <f t="array" ref="BB257">IsBlue('Large Dataset'!R257)</f>
        <v>0</v>
      </c>
      <c r="BC257" t="b" cm="1">
        <f t="array" ref="BC257">IsPurple('Large Dataset'!R257)</f>
        <v>0</v>
      </c>
      <c r="BD257" t="b" cm="1">
        <f t="array" ref="BD257">IsGreen('Large Dataset'!R257)</f>
        <v>0</v>
      </c>
      <c r="BJ257" t="b" cm="1">
        <f t="array" ref="BJ257">IsRed('Large Dataset'!T257)</f>
        <v>0</v>
      </c>
      <c r="BK257" t="b" cm="1">
        <f t="array" ref="BK257">IsBlue('Large Dataset'!T257)</f>
        <v>0</v>
      </c>
      <c r="BL257" t="b" cm="1">
        <f t="array" ref="BL257">IsPurple('Large Dataset'!T257)</f>
        <v>0</v>
      </c>
      <c r="BM257" t="b" cm="1">
        <f t="array" ref="BM257">IsGreen('Large Dataset'!T257)</f>
        <v>0</v>
      </c>
      <c r="BS257" t="b" cm="1">
        <f t="array" ref="BS257">IsRed('Large Dataset'!U257)</f>
        <v>0</v>
      </c>
      <c r="BT257" t="b" cm="1">
        <f t="array" ref="BT257">IsBlue('Large Dataset'!U257)</f>
        <v>0</v>
      </c>
      <c r="BU257" t="b" cm="1">
        <f t="array" ref="BU257">IsPurple('Large Dataset'!U257)</f>
        <v>0</v>
      </c>
      <c r="BV257" t="b" cm="1">
        <f t="array" ref="BV257">IsGreen('Large Dataset'!U257)</f>
        <v>0</v>
      </c>
    </row>
    <row r="258" spans="7:74">
      <c r="G258" t="b" cm="1">
        <f t="array" ref="G258">IsRed('Large Dataset'!I258)</f>
        <v>0</v>
      </c>
      <c r="H258" t="b" cm="1">
        <f t="array" ref="H258">IsBlue('Large Dataset'!I258)</f>
        <v>0</v>
      </c>
      <c r="I258" t="b" cm="1">
        <f t="array" ref="I258">IsPurple('Large Dataset'!I258)</f>
        <v>0</v>
      </c>
      <c r="J258" t="b" cm="1">
        <f t="array" ref="J258">IsGreen('Large Dataset'!G258)</f>
        <v>0</v>
      </c>
      <c r="P258" t="b" cm="1">
        <f t="array" ref="P258">IsRed('Large Dataset'!K258)</f>
        <v>0</v>
      </c>
      <c r="Q258" t="b" cm="1">
        <f t="array" ref="Q258">IsBlue('Large Dataset'!K258)</f>
        <v>0</v>
      </c>
      <c r="R258" t="b" cm="1">
        <f t="array" ref="R258">IsPurple('Large Dataset'!K258)</f>
        <v>0</v>
      </c>
      <c r="S258" t="b" cm="1">
        <f t="array" ref="S258">IsGreen('Large Dataset'!K258)</f>
        <v>0</v>
      </c>
      <c r="Y258" t="b" cm="1">
        <f t="array" ref="Y258">IsRed('Large Dataset'!M258)</f>
        <v>0</v>
      </c>
      <c r="Z258" t="b" cm="1">
        <f t="array" ref="Z258">IsBlue('Large Dataset'!M258)</f>
        <v>0</v>
      </c>
      <c r="AA258" t="b" cm="1">
        <f t="array" ref="AA258">IsPurple('Large Dataset'!M258)</f>
        <v>0</v>
      </c>
      <c r="AB258" t="b" cm="1">
        <f t="array" ref="AB258">IsGreen('Large Dataset'!M258)</f>
        <v>0</v>
      </c>
      <c r="AH258" t="b" cm="1">
        <f t="array" ref="AH258">IsRed('Large Dataset'!O258)</f>
        <v>0</v>
      </c>
      <c r="AI258" t="b" cm="1">
        <f t="array" ref="AI258">IsBlue('Large Dataset'!O258)</f>
        <v>1</v>
      </c>
      <c r="AJ258" t="b" cm="1">
        <f t="array" ref="AJ258">IsPurple('Large Dataset'!O258)</f>
        <v>0</v>
      </c>
      <c r="AK258" t="b" cm="1">
        <f t="array" ref="AK258">IsGreen('Large Dataset'!O258)</f>
        <v>0</v>
      </c>
      <c r="AR258" t="b" cm="1">
        <f t="array" ref="AR258">IsRed('Large Dataset'!Q258)</f>
        <v>0</v>
      </c>
      <c r="AS258" t="b" cm="1">
        <f t="array" ref="AS258">IsBlue('Large Dataset'!Q258)</f>
        <v>0</v>
      </c>
      <c r="AT258" t="b" cm="1">
        <f t="array" ref="AT258">IsPurple('Large Dataset'!Q258)</f>
        <v>0</v>
      </c>
      <c r="AU258" t="b" cm="1">
        <f t="array" ref="AU258">IsGreen('Large Dataset'!Q258)</f>
        <v>0</v>
      </c>
      <c r="BA258" t="b" cm="1">
        <f t="array" ref="BA258">IsRed('Large Dataset'!R258)</f>
        <v>0</v>
      </c>
      <c r="BB258" t="b" cm="1">
        <f t="array" ref="BB258">IsBlue('Large Dataset'!R258)</f>
        <v>0</v>
      </c>
      <c r="BC258" t="b" cm="1">
        <f t="array" ref="BC258">IsPurple('Large Dataset'!R258)</f>
        <v>0</v>
      </c>
      <c r="BD258" t="b" cm="1">
        <f t="array" ref="BD258">IsGreen('Large Dataset'!R258)</f>
        <v>0</v>
      </c>
      <c r="BJ258" t="b" cm="1">
        <f t="array" ref="BJ258">IsRed('Large Dataset'!T258)</f>
        <v>0</v>
      </c>
      <c r="BK258" t="b" cm="1">
        <f t="array" ref="BK258">IsBlue('Large Dataset'!T258)</f>
        <v>0</v>
      </c>
      <c r="BL258" t="b" cm="1">
        <f t="array" ref="BL258">IsPurple('Large Dataset'!T258)</f>
        <v>0</v>
      </c>
      <c r="BM258" t="b" cm="1">
        <f t="array" ref="BM258">IsGreen('Large Dataset'!T258)</f>
        <v>0</v>
      </c>
      <c r="BS258" t="b" cm="1">
        <f t="array" ref="BS258">IsRed('Large Dataset'!U258)</f>
        <v>0</v>
      </c>
      <c r="BT258" t="b" cm="1">
        <f t="array" ref="BT258">IsBlue('Large Dataset'!U258)</f>
        <v>0</v>
      </c>
      <c r="BU258" t="b" cm="1">
        <f t="array" ref="BU258">IsPurple('Large Dataset'!U258)</f>
        <v>0</v>
      </c>
      <c r="BV258" t="b" cm="1">
        <f t="array" ref="BV258">IsGreen('Large Dataset'!U258)</f>
        <v>0</v>
      </c>
    </row>
    <row r="259" spans="7:74">
      <c r="G259" t="b" cm="1">
        <f t="array" ref="G259">IsRed('Large Dataset'!I259)</f>
        <v>1</v>
      </c>
      <c r="H259" t="b" cm="1">
        <f t="array" ref="H259">IsBlue('Large Dataset'!I259)</f>
        <v>0</v>
      </c>
      <c r="I259" t="b" cm="1">
        <f t="array" ref="I259">IsPurple('Large Dataset'!I259)</f>
        <v>0</v>
      </c>
      <c r="J259" t="b" cm="1">
        <f t="array" ref="J259">IsGreen('Large Dataset'!G259)</f>
        <v>0</v>
      </c>
      <c r="P259" t="b" cm="1">
        <f t="array" ref="P259">IsRed('Large Dataset'!K259)</f>
        <v>0</v>
      </c>
      <c r="Q259" t="b" cm="1">
        <f t="array" ref="Q259">IsBlue('Large Dataset'!K259)</f>
        <v>0</v>
      </c>
      <c r="R259" t="b" cm="1">
        <f t="array" ref="R259">IsPurple('Large Dataset'!K259)</f>
        <v>0</v>
      </c>
      <c r="S259" t="b" cm="1">
        <f t="array" ref="S259">IsGreen('Large Dataset'!K259)</f>
        <v>0</v>
      </c>
      <c r="Y259" t="b" cm="1">
        <f t="array" ref="Y259">IsRed('Large Dataset'!M259)</f>
        <v>0</v>
      </c>
      <c r="Z259" t="b" cm="1">
        <f t="array" ref="Z259">IsBlue('Large Dataset'!M259)</f>
        <v>0</v>
      </c>
      <c r="AA259" t="b" cm="1">
        <f t="array" ref="AA259">IsPurple('Large Dataset'!M259)</f>
        <v>0</v>
      </c>
      <c r="AB259" t="b" cm="1">
        <f t="array" ref="AB259">IsGreen('Large Dataset'!M259)</f>
        <v>0</v>
      </c>
      <c r="AH259" t="b" cm="1">
        <f t="array" ref="AH259">IsRed('Large Dataset'!O259)</f>
        <v>0</v>
      </c>
      <c r="AI259" t="b" cm="1">
        <f t="array" ref="AI259">IsBlue('Large Dataset'!O259)</f>
        <v>0</v>
      </c>
      <c r="AJ259" t="b" cm="1">
        <f t="array" ref="AJ259">IsPurple('Large Dataset'!O259)</f>
        <v>0</v>
      </c>
      <c r="AK259" t="b" cm="1">
        <f t="array" ref="AK259">IsGreen('Large Dataset'!O259)</f>
        <v>0</v>
      </c>
      <c r="AR259" t="b" cm="1">
        <f t="array" ref="AR259">IsRed('Large Dataset'!Q259)</f>
        <v>0</v>
      </c>
      <c r="AS259" t="b" cm="1">
        <f t="array" ref="AS259">IsBlue('Large Dataset'!Q259)</f>
        <v>0</v>
      </c>
      <c r="AT259" t="b" cm="1">
        <f t="array" ref="AT259">IsPurple('Large Dataset'!Q259)</f>
        <v>0</v>
      </c>
      <c r="AU259" t="b" cm="1">
        <f t="array" ref="AU259">IsGreen('Large Dataset'!Q259)</f>
        <v>0</v>
      </c>
      <c r="BA259" t="b" cm="1">
        <f t="array" ref="BA259">IsRed('Large Dataset'!R259)</f>
        <v>0</v>
      </c>
      <c r="BB259" t="b" cm="1">
        <f t="array" ref="BB259">IsBlue('Large Dataset'!R259)</f>
        <v>0</v>
      </c>
      <c r="BC259" t="b" cm="1">
        <f t="array" ref="BC259">IsPurple('Large Dataset'!R259)</f>
        <v>0</v>
      </c>
      <c r="BD259" t="b" cm="1">
        <f t="array" ref="BD259">IsGreen('Large Dataset'!R259)</f>
        <v>0</v>
      </c>
      <c r="BJ259" t="b" cm="1">
        <f t="array" ref="BJ259">IsRed('Large Dataset'!T259)</f>
        <v>0</v>
      </c>
      <c r="BK259" t="b" cm="1">
        <f t="array" ref="BK259">IsBlue('Large Dataset'!T259)</f>
        <v>0</v>
      </c>
      <c r="BL259" t="b" cm="1">
        <f t="array" ref="BL259">IsPurple('Large Dataset'!T259)</f>
        <v>0</v>
      </c>
      <c r="BM259" t="b" cm="1">
        <f t="array" ref="BM259">IsGreen('Large Dataset'!T259)</f>
        <v>0</v>
      </c>
      <c r="BS259" t="b" cm="1">
        <f t="array" ref="BS259">IsRed('Large Dataset'!U259)</f>
        <v>0</v>
      </c>
      <c r="BT259" t="b" cm="1">
        <f t="array" ref="BT259">IsBlue('Large Dataset'!U259)</f>
        <v>0</v>
      </c>
      <c r="BU259" t="b" cm="1">
        <f t="array" ref="BU259">IsPurple('Large Dataset'!U259)</f>
        <v>0</v>
      </c>
      <c r="BV259" t="b" cm="1">
        <f t="array" ref="BV259">IsGreen('Large Dataset'!U259)</f>
        <v>0</v>
      </c>
    </row>
    <row r="260" spans="7:74">
      <c r="G260" t="b" cm="1">
        <f t="array" ref="G260">IsRed('Large Dataset'!I260)</f>
        <v>0</v>
      </c>
      <c r="H260" t="b" cm="1">
        <f t="array" ref="H260">IsBlue('Large Dataset'!I260)</f>
        <v>0</v>
      </c>
      <c r="I260" t="b" cm="1">
        <f t="array" ref="I260">IsPurple('Large Dataset'!I260)</f>
        <v>0</v>
      </c>
      <c r="J260" t="b" cm="1">
        <f t="array" ref="J260">IsGreen('Large Dataset'!G260)</f>
        <v>0</v>
      </c>
      <c r="P260" t="b" cm="1">
        <f t="array" ref="P260">IsRed('Large Dataset'!K260)</f>
        <v>0</v>
      </c>
      <c r="Q260" t="b" cm="1">
        <f t="array" ref="Q260">IsBlue('Large Dataset'!K260)</f>
        <v>0</v>
      </c>
      <c r="R260" t="b" cm="1">
        <f t="array" ref="R260">IsPurple('Large Dataset'!K260)</f>
        <v>0</v>
      </c>
      <c r="S260" t="b" cm="1">
        <f t="array" ref="S260">IsGreen('Large Dataset'!K260)</f>
        <v>0</v>
      </c>
      <c r="Y260" t="b" cm="1">
        <f t="array" ref="Y260">IsRed('Large Dataset'!M260)</f>
        <v>0</v>
      </c>
      <c r="Z260" t="b" cm="1">
        <f t="array" ref="Z260">IsBlue('Large Dataset'!M260)</f>
        <v>0</v>
      </c>
      <c r="AA260" t="b" cm="1">
        <f t="array" ref="AA260">IsPurple('Large Dataset'!M260)</f>
        <v>0</v>
      </c>
      <c r="AB260" t="b" cm="1">
        <f t="array" ref="AB260">IsGreen('Large Dataset'!M260)</f>
        <v>0</v>
      </c>
      <c r="AH260" t="b" cm="1">
        <f t="array" ref="AH260">IsRed('Large Dataset'!O260)</f>
        <v>0</v>
      </c>
      <c r="AI260" t="b" cm="1">
        <f t="array" ref="AI260">IsBlue('Large Dataset'!O260)</f>
        <v>1</v>
      </c>
      <c r="AJ260" t="b" cm="1">
        <f t="array" ref="AJ260">IsPurple('Large Dataset'!O260)</f>
        <v>0</v>
      </c>
      <c r="AK260" t="b" cm="1">
        <f t="array" ref="AK260">IsGreen('Large Dataset'!O260)</f>
        <v>0</v>
      </c>
      <c r="AR260" t="b" cm="1">
        <f t="array" ref="AR260">IsRed('Large Dataset'!Q260)</f>
        <v>0</v>
      </c>
      <c r="AS260" t="b" cm="1">
        <f t="array" ref="AS260">IsBlue('Large Dataset'!Q260)</f>
        <v>0</v>
      </c>
      <c r="AT260" t="b" cm="1">
        <f t="array" ref="AT260">IsPurple('Large Dataset'!Q260)</f>
        <v>0</v>
      </c>
      <c r="AU260" t="b" cm="1">
        <f t="array" ref="AU260">IsGreen('Large Dataset'!Q260)</f>
        <v>0</v>
      </c>
      <c r="BA260" t="b" cm="1">
        <f t="array" ref="BA260">IsRed('Large Dataset'!R260)</f>
        <v>0</v>
      </c>
      <c r="BB260" t="b" cm="1">
        <f t="array" ref="BB260">IsBlue('Large Dataset'!R260)</f>
        <v>0</v>
      </c>
      <c r="BC260" t="b" cm="1">
        <f t="array" ref="BC260">IsPurple('Large Dataset'!R260)</f>
        <v>0</v>
      </c>
      <c r="BD260" t="b" cm="1">
        <f t="array" ref="BD260">IsGreen('Large Dataset'!R260)</f>
        <v>0</v>
      </c>
      <c r="BJ260" t="b" cm="1">
        <f t="array" ref="BJ260">IsRed('Large Dataset'!T260)</f>
        <v>0</v>
      </c>
      <c r="BK260" t="b" cm="1">
        <f t="array" ref="BK260">IsBlue('Large Dataset'!T260)</f>
        <v>0</v>
      </c>
      <c r="BL260" t="b" cm="1">
        <f t="array" ref="BL260">IsPurple('Large Dataset'!T260)</f>
        <v>0</v>
      </c>
      <c r="BM260" t="b" cm="1">
        <f t="array" ref="BM260">IsGreen('Large Dataset'!T260)</f>
        <v>0</v>
      </c>
      <c r="BS260" t="b" cm="1">
        <f t="array" ref="BS260">IsRed('Large Dataset'!U260)</f>
        <v>0</v>
      </c>
      <c r="BT260" t="b" cm="1">
        <f t="array" ref="BT260">IsBlue('Large Dataset'!U260)</f>
        <v>0</v>
      </c>
      <c r="BU260" t="b" cm="1">
        <f t="array" ref="BU260">IsPurple('Large Dataset'!U260)</f>
        <v>0</v>
      </c>
      <c r="BV260" t="b" cm="1">
        <f t="array" ref="BV260">IsGreen('Large Dataset'!U260)</f>
        <v>0</v>
      </c>
    </row>
    <row r="261" spans="7:74">
      <c r="G261" t="b" cm="1">
        <f t="array" ref="G261">IsRed('Large Dataset'!I261)</f>
        <v>0</v>
      </c>
      <c r="H261" t="b" cm="1">
        <f t="array" ref="H261">IsBlue('Large Dataset'!I261)</f>
        <v>0</v>
      </c>
      <c r="I261" t="b" cm="1">
        <f t="array" ref="I261">IsPurple('Large Dataset'!I261)</f>
        <v>0</v>
      </c>
      <c r="J261" t="b" cm="1">
        <f t="array" ref="J261">IsGreen('Large Dataset'!G261)</f>
        <v>0</v>
      </c>
      <c r="P261" t="b" cm="1">
        <f t="array" ref="P261">IsRed('Large Dataset'!K261)</f>
        <v>0</v>
      </c>
      <c r="Q261" t="b" cm="1">
        <f t="array" ref="Q261">IsBlue('Large Dataset'!K261)</f>
        <v>0</v>
      </c>
      <c r="R261" t="b" cm="1">
        <f t="array" ref="R261">IsPurple('Large Dataset'!K261)</f>
        <v>0</v>
      </c>
      <c r="S261" t="b" cm="1">
        <f t="array" ref="S261">IsGreen('Large Dataset'!K261)</f>
        <v>0</v>
      </c>
      <c r="Y261" t="b" cm="1">
        <f t="array" ref="Y261">IsRed('Large Dataset'!M261)</f>
        <v>0</v>
      </c>
      <c r="Z261" t="b" cm="1">
        <f t="array" ref="Z261">IsBlue('Large Dataset'!M261)</f>
        <v>0</v>
      </c>
      <c r="AA261" t="b" cm="1">
        <f t="array" ref="AA261">IsPurple('Large Dataset'!M261)</f>
        <v>0</v>
      </c>
      <c r="AB261" t="b" cm="1">
        <f t="array" ref="AB261">IsGreen('Large Dataset'!M261)</f>
        <v>0</v>
      </c>
      <c r="AH261" t="b" cm="1">
        <f t="array" ref="AH261">IsRed('Large Dataset'!O261)</f>
        <v>0</v>
      </c>
      <c r="AI261" t="b" cm="1">
        <f t="array" ref="AI261">IsBlue('Large Dataset'!O261)</f>
        <v>0</v>
      </c>
      <c r="AJ261" t="b" cm="1">
        <f t="array" ref="AJ261">IsPurple('Large Dataset'!O261)</f>
        <v>0</v>
      </c>
      <c r="AK261" t="b" cm="1">
        <f t="array" ref="AK261">IsGreen('Large Dataset'!O261)</f>
        <v>0</v>
      </c>
      <c r="AR261" t="b" cm="1">
        <f t="array" ref="AR261">IsRed('Large Dataset'!Q261)</f>
        <v>0</v>
      </c>
      <c r="AS261" t="b" cm="1">
        <f t="array" ref="AS261">IsBlue('Large Dataset'!Q261)</f>
        <v>0</v>
      </c>
      <c r="AT261" t="b" cm="1">
        <f t="array" ref="AT261">IsPurple('Large Dataset'!Q261)</f>
        <v>0</v>
      </c>
      <c r="AU261" t="b" cm="1">
        <f t="array" ref="AU261">IsGreen('Large Dataset'!Q261)</f>
        <v>0</v>
      </c>
      <c r="BA261" t="b" cm="1">
        <f t="array" ref="BA261">IsRed('Large Dataset'!R261)</f>
        <v>0</v>
      </c>
      <c r="BB261" t="b" cm="1">
        <f t="array" ref="BB261">IsBlue('Large Dataset'!R261)</f>
        <v>0</v>
      </c>
      <c r="BC261" t="b" cm="1">
        <f t="array" ref="BC261">IsPurple('Large Dataset'!R261)</f>
        <v>0</v>
      </c>
      <c r="BD261" t="b" cm="1">
        <f t="array" ref="BD261">IsGreen('Large Dataset'!R261)</f>
        <v>0</v>
      </c>
      <c r="BJ261" t="b" cm="1">
        <f t="array" ref="BJ261">IsRed('Large Dataset'!T261)</f>
        <v>0</v>
      </c>
      <c r="BK261" t="b" cm="1">
        <f t="array" ref="BK261">IsBlue('Large Dataset'!T261)</f>
        <v>0</v>
      </c>
      <c r="BL261" t="b" cm="1">
        <f t="array" ref="BL261">IsPurple('Large Dataset'!T261)</f>
        <v>0</v>
      </c>
      <c r="BM261" t="b" cm="1">
        <f t="array" ref="BM261">IsGreen('Large Dataset'!T261)</f>
        <v>0</v>
      </c>
      <c r="BS261" t="b" cm="1">
        <f t="array" ref="BS261">IsRed('Large Dataset'!U261)</f>
        <v>0</v>
      </c>
      <c r="BT261" t="b" cm="1">
        <f t="array" ref="BT261">IsBlue('Large Dataset'!U261)</f>
        <v>0</v>
      </c>
      <c r="BU261" t="b" cm="1">
        <f t="array" ref="BU261">IsPurple('Large Dataset'!U261)</f>
        <v>0</v>
      </c>
      <c r="BV261" t="b" cm="1">
        <f t="array" ref="BV261">IsGreen('Large Dataset'!U261)</f>
        <v>0</v>
      </c>
    </row>
    <row r="262" spans="7:74">
      <c r="G262" t="b" cm="1">
        <f t="array" ref="G262">IsRed('Large Dataset'!I262)</f>
        <v>0</v>
      </c>
      <c r="H262" t="b" cm="1">
        <f t="array" ref="H262">IsBlue('Large Dataset'!I262)</f>
        <v>0</v>
      </c>
      <c r="I262" t="b" cm="1">
        <f t="array" ref="I262">IsPurple('Large Dataset'!I262)</f>
        <v>0</v>
      </c>
      <c r="J262" t="b" cm="1">
        <f t="array" ref="J262">IsGreen('Large Dataset'!G262)</f>
        <v>0</v>
      </c>
      <c r="P262" t="b" cm="1">
        <f t="array" ref="P262">IsRed('Large Dataset'!K262)</f>
        <v>0</v>
      </c>
      <c r="Q262" t="b" cm="1">
        <f t="array" ref="Q262">IsBlue('Large Dataset'!K262)</f>
        <v>0</v>
      </c>
      <c r="R262" t="b" cm="1">
        <f t="array" ref="R262">IsPurple('Large Dataset'!K262)</f>
        <v>0</v>
      </c>
      <c r="S262" t="b" cm="1">
        <f t="array" ref="S262">IsGreen('Large Dataset'!K262)</f>
        <v>0</v>
      </c>
      <c r="Y262" t="b" cm="1">
        <f t="array" ref="Y262">IsRed('Large Dataset'!M262)</f>
        <v>0</v>
      </c>
      <c r="Z262" t="b" cm="1">
        <f t="array" ref="Z262">IsBlue('Large Dataset'!M262)</f>
        <v>0</v>
      </c>
      <c r="AA262" t="b" cm="1">
        <f t="array" ref="AA262">IsPurple('Large Dataset'!M262)</f>
        <v>0</v>
      </c>
      <c r="AB262" t="b" cm="1">
        <f t="array" ref="AB262">IsGreen('Large Dataset'!M262)</f>
        <v>0</v>
      </c>
      <c r="AH262" t="b" cm="1">
        <f t="array" ref="AH262">IsRed('Large Dataset'!O262)</f>
        <v>0</v>
      </c>
      <c r="AI262" t="b" cm="1">
        <f t="array" ref="AI262">IsBlue('Large Dataset'!O262)</f>
        <v>0</v>
      </c>
      <c r="AJ262" t="b" cm="1">
        <f t="array" ref="AJ262">IsPurple('Large Dataset'!O262)</f>
        <v>0</v>
      </c>
      <c r="AK262" t="b" cm="1">
        <f t="array" ref="AK262">IsGreen('Large Dataset'!O262)</f>
        <v>0</v>
      </c>
      <c r="AR262" t="b" cm="1">
        <f t="array" ref="AR262">IsRed('Large Dataset'!Q262)</f>
        <v>0</v>
      </c>
      <c r="AS262" t="b" cm="1">
        <f t="array" ref="AS262">IsBlue('Large Dataset'!Q262)</f>
        <v>0</v>
      </c>
      <c r="AT262" t="b" cm="1">
        <f t="array" ref="AT262">IsPurple('Large Dataset'!Q262)</f>
        <v>0</v>
      </c>
      <c r="AU262" t="b" cm="1">
        <f t="array" ref="AU262">IsGreen('Large Dataset'!Q262)</f>
        <v>0</v>
      </c>
      <c r="BA262" t="b" cm="1">
        <f t="array" ref="BA262">IsRed('Large Dataset'!R262)</f>
        <v>0</v>
      </c>
      <c r="BB262" t="b" cm="1">
        <f t="array" ref="BB262">IsBlue('Large Dataset'!R262)</f>
        <v>0</v>
      </c>
      <c r="BC262" t="b" cm="1">
        <f t="array" ref="BC262">IsPurple('Large Dataset'!R262)</f>
        <v>0</v>
      </c>
      <c r="BD262" t="b" cm="1">
        <f t="array" ref="BD262">IsGreen('Large Dataset'!R262)</f>
        <v>0</v>
      </c>
      <c r="BJ262" t="b" cm="1">
        <f t="array" ref="BJ262">IsRed('Large Dataset'!T262)</f>
        <v>0</v>
      </c>
      <c r="BK262" t="b" cm="1">
        <f t="array" ref="BK262">IsBlue('Large Dataset'!T262)</f>
        <v>0</v>
      </c>
      <c r="BL262" t="b" cm="1">
        <f t="array" ref="BL262">IsPurple('Large Dataset'!T262)</f>
        <v>0</v>
      </c>
      <c r="BM262" t="b" cm="1">
        <f t="array" ref="BM262">IsGreen('Large Dataset'!T262)</f>
        <v>0</v>
      </c>
      <c r="BS262" t="b" cm="1">
        <f t="array" ref="BS262">IsRed('Large Dataset'!U262)</f>
        <v>0</v>
      </c>
      <c r="BT262" t="b" cm="1">
        <f t="array" ref="BT262">IsBlue('Large Dataset'!U262)</f>
        <v>0</v>
      </c>
      <c r="BU262" t="b" cm="1">
        <f t="array" ref="BU262">IsPurple('Large Dataset'!U262)</f>
        <v>0</v>
      </c>
      <c r="BV262" t="b" cm="1">
        <f t="array" ref="BV262">IsGreen('Large Dataset'!U262)</f>
        <v>0</v>
      </c>
    </row>
    <row r="263" spans="7:74">
      <c r="G263" t="b" cm="1">
        <f t="array" ref="G263">IsRed('Large Dataset'!I263)</f>
        <v>0</v>
      </c>
      <c r="H263" t="b" cm="1">
        <f t="array" ref="H263">IsBlue('Large Dataset'!I263)</f>
        <v>0</v>
      </c>
      <c r="I263" t="b" cm="1">
        <f t="array" ref="I263">IsPurple('Large Dataset'!I263)</f>
        <v>0</v>
      </c>
      <c r="J263" t="b" cm="1">
        <f t="array" ref="J263">IsGreen('Large Dataset'!G263)</f>
        <v>0</v>
      </c>
      <c r="P263" t="b" cm="1">
        <f t="array" ref="P263">IsRed('Large Dataset'!K263)</f>
        <v>0</v>
      </c>
      <c r="Q263" t="b" cm="1">
        <f t="array" ref="Q263">IsBlue('Large Dataset'!K263)</f>
        <v>0</v>
      </c>
      <c r="R263" t="b" cm="1">
        <f t="array" ref="R263">IsPurple('Large Dataset'!K263)</f>
        <v>0</v>
      </c>
      <c r="S263" t="b" cm="1">
        <f t="array" ref="S263">IsGreen('Large Dataset'!K263)</f>
        <v>0</v>
      </c>
      <c r="Y263" t="b" cm="1">
        <f t="array" ref="Y263">IsRed('Large Dataset'!M263)</f>
        <v>0</v>
      </c>
      <c r="Z263" t="b" cm="1">
        <f t="array" ref="Z263">IsBlue('Large Dataset'!M263)</f>
        <v>0</v>
      </c>
      <c r="AA263" t="b" cm="1">
        <f t="array" ref="AA263">IsPurple('Large Dataset'!M263)</f>
        <v>0</v>
      </c>
      <c r="AB263" t="b" cm="1">
        <f t="array" ref="AB263">IsGreen('Large Dataset'!M263)</f>
        <v>0</v>
      </c>
      <c r="AH263" t="b" cm="1">
        <f t="array" ref="AH263">IsRed('Large Dataset'!O263)</f>
        <v>0</v>
      </c>
      <c r="AI263" t="b" cm="1">
        <f t="array" ref="AI263">IsBlue('Large Dataset'!O263)</f>
        <v>0</v>
      </c>
      <c r="AJ263" t="b" cm="1">
        <f t="array" ref="AJ263">IsPurple('Large Dataset'!O263)</f>
        <v>0</v>
      </c>
      <c r="AK263" t="b" cm="1">
        <f t="array" ref="AK263">IsGreen('Large Dataset'!O263)</f>
        <v>0</v>
      </c>
      <c r="AR263" t="b" cm="1">
        <f t="array" ref="AR263">IsRed('Large Dataset'!Q263)</f>
        <v>0</v>
      </c>
      <c r="AS263" t="b" cm="1">
        <f t="array" ref="AS263">IsBlue('Large Dataset'!Q263)</f>
        <v>0</v>
      </c>
      <c r="AT263" t="b" cm="1">
        <f t="array" ref="AT263">IsPurple('Large Dataset'!Q263)</f>
        <v>0</v>
      </c>
      <c r="AU263" t="b" cm="1">
        <f t="array" ref="AU263">IsGreen('Large Dataset'!Q263)</f>
        <v>0</v>
      </c>
      <c r="BA263" t="b" cm="1">
        <f t="array" ref="BA263">IsRed('Large Dataset'!R263)</f>
        <v>0</v>
      </c>
      <c r="BB263" t="b" cm="1">
        <f t="array" ref="BB263">IsBlue('Large Dataset'!R263)</f>
        <v>0</v>
      </c>
      <c r="BC263" t="b" cm="1">
        <f t="array" ref="BC263">IsPurple('Large Dataset'!R263)</f>
        <v>0</v>
      </c>
      <c r="BD263" t="b" cm="1">
        <f t="array" ref="BD263">IsGreen('Large Dataset'!R263)</f>
        <v>0</v>
      </c>
      <c r="BJ263" t="b" cm="1">
        <f t="array" ref="BJ263">IsRed('Large Dataset'!T263)</f>
        <v>0</v>
      </c>
      <c r="BK263" t="b" cm="1">
        <f t="array" ref="BK263">IsBlue('Large Dataset'!T263)</f>
        <v>0</v>
      </c>
      <c r="BL263" t="b" cm="1">
        <f t="array" ref="BL263">IsPurple('Large Dataset'!T263)</f>
        <v>0</v>
      </c>
      <c r="BM263" t="b" cm="1">
        <f t="array" ref="BM263">IsGreen('Large Dataset'!T263)</f>
        <v>0</v>
      </c>
      <c r="BS263" t="b" cm="1">
        <f t="array" ref="BS263">IsRed('Large Dataset'!U263)</f>
        <v>0</v>
      </c>
      <c r="BT263" t="b" cm="1">
        <f t="array" ref="BT263">IsBlue('Large Dataset'!U263)</f>
        <v>0</v>
      </c>
      <c r="BU263" t="b" cm="1">
        <f t="array" ref="BU263">IsPurple('Large Dataset'!U263)</f>
        <v>0</v>
      </c>
      <c r="BV263" t="b" cm="1">
        <f t="array" ref="BV263">IsGreen('Large Dataset'!U263)</f>
        <v>0</v>
      </c>
    </row>
    <row r="264" spans="7:74">
      <c r="G264" t="b" cm="1">
        <f t="array" ref="G264">IsRed('Large Dataset'!I264)</f>
        <v>1</v>
      </c>
      <c r="H264" t="b" cm="1">
        <f t="array" ref="H264">IsBlue('Large Dataset'!I264)</f>
        <v>0</v>
      </c>
      <c r="I264" t="b" cm="1">
        <f t="array" ref="I264">IsPurple('Large Dataset'!I264)</f>
        <v>0</v>
      </c>
      <c r="J264" t="b" cm="1">
        <f t="array" ref="J264">IsGreen('Large Dataset'!G264)</f>
        <v>0</v>
      </c>
      <c r="P264" t="b" cm="1">
        <f t="array" ref="P264">IsRed('Large Dataset'!K264)</f>
        <v>0</v>
      </c>
      <c r="Q264" t="b" cm="1">
        <f t="array" ref="Q264">IsBlue('Large Dataset'!K264)</f>
        <v>0</v>
      </c>
      <c r="R264" t="b" cm="1">
        <f t="array" ref="R264">IsPurple('Large Dataset'!K264)</f>
        <v>0</v>
      </c>
      <c r="S264" t="b" cm="1">
        <f t="array" ref="S264">IsGreen('Large Dataset'!K264)</f>
        <v>0</v>
      </c>
      <c r="Y264" t="b" cm="1">
        <f t="array" ref="Y264">IsRed('Large Dataset'!M264)</f>
        <v>0</v>
      </c>
      <c r="Z264" t="b" cm="1">
        <f t="array" ref="Z264">IsBlue('Large Dataset'!M264)</f>
        <v>0</v>
      </c>
      <c r="AA264" t="b" cm="1">
        <f t="array" ref="AA264">IsPurple('Large Dataset'!M264)</f>
        <v>0</v>
      </c>
      <c r="AB264" t="b" cm="1">
        <f t="array" ref="AB264">IsGreen('Large Dataset'!M264)</f>
        <v>0</v>
      </c>
      <c r="AH264" t="b" cm="1">
        <f t="array" ref="AH264">IsRed('Large Dataset'!O264)</f>
        <v>0</v>
      </c>
      <c r="AI264" t="b" cm="1">
        <f t="array" ref="AI264">IsBlue('Large Dataset'!O264)</f>
        <v>0</v>
      </c>
      <c r="AJ264" t="b" cm="1">
        <f t="array" ref="AJ264">IsPurple('Large Dataset'!O264)</f>
        <v>0</v>
      </c>
      <c r="AK264" t="b" cm="1">
        <f t="array" ref="AK264">IsGreen('Large Dataset'!O264)</f>
        <v>0</v>
      </c>
      <c r="AR264" t="b" cm="1">
        <f t="array" ref="AR264">IsRed('Large Dataset'!Q264)</f>
        <v>0</v>
      </c>
      <c r="AS264" t="b" cm="1">
        <f t="array" ref="AS264">IsBlue('Large Dataset'!Q264)</f>
        <v>0</v>
      </c>
      <c r="AT264" t="b" cm="1">
        <f t="array" ref="AT264">IsPurple('Large Dataset'!Q264)</f>
        <v>0</v>
      </c>
      <c r="AU264" t="b" cm="1">
        <f t="array" ref="AU264">IsGreen('Large Dataset'!Q264)</f>
        <v>0</v>
      </c>
      <c r="BA264" t="b" cm="1">
        <f t="array" ref="BA264">IsRed('Large Dataset'!R264)</f>
        <v>0</v>
      </c>
      <c r="BB264" t="b" cm="1">
        <f t="array" ref="BB264">IsBlue('Large Dataset'!R264)</f>
        <v>0</v>
      </c>
      <c r="BC264" t="b" cm="1">
        <f t="array" ref="BC264">IsPurple('Large Dataset'!R264)</f>
        <v>0</v>
      </c>
      <c r="BD264" t="b" cm="1">
        <f t="array" ref="BD264">IsGreen('Large Dataset'!R264)</f>
        <v>0</v>
      </c>
      <c r="BJ264" t="b" cm="1">
        <f t="array" ref="BJ264">IsRed('Large Dataset'!T264)</f>
        <v>0</v>
      </c>
      <c r="BK264" t="b" cm="1">
        <f t="array" ref="BK264">IsBlue('Large Dataset'!T264)</f>
        <v>0</v>
      </c>
      <c r="BL264" t="b" cm="1">
        <f t="array" ref="BL264">IsPurple('Large Dataset'!T264)</f>
        <v>0</v>
      </c>
      <c r="BM264" t="b" cm="1">
        <f t="array" ref="BM264">IsGreen('Large Dataset'!T264)</f>
        <v>0</v>
      </c>
      <c r="BS264" t="b" cm="1">
        <f t="array" ref="BS264">IsRed('Large Dataset'!U264)</f>
        <v>0</v>
      </c>
      <c r="BT264" t="b" cm="1">
        <f t="array" ref="BT264">IsBlue('Large Dataset'!U264)</f>
        <v>0</v>
      </c>
      <c r="BU264" t="b" cm="1">
        <f t="array" ref="BU264">IsPurple('Large Dataset'!U264)</f>
        <v>0</v>
      </c>
      <c r="BV264" t="b" cm="1">
        <f t="array" ref="BV264">IsGreen('Large Dataset'!U264)</f>
        <v>0</v>
      </c>
    </row>
    <row r="265" spans="7:74">
      <c r="G265" t="b" cm="1">
        <f t="array" ref="G265">IsRed('Large Dataset'!I265)</f>
        <v>0</v>
      </c>
      <c r="H265" t="b" cm="1">
        <f t="array" ref="H265">IsBlue('Large Dataset'!I265)</f>
        <v>0</v>
      </c>
      <c r="I265" t="b" cm="1">
        <f t="array" ref="I265">IsPurple('Large Dataset'!I265)</f>
        <v>0</v>
      </c>
      <c r="J265" t="b" cm="1">
        <f t="array" ref="J265">IsGreen('Large Dataset'!G265)</f>
        <v>0</v>
      </c>
      <c r="P265" t="b" cm="1">
        <f t="array" ref="P265">IsRed('Large Dataset'!K265)</f>
        <v>0</v>
      </c>
      <c r="Q265" t="b" cm="1">
        <f t="array" ref="Q265">IsBlue('Large Dataset'!K265)</f>
        <v>0</v>
      </c>
      <c r="R265" t="b" cm="1">
        <f t="array" ref="R265">IsPurple('Large Dataset'!K265)</f>
        <v>0</v>
      </c>
      <c r="S265" t="b" cm="1">
        <f t="array" ref="S265">IsGreen('Large Dataset'!K265)</f>
        <v>0</v>
      </c>
      <c r="Y265" t="b" cm="1">
        <f t="array" ref="Y265">IsRed('Large Dataset'!M265)</f>
        <v>0</v>
      </c>
      <c r="Z265" t="b" cm="1">
        <f t="array" ref="Z265">IsBlue('Large Dataset'!M265)</f>
        <v>0</v>
      </c>
      <c r="AA265" t="b" cm="1">
        <f t="array" ref="AA265">IsPurple('Large Dataset'!M265)</f>
        <v>0</v>
      </c>
      <c r="AB265" t="b" cm="1">
        <f t="array" ref="AB265">IsGreen('Large Dataset'!M265)</f>
        <v>0</v>
      </c>
      <c r="AH265" t="b" cm="1">
        <f t="array" ref="AH265">IsRed('Large Dataset'!O265)</f>
        <v>0</v>
      </c>
      <c r="AI265" t="b" cm="1">
        <f t="array" ref="AI265">IsBlue('Large Dataset'!O265)</f>
        <v>0</v>
      </c>
      <c r="AJ265" t="b" cm="1">
        <f t="array" ref="AJ265">IsPurple('Large Dataset'!O265)</f>
        <v>0</v>
      </c>
      <c r="AK265" t="b" cm="1">
        <f t="array" ref="AK265">IsGreen('Large Dataset'!O265)</f>
        <v>0</v>
      </c>
      <c r="AR265" t="b" cm="1">
        <f t="array" ref="AR265">IsRed('Large Dataset'!Q265)</f>
        <v>0</v>
      </c>
      <c r="AS265" t="b" cm="1">
        <f t="array" ref="AS265">IsBlue('Large Dataset'!Q265)</f>
        <v>0</v>
      </c>
      <c r="AT265" t="b" cm="1">
        <f t="array" ref="AT265">IsPurple('Large Dataset'!Q265)</f>
        <v>0</v>
      </c>
      <c r="AU265" t="b" cm="1">
        <f t="array" ref="AU265">IsGreen('Large Dataset'!Q265)</f>
        <v>0</v>
      </c>
      <c r="BA265" t="b" cm="1">
        <f t="array" ref="BA265">IsRed('Large Dataset'!R265)</f>
        <v>0</v>
      </c>
      <c r="BB265" t="b" cm="1">
        <f t="array" ref="BB265">IsBlue('Large Dataset'!R265)</f>
        <v>0</v>
      </c>
      <c r="BC265" t="b" cm="1">
        <f t="array" ref="BC265">IsPurple('Large Dataset'!R265)</f>
        <v>0</v>
      </c>
      <c r="BD265" t="b" cm="1">
        <f t="array" ref="BD265">IsGreen('Large Dataset'!R265)</f>
        <v>0</v>
      </c>
      <c r="BJ265" t="b" cm="1">
        <f t="array" ref="BJ265">IsRed('Large Dataset'!T265)</f>
        <v>0</v>
      </c>
      <c r="BK265" t="b" cm="1">
        <f t="array" ref="BK265">IsBlue('Large Dataset'!T265)</f>
        <v>0</v>
      </c>
      <c r="BL265" t="b" cm="1">
        <f t="array" ref="BL265">IsPurple('Large Dataset'!T265)</f>
        <v>0</v>
      </c>
      <c r="BM265" t="b" cm="1">
        <f t="array" ref="BM265">IsGreen('Large Dataset'!T265)</f>
        <v>0</v>
      </c>
      <c r="BS265" t="b" cm="1">
        <f t="array" ref="BS265">IsRed('Large Dataset'!U265)</f>
        <v>0</v>
      </c>
      <c r="BT265" t="b" cm="1">
        <f t="array" ref="BT265">IsBlue('Large Dataset'!U265)</f>
        <v>0</v>
      </c>
      <c r="BU265" t="b" cm="1">
        <f t="array" ref="BU265">IsPurple('Large Dataset'!U265)</f>
        <v>0</v>
      </c>
      <c r="BV265" t="b" cm="1">
        <f t="array" ref="BV265">IsGreen('Large Dataset'!U265)</f>
        <v>0</v>
      </c>
    </row>
    <row r="266" spans="7:74">
      <c r="G266" t="b" cm="1">
        <f t="array" ref="G266">IsRed('Large Dataset'!I266)</f>
        <v>0</v>
      </c>
      <c r="H266" t="b" cm="1">
        <f t="array" ref="H266">IsBlue('Large Dataset'!I266)</f>
        <v>0</v>
      </c>
      <c r="I266" t="b" cm="1">
        <f t="array" ref="I266">IsPurple('Large Dataset'!I266)</f>
        <v>0</v>
      </c>
      <c r="J266" t="b" cm="1">
        <f t="array" ref="J266">IsGreen('Large Dataset'!G266)</f>
        <v>0</v>
      </c>
      <c r="P266" t="b" cm="1">
        <f t="array" ref="P266">IsRed('Large Dataset'!K266)</f>
        <v>0</v>
      </c>
      <c r="Q266" t="b" cm="1">
        <f t="array" ref="Q266">IsBlue('Large Dataset'!K266)</f>
        <v>0</v>
      </c>
      <c r="R266" t="b" cm="1">
        <f t="array" ref="R266">IsPurple('Large Dataset'!K266)</f>
        <v>0</v>
      </c>
      <c r="S266" t="b" cm="1">
        <f t="array" ref="S266">IsGreen('Large Dataset'!K266)</f>
        <v>0</v>
      </c>
      <c r="Y266" t="b" cm="1">
        <f t="array" ref="Y266">IsRed('Large Dataset'!M266)</f>
        <v>0</v>
      </c>
      <c r="Z266" t="b" cm="1">
        <f t="array" ref="Z266">IsBlue('Large Dataset'!M266)</f>
        <v>0</v>
      </c>
      <c r="AA266" t="b" cm="1">
        <f t="array" ref="AA266">IsPurple('Large Dataset'!M266)</f>
        <v>0</v>
      </c>
      <c r="AB266" t="b" cm="1">
        <f t="array" ref="AB266">IsGreen('Large Dataset'!M266)</f>
        <v>0</v>
      </c>
      <c r="AH266" t="b" cm="1">
        <f t="array" ref="AH266">IsRed('Large Dataset'!O266)</f>
        <v>0</v>
      </c>
      <c r="AI266" t="b" cm="1">
        <f t="array" ref="AI266">IsBlue('Large Dataset'!O266)</f>
        <v>0</v>
      </c>
      <c r="AJ266" t="b" cm="1">
        <f t="array" ref="AJ266">IsPurple('Large Dataset'!O266)</f>
        <v>0</v>
      </c>
      <c r="AK266" t="b" cm="1">
        <f t="array" ref="AK266">IsGreen('Large Dataset'!O266)</f>
        <v>0</v>
      </c>
      <c r="AR266" t="b" cm="1">
        <f t="array" ref="AR266">IsRed('Large Dataset'!Q266)</f>
        <v>0</v>
      </c>
      <c r="AS266" t="b" cm="1">
        <f t="array" ref="AS266">IsBlue('Large Dataset'!Q266)</f>
        <v>0</v>
      </c>
      <c r="AT266" t="b" cm="1">
        <f t="array" ref="AT266">IsPurple('Large Dataset'!Q266)</f>
        <v>0</v>
      </c>
      <c r="AU266" t="b" cm="1">
        <f t="array" ref="AU266">IsGreen('Large Dataset'!Q266)</f>
        <v>0</v>
      </c>
      <c r="BA266" t="b" cm="1">
        <f t="array" ref="BA266">IsRed('Large Dataset'!R266)</f>
        <v>0</v>
      </c>
      <c r="BB266" t="b" cm="1">
        <f t="array" ref="BB266">IsBlue('Large Dataset'!R266)</f>
        <v>0</v>
      </c>
      <c r="BC266" t="b" cm="1">
        <f t="array" ref="BC266">IsPurple('Large Dataset'!R266)</f>
        <v>0</v>
      </c>
      <c r="BD266" t="b" cm="1">
        <f t="array" ref="BD266">IsGreen('Large Dataset'!R266)</f>
        <v>0</v>
      </c>
      <c r="BJ266" t="b" cm="1">
        <f t="array" ref="BJ266">IsRed('Large Dataset'!T266)</f>
        <v>0</v>
      </c>
      <c r="BK266" t="b" cm="1">
        <f t="array" ref="BK266">IsBlue('Large Dataset'!T266)</f>
        <v>0</v>
      </c>
      <c r="BL266" t="b" cm="1">
        <f t="array" ref="BL266">IsPurple('Large Dataset'!T266)</f>
        <v>0</v>
      </c>
      <c r="BM266" t="b" cm="1">
        <f t="array" ref="BM266">IsGreen('Large Dataset'!T266)</f>
        <v>0</v>
      </c>
      <c r="BS266" t="b" cm="1">
        <f t="array" ref="BS266">IsRed('Large Dataset'!U266)</f>
        <v>0</v>
      </c>
      <c r="BT266" t="b" cm="1">
        <f t="array" ref="BT266">IsBlue('Large Dataset'!U266)</f>
        <v>0</v>
      </c>
      <c r="BU266" t="b" cm="1">
        <f t="array" ref="BU266">IsPurple('Large Dataset'!U266)</f>
        <v>0</v>
      </c>
      <c r="BV266" t="b" cm="1">
        <f t="array" ref="BV266">IsGreen('Large Dataset'!U266)</f>
        <v>0</v>
      </c>
    </row>
    <row r="267" spans="7:74">
      <c r="G267" t="b" cm="1">
        <f t="array" ref="G267">IsRed('Large Dataset'!I267)</f>
        <v>1</v>
      </c>
      <c r="H267" t="b" cm="1">
        <f t="array" ref="H267">IsBlue('Large Dataset'!I267)</f>
        <v>0</v>
      </c>
      <c r="I267" t="b" cm="1">
        <f t="array" ref="I267">IsPurple('Large Dataset'!I267)</f>
        <v>0</v>
      </c>
      <c r="J267" t="b" cm="1">
        <f t="array" ref="J267">IsGreen('Large Dataset'!G267)</f>
        <v>0</v>
      </c>
      <c r="P267" t="b" cm="1">
        <f t="array" ref="P267">IsRed('Large Dataset'!K267)</f>
        <v>0</v>
      </c>
      <c r="Q267" t="b" cm="1">
        <f t="array" ref="Q267">IsBlue('Large Dataset'!K267)</f>
        <v>0</v>
      </c>
      <c r="R267" t="b" cm="1">
        <f t="array" ref="R267">IsPurple('Large Dataset'!K267)</f>
        <v>0</v>
      </c>
      <c r="S267" t="b" cm="1">
        <f t="array" ref="S267">IsGreen('Large Dataset'!K267)</f>
        <v>0</v>
      </c>
      <c r="Y267" t="b" cm="1">
        <f t="array" ref="Y267">IsRed('Large Dataset'!M267)</f>
        <v>0</v>
      </c>
      <c r="Z267" t="b" cm="1">
        <f t="array" ref="Z267">IsBlue('Large Dataset'!M267)</f>
        <v>0</v>
      </c>
      <c r="AA267" t="b" cm="1">
        <f t="array" ref="AA267">IsPurple('Large Dataset'!M267)</f>
        <v>0</v>
      </c>
      <c r="AB267" t="b" cm="1">
        <f t="array" ref="AB267">IsGreen('Large Dataset'!M267)</f>
        <v>0</v>
      </c>
      <c r="AH267" t="b" cm="1">
        <f t="array" ref="AH267">IsRed('Large Dataset'!O267)</f>
        <v>0</v>
      </c>
      <c r="AI267" t="b" cm="1">
        <f t="array" ref="AI267">IsBlue('Large Dataset'!O267)</f>
        <v>0</v>
      </c>
      <c r="AJ267" t="b" cm="1">
        <f t="array" ref="AJ267">IsPurple('Large Dataset'!O267)</f>
        <v>0</v>
      </c>
      <c r="AK267" t="b" cm="1">
        <f t="array" ref="AK267">IsGreen('Large Dataset'!O267)</f>
        <v>0</v>
      </c>
      <c r="AR267" t="b" cm="1">
        <f t="array" ref="AR267">IsRed('Large Dataset'!Q267)</f>
        <v>0</v>
      </c>
      <c r="AS267" t="b" cm="1">
        <f t="array" ref="AS267">IsBlue('Large Dataset'!Q267)</f>
        <v>0</v>
      </c>
      <c r="AT267" t="b" cm="1">
        <f t="array" ref="AT267">IsPurple('Large Dataset'!Q267)</f>
        <v>0</v>
      </c>
      <c r="AU267" t="b" cm="1">
        <f t="array" ref="AU267">IsGreen('Large Dataset'!Q267)</f>
        <v>0</v>
      </c>
      <c r="BA267" t="b" cm="1">
        <f t="array" ref="BA267">IsRed('Large Dataset'!R267)</f>
        <v>0</v>
      </c>
      <c r="BB267" t="b" cm="1">
        <f t="array" ref="BB267">IsBlue('Large Dataset'!R267)</f>
        <v>0</v>
      </c>
      <c r="BC267" t="b" cm="1">
        <f t="array" ref="BC267">IsPurple('Large Dataset'!R267)</f>
        <v>0</v>
      </c>
      <c r="BD267" t="b" cm="1">
        <f t="array" ref="BD267">IsGreen('Large Dataset'!R267)</f>
        <v>0</v>
      </c>
      <c r="BJ267" t="b" cm="1">
        <f t="array" ref="BJ267">IsRed('Large Dataset'!T267)</f>
        <v>0</v>
      </c>
      <c r="BK267" t="b" cm="1">
        <f t="array" ref="BK267">IsBlue('Large Dataset'!T267)</f>
        <v>0</v>
      </c>
      <c r="BL267" t="b" cm="1">
        <f t="array" ref="BL267">IsPurple('Large Dataset'!T267)</f>
        <v>0</v>
      </c>
      <c r="BM267" t="b" cm="1">
        <f t="array" ref="BM267">IsGreen('Large Dataset'!T267)</f>
        <v>0</v>
      </c>
      <c r="BS267" t="b" cm="1">
        <f t="array" ref="BS267">IsRed('Large Dataset'!U267)</f>
        <v>0</v>
      </c>
      <c r="BT267" t="b" cm="1">
        <f t="array" ref="BT267">IsBlue('Large Dataset'!U267)</f>
        <v>0</v>
      </c>
      <c r="BU267" t="b" cm="1">
        <f t="array" ref="BU267">IsPurple('Large Dataset'!U267)</f>
        <v>0</v>
      </c>
      <c r="BV267" t="b" cm="1">
        <f t="array" ref="BV267">IsGreen('Large Dataset'!U267)</f>
        <v>0</v>
      </c>
    </row>
    <row r="268" spans="7:74">
      <c r="G268" t="b" cm="1">
        <f t="array" ref="G268">IsRed('Large Dataset'!I268)</f>
        <v>0</v>
      </c>
      <c r="H268" t="b" cm="1">
        <f t="array" ref="H268">IsBlue('Large Dataset'!I268)</f>
        <v>0</v>
      </c>
      <c r="I268" t="b" cm="1">
        <f t="array" ref="I268">IsPurple('Large Dataset'!I268)</f>
        <v>0</v>
      </c>
      <c r="J268" t="b" cm="1">
        <f t="array" ref="J268">IsGreen('Large Dataset'!G268)</f>
        <v>0</v>
      </c>
      <c r="P268" t="b" cm="1">
        <f t="array" ref="P268">IsRed('Large Dataset'!K268)</f>
        <v>0</v>
      </c>
      <c r="Q268" t="b" cm="1">
        <f t="array" ref="Q268">IsBlue('Large Dataset'!K268)</f>
        <v>0</v>
      </c>
      <c r="R268" t="b" cm="1">
        <f t="array" ref="R268">IsPurple('Large Dataset'!K268)</f>
        <v>0</v>
      </c>
      <c r="S268" t="b" cm="1">
        <f t="array" ref="S268">IsGreen('Large Dataset'!K268)</f>
        <v>0</v>
      </c>
      <c r="Y268" t="b" cm="1">
        <f t="array" ref="Y268">IsRed('Large Dataset'!M268)</f>
        <v>0</v>
      </c>
      <c r="Z268" t="b" cm="1">
        <f t="array" ref="Z268">IsBlue('Large Dataset'!M268)</f>
        <v>0</v>
      </c>
      <c r="AA268" t="b" cm="1">
        <f t="array" ref="AA268">IsPurple('Large Dataset'!M268)</f>
        <v>0</v>
      </c>
      <c r="AB268" t="b" cm="1">
        <f t="array" ref="AB268">IsGreen('Large Dataset'!M268)</f>
        <v>0</v>
      </c>
      <c r="AH268" t="b" cm="1">
        <f t="array" ref="AH268">IsRed('Large Dataset'!O268)</f>
        <v>0</v>
      </c>
      <c r="AI268" t="b" cm="1">
        <f t="array" ref="AI268">IsBlue('Large Dataset'!O268)</f>
        <v>0</v>
      </c>
      <c r="AJ268" t="b" cm="1">
        <f t="array" ref="AJ268">IsPurple('Large Dataset'!O268)</f>
        <v>0</v>
      </c>
      <c r="AK268" t="b" cm="1">
        <f t="array" ref="AK268">IsGreen('Large Dataset'!O268)</f>
        <v>0</v>
      </c>
      <c r="AR268" t="b" cm="1">
        <f t="array" ref="AR268">IsRed('Large Dataset'!Q268)</f>
        <v>0</v>
      </c>
      <c r="AS268" t="b" cm="1">
        <f t="array" ref="AS268">IsBlue('Large Dataset'!Q268)</f>
        <v>0</v>
      </c>
      <c r="AT268" t="b" cm="1">
        <f t="array" ref="AT268">IsPurple('Large Dataset'!Q268)</f>
        <v>0</v>
      </c>
      <c r="AU268" t="b" cm="1">
        <f t="array" ref="AU268">IsGreen('Large Dataset'!Q268)</f>
        <v>0</v>
      </c>
      <c r="BA268" t="b" cm="1">
        <f t="array" ref="BA268">IsRed('Large Dataset'!R268)</f>
        <v>0</v>
      </c>
      <c r="BB268" t="b" cm="1">
        <f t="array" ref="BB268">IsBlue('Large Dataset'!R268)</f>
        <v>0</v>
      </c>
      <c r="BC268" t="b" cm="1">
        <f t="array" ref="BC268">IsPurple('Large Dataset'!R268)</f>
        <v>0</v>
      </c>
      <c r="BD268" t="b" cm="1">
        <f t="array" ref="BD268">IsGreen('Large Dataset'!R268)</f>
        <v>0</v>
      </c>
      <c r="BJ268" t="b" cm="1">
        <f t="array" ref="BJ268">IsRed('Large Dataset'!T268)</f>
        <v>0</v>
      </c>
      <c r="BK268" t="b" cm="1">
        <f t="array" ref="BK268">IsBlue('Large Dataset'!T268)</f>
        <v>0</v>
      </c>
      <c r="BL268" t="b" cm="1">
        <f t="array" ref="BL268">IsPurple('Large Dataset'!T268)</f>
        <v>0</v>
      </c>
      <c r="BM268" t="b" cm="1">
        <f t="array" ref="BM268">IsGreen('Large Dataset'!T268)</f>
        <v>0</v>
      </c>
      <c r="BS268" t="b" cm="1">
        <f t="array" ref="BS268">IsRed('Large Dataset'!U268)</f>
        <v>0</v>
      </c>
      <c r="BT268" t="b" cm="1">
        <f t="array" ref="BT268">IsBlue('Large Dataset'!U268)</f>
        <v>0</v>
      </c>
      <c r="BU268" t="b" cm="1">
        <f t="array" ref="BU268">IsPurple('Large Dataset'!U268)</f>
        <v>0</v>
      </c>
      <c r="BV268" t="b" cm="1">
        <f t="array" ref="BV268">IsGreen('Large Dataset'!U268)</f>
        <v>0</v>
      </c>
    </row>
    <row r="269" spans="7:74">
      <c r="G269" t="b" cm="1">
        <f t="array" ref="G269">IsRed('Large Dataset'!I269)</f>
        <v>0</v>
      </c>
      <c r="H269" t="b" cm="1">
        <f t="array" ref="H269">IsBlue('Large Dataset'!I269)</f>
        <v>0</v>
      </c>
      <c r="I269" t="b" cm="1">
        <f t="array" ref="I269">IsPurple('Large Dataset'!I269)</f>
        <v>0</v>
      </c>
      <c r="J269" t="b" cm="1">
        <f t="array" ref="J269">IsGreen('Large Dataset'!G269)</f>
        <v>0</v>
      </c>
      <c r="P269" t="b" cm="1">
        <f t="array" ref="P269">IsRed('Large Dataset'!K269)</f>
        <v>0</v>
      </c>
      <c r="Q269" t="b" cm="1">
        <f t="array" ref="Q269">IsBlue('Large Dataset'!K269)</f>
        <v>0</v>
      </c>
      <c r="R269" t="b" cm="1">
        <f t="array" ref="R269">IsPurple('Large Dataset'!K269)</f>
        <v>0</v>
      </c>
      <c r="S269" t="b" cm="1">
        <f t="array" ref="S269">IsGreen('Large Dataset'!K269)</f>
        <v>0</v>
      </c>
      <c r="Y269" t="b" cm="1">
        <f t="array" ref="Y269">IsRed('Large Dataset'!M269)</f>
        <v>0</v>
      </c>
      <c r="Z269" t="b" cm="1">
        <f t="array" ref="Z269">IsBlue('Large Dataset'!M269)</f>
        <v>0</v>
      </c>
      <c r="AA269" t="b" cm="1">
        <f t="array" ref="AA269">IsPurple('Large Dataset'!M269)</f>
        <v>0</v>
      </c>
      <c r="AB269" t="b" cm="1">
        <f t="array" ref="AB269">IsGreen('Large Dataset'!M269)</f>
        <v>0</v>
      </c>
      <c r="AH269" t="b" cm="1">
        <f t="array" ref="AH269">IsRed('Large Dataset'!O269)</f>
        <v>0</v>
      </c>
      <c r="AI269" t="b" cm="1">
        <f t="array" ref="AI269">IsBlue('Large Dataset'!O269)</f>
        <v>0</v>
      </c>
      <c r="AJ269" t="b" cm="1">
        <f t="array" ref="AJ269">IsPurple('Large Dataset'!O269)</f>
        <v>0</v>
      </c>
      <c r="AK269" t="b" cm="1">
        <f t="array" ref="AK269">IsGreen('Large Dataset'!O269)</f>
        <v>0</v>
      </c>
      <c r="AR269" t="b" cm="1">
        <f t="array" ref="AR269">IsRed('Large Dataset'!Q269)</f>
        <v>0</v>
      </c>
      <c r="AS269" t="b" cm="1">
        <f t="array" ref="AS269">IsBlue('Large Dataset'!Q269)</f>
        <v>0</v>
      </c>
      <c r="AT269" t="b" cm="1">
        <f t="array" ref="AT269">IsPurple('Large Dataset'!Q269)</f>
        <v>0</v>
      </c>
      <c r="AU269" t="b" cm="1">
        <f t="array" ref="AU269">IsGreen('Large Dataset'!Q269)</f>
        <v>0</v>
      </c>
      <c r="BA269" t="b" cm="1">
        <f t="array" ref="BA269">IsRed('Large Dataset'!R269)</f>
        <v>0</v>
      </c>
      <c r="BB269" t="b" cm="1">
        <f t="array" ref="BB269">IsBlue('Large Dataset'!R269)</f>
        <v>0</v>
      </c>
      <c r="BC269" t="b" cm="1">
        <f t="array" ref="BC269">IsPurple('Large Dataset'!R269)</f>
        <v>0</v>
      </c>
      <c r="BD269" t="b" cm="1">
        <f t="array" ref="BD269">IsGreen('Large Dataset'!R269)</f>
        <v>0</v>
      </c>
      <c r="BJ269" t="b" cm="1">
        <f t="array" ref="BJ269">IsRed('Large Dataset'!T269)</f>
        <v>0</v>
      </c>
      <c r="BK269" t="b" cm="1">
        <f t="array" ref="BK269">IsBlue('Large Dataset'!T269)</f>
        <v>0</v>
      </c>
      <c r="BL269" t="b" cm="1">
        <f t="array" ref="BL269">IsPurple('Large Dataset'!T269)</f>
        <v>0</v>
      </c>
      <c r="BM269" t="b" cm="1">
        <f t="array" ref="BM269">IsGreen('Large Dataset'!T269)</f>
        <v>0</v>
      </c>
      <c r="BS269" t="b" cm="1">
        <f t="array" ref="BS269">IsRed('Large Dataset'!U269)</f>
        <v>0</v>
      </c>
      <c r="BT269" t="b" cm="1">
        <f t="array" ref="BT269">IsBlue('Large Dataset'!U269)</f>
        <v>0</v>
      </c>
      <c r="BU269" t="b" cm="1">
        <f t="array" ref="BU269">IsPurple('Large Dataset'!U269)</f>
        <v>0</v>
      </c>
      <c r="BV269" t="b" cm="1">
        <f t="array" ref="BV269">IsGreen('Large Dataset'!U269)</f>
        <v>0</v>
      </c>
    </row>
    <row r="270" spans="7:74">
      <c r="G270" t="b" cm="1">
        <f t="array" ref="G270">IsRed('Large Dataset'!I270)</f>
        <v>0</v>
      </c>
      <c r="H270" t="b" cm="1">
        <f t="array" ref="H270">IsBlue('Large Dataset'!I270)</f>
        <v>0</v>
      </c>
      <c r="I270" t="b" cm="1">
        <f t="array" ref="I270">IsPurple('Large Dataset'!I270)</f>
        <v>0</v>
      </c>
      <c r="J270" t="b" cm="1">
        <f t="array" ref="J270">IsGreen('Large Dataset'!G270)</f>
        <v>0</v>
      </c>
      <c r="P270" t="b" cm="1">
        <f t="array" ref="P270">IsRed('Large Dataset'!K270)</f>
        <v>0</v>
      </c>
      <c r="Q270" t="b" cm="1">
        <f t="array" ref="Q270">IsBlue('Large Dataset'!K270)</f>
        <v>0</v>
      </c>
      <c r="R270" t="b" cm="1">
        <f t="array" ref="R270">IsPurple('Large Dataset'!K270)</f>
        <v>0</v>
      </c>
      <c r="S270" t="b" cm="1">
        <f t="array" ref="S270">IsGreen('Large Dataset'!K270)</f>
        <v>0</v>
      </c>
      <c r="Y270" t="b" cm="1">
        <f t="array" ref="Y270">IsRed('Large Dataset'!M270)</f>
        <v>0</v>
      </c>
      <c r="Z270" t="b" cm="1">
        <f t="array" ref="Z270">IsBlue('Large Dataset'!M270)</f>
        <v>0</v>
      </c>
      <c r="AA270" t="b" cm="1">
        <f t="array" ref="AA270">IsPurple('Large Dataset'!M270)</f>
        <v>0</v>
      </c>
      <c r="AB270" t="b" cm="1">
        <f t="array" ref="AB270">IsGreen('Large Dataset'!M270)</f>
        <v>0</v>
      </c>
      <c r="AH270" t="b" cm="1">
        <f t="array" ref="AH270">IsRed('Large Dataset'!O270)</f>
        <v>0</v>
      </c>
      <c r="AI270" t="b" cm="1">
        <f t="array" ref="AI270">IsBlue('Large Dataset'!O270)</f>
        <v>0</v>
      </c>
      <c r="AJ270" t="b" cm="1">
        <f t="array" ref="AJ270">IsPurple('Large Dataset'!O270)</f>
        <v>0</v>
      </c>
      <c r="AK270" t="b" cm="1">
        <f t="array" ref="AK270">IsGreen('Large Dataset'!O270)</f>
        <v>0</v>
      </c>
      <c r="AR270" t="b" cm="1">
        <f t="array" ref="AR270">IsRed('Large Dataset'!Q270)</f>
        <v>0</v>
      </c>
      <c r="AS270" t="b" cm="1">
        <f t="array" ref="AS270">IsBlue('Large Dataset'!Q270)</f>
        <v>0</v>
      </c>
      <c r="AT270" t="b" cm="1">
        <f t="array" ref="AT270">IsPurple('Large Dataset'!Q270)</f>
        <v>0</v>
      </c>
      <c r="AU270" t="b" cm="1">
        <f t="array" ref="AU270">IsGreen('Large Dataset'!Q270)</f>
        <v>0</v>
      </c>
      <c r="BA270" t="b" cm="1">
        <f t="array" ref="BA270">IsRed('Large Dataset'!R270)</f>
        <v>0</v>
      </c>
      <c r="BB270" t="b" cm="1">
        <f t="array" ref="BB270">IsBlue('Large Dataset'!R270)</f>
        <v>0</v>
      </c>
      <c r="BC270" t="b" cm="1">
        <f t="array" ref="BC270">IsPurple('Large Dataset'!R270)</f>
        <v>0</v>
      </c>
      <c r="BD270" t="b" cm="1">
        <f t="array" ref="BD270">IsGreen('Large Dataset'!R270)</f>
        <v>0</v>
      </c>
      <c r="BJ270" t="b" cm="1">
        <f t="array" ref="BJ270">IsRed('Large Dataset'!T270)</f>
        <v>0</v>
      </c>
      <c r="BK270" t="b" cm="1">
        <f t="array" ref="BK270">IsBlue('Large Dataset'!T270)</f>
        <v>0</v>
      </c>
      <c r="BL270" t="b" cm="1">
        <f t="array" ref="BL270">IsPurple('Large Dataset'!T270)</f>
        <v>0</v>
      </c>
      <c r="BM270" t="b" cm="1">
        <f t="array" ref="BM270">IsGreen('Large Dataset'!T270)</f>
        <v>0</v>
      </c>
      <c r="BS270" t="b" cm="1">
        <f t="array" ref="BS270">IsRed('Large Dataset'!U270)</f>
        <v>0</v>
      </c>
      <c r="BT270" t="b" cm="1">
        <f t="array" ref="BT270">IsBlue('Large Dataset'!U270)</f>
        <v>0</v>
      </c>
      <c r="BU270" t="b" cm="1">
        <f t="array" ref="BU270">IsPurple('Large Dataset'!U270)</f>
        <v>0</v>
      </c>
      <c r="BV270" t="b" cm="1">
        <f t="array" ref="BV270">IsGreen('Large Dataset'!U270)</f>
        <v>0</v>
      </c>
    </row>
    <row r="271" spans="7:74">
      <c r="G271" t="b" cm="1">
        <f t="array" ref="G271">IsRed('Large Dataset'!I271)</f>
        <v>0</v>
      </c>
      <c r="H271" t="b" cm="1">
        <f t="array" ref="H271">IsBlue('Large Dataset'!I271)</f>
        <v>0</v>
      </c>
      <c r="I271" t="b" cm="1">
        <f t="array" ref="I271">IsPurple('Large Dataset'!I271)</f>
        <v>0</v>
      </c>
      <c r="J271" t="b" cm="1">
        <f t="array" ref="J271">IsGreen('Large Dataset'!G271)</f>
        <v>0</v>
      </c>
      <c r="P271" t="b" cm="1">
        <f t="array" ref="P271">IsRed('Large Dataset'!K271)</f>
        <v>0</v>
      </c>
      <c r="Q271" t="b" cm="1">
        <f t="array" ref="Q271">IsBlue('Large Dataset'!K271)</f>
        <v>0</v>
      </c>
      <c r="R271" t="b" cm="1">
        <f t="array" ref="R271">IsPurple('Large Dataset'!K271)</f>
        <v>0</v>
      </c>
      <c r="S271" t="b" cm="1">
        <f t="array" ref="S271">IsGreen('Large Dataset'!K271)</f>
        <v>0</v>
      </c>
      <c r="Y271" t="b" cm="1">
        <f t="array" ref="Y271">IsRed('Large Dataset'!M271)</f>
        <v>0</v>
      </c>
      <c r="Z271" t="b" cm="1">
        <f t="array" ref="Z271">IsBlue('Large Dataset'!M271)</f>
        <v>0</v>
      </c>
      <c r="AA271" t="b" cm="1">
        <f t="array" ref="AA271">IsPurple('Large Dataset'!M271)</f>
        <v>0</v>
      </c>
      <c r="AB271" t="b" cm="1">
        <f t="array" ref="AB271">IsGreen('Large Dataset'!M271)</f>
        <v>0</v>
      </c>
      <c r="AH271" t="b" cm="1">
        <f t="array" ref="AH271">IsRed('Large Dataset'!O271)</f>
        <v>0</v>
      </c>
      <c r="AI271" t="b" cm="1">
        <f t="array" ref="AI271">IsBlue('Large Dataset'!O271)</f>
        <v>0</v>
      </c>
      <c r="AJ271" t="b" cm="1">
        <f t="array" ref="AJ271">IsPurple('Large Dataset'!O271)</f>
        <v>0</v>
      </c>
      <c r="AK271" t="b" cm="1">
        <f t="array" ref="AK271">IsGreen('Large Dataset'!O271)</f>
        <v>0</v>
      </c>
      <c r="AR271" t="b" cm="1">
        <f t="array" ref="AR271">IsRed('Large Dataset'!Q271)</f>
        <v>0</v>
      </c>
      <c r="AS271" t="b" cm="1">
        <f t="array" ref="AS271">IsBlue('Large Dataset'!Q271)</f>
        <v>0</v>
      </c>
      <c r="AT271" t="b" cm="1">
        <f t="array" ref="AT271">IsPurple('Large Dataset'!Q271)</f>
        <v>0</v>
      </c>
      <c r="AU271" t="b" cm="1">
        <f t="array" ref="AU271">IsGreen('Large Dataset'!Q271)</f>
        <v>0</v>
      </c>
      <c r="BA271" t="b" cm="1">
        <f t="array" ref="BA271">IsRed('Large Dataset'!R271)</f>
        <v>0</v>
      </c>
      <c r="BB271" t="b" cm="1">
        <f t="array" ref="BB271">IsBlue('Large Dataset'!R271)</f>
        <v>0</v>
      </c>
      <c r="BC271" t="b" cm="1">
        <f t="array" ref="BC271">IsPurple('Large Dataset'!R271)</f>
        <v>0</v>
      </c>
      <c r="BD271" t="b" cm="1">
        <f t="array" ref="BD271">IsGreen('Large Dataset'!R271)</f>
        <v>0</v>
      </c>
      <c r="BJ271" t="b" cm="1">
        <f t="array" ref="BJ271">IsRed('Large Dataset'!T271)</f>
        <v>0</v>
      </c>
      <c r="BK271" t="b" cm="1">
        <f t="array" ref="BK271">IsBlue('Large Dataset'!T271)</f>
        <v>0</v>
      </c>
      <c r="BL271" t="b" cm="1">
        <f t="array" ref="BL271">IsPurple('Large Dataset'!T271)</f>
        <v>0</v>
      </c>
      <c r="BM271" t="b" cm="1">
        <f t="array" ref="BM271">IsGreen('Large Dataset'!T271)</f>
        <v>0</v>
      </c>
      <c r="BS271" t="b" cm="1">
        <f t="array" ref="BS271">IsRed('Large Dataset'!U271)</f>
        <v>0</v>
      </c>
      <c r="BT271" t="b" cm="1">
        <f t="array" ref="BT271">IsBlue('Large Dataset'!U271)</f>
        <v>0</v>
      </c>
      <c r="BU271" t="b" cm="1">
        <f t="array" ref="BU271">IsPurple('Large Dataset'!U271)</f>
        <v>0</v>
      </c>
      <c r="BV271" t="b" cm="1">
        <f t="array" ref="BV271">IsGreen('Large Dataset'!U271)</f>
        <v>0</v>
      </c>
    </row>
    <row r="272" spans="7:74">
      <c r="G272" t="b" cm="1">
        <f t="array" ref="G272">IsRed('Large Dataset'!I272)</f>
        <v>0</v>
      </c>
      <c r="H272" t="b" cm="1">
        <f t="array" ref="H272">IsBlue('Large Dataset'!I272)</f>
        <v>0</v>
      </c>
      <c r="I272" t="b" cm="1">
        <f t="array" ref="I272">IsPurple('Large Dataset'!I272)</f>
        <v>0</v>
      </c>
      <c r="J272" t="b" cm="1">
        <f t="array" ref="J272">IsGreen('Large Dataset'!G272)</f>
        <v>0</v>
      </c>
      <c r="P272" t="b" cm="1">
        <f t="array" ref="P272">IsRed('Large Dataset'!K272)</f>
        <v>0</v>
      </c>
      <c r="Q272" t="b" cm="1">
        <f t="array" ref="Q272">IsBlue('Large Dataset'!K272)</f>
        <v>0</v>
      </c>
      <c r="R272" t="b" cm="1">
        <f t="array" ref="R272">IsPurple('Large Dataset'!K272)</f>
        <v>0</v>
      </c>
      <c r="S272" t="b" cm="1">
        <f t="array" ref="S272">IsGreen('Large Dataset'!K272)</f>
        <v>0</v>
      </c>
      <c r="Y272" t="b" cm="1">
        <f t="array" ref="Y272">IsRed('Large Dataset'!M272)</f>
        <v>1</v>
      </c>
      <c r="Z272" t="b" cm="1">
        <f t="array" ref="Z272">IsBlue('Large Dataset'!M272)</f>
        <v>0</v>
      </c>
      <c r="AA272" t="b" cm="1">
        <f t="array" ref="AA272">IsPurple('Large Dataset'!M272)</f>
        <v>0</v>
      </c>
      <c r="AB272" t="b" cm="1">
        <f t="array" ref="AB272">IsGreen('Large Dataset'!M272)</f>
        <v>0</v>
      </c>
      <c r="AH272" t="b" cm="1">
        <f t="array" ref="AH272">IsRed('Large Dataset'!O272)</f>
        <v>0</v>
      </c>
      <c r="AI272" t="b" cm="1">
        <f t="array" ref="AI272">IsBlue('Large Dataset'!O272)</f>
        <v>0</v>
      </c>
      <c r="AJ272" t="b" cm="1">
        <f t="array" ref="AJ272">IsPurple('Large Dataset'!O272)</f>
        <v>0</v>
      </c>
      <c r="AK272" t="b" cm="1">
        <f t="array" ref="AK272">IsGreen('Large Dataset'!O272)</f>
        <v>0</v>
      </c>
      <c r="AR272" t="b" cm="1">
        <f t="array" ref="AR272">IsRed('Large Dataset'!Q272)</f>
        <v>0</v>
      </c>
      <c r="AS272" t="b" cm="1">
        <f t="array" ref="AS272">IsBlue('Large Dataset'!Q272)</f>
        <v>0</v>
      </c>
      <c r="AT272" t="b" cm="1">
        <f t="array" ref="AT272">IsPurple('Large Dataset'!Q272)</f>
        <v>0</v>
      </c>
      <c r="AU272" t="b" cm="1">
        <f t="array" ref="AU272">IsGreen('Large Dataset'!Q272)</f>
        <v>0</v>
      </c>
      <c r="BA272" t="b" cm="1">
        <f t="array" ref="BA272">IsRed('Large Dataset'!R272)</f>
        <v>0</v>
      </c>
      <c r="BB272" t="b" cm="1">
        <f t="array" ref="BB272">IsBlue('Large Dataset'!R272)</f>
        <v>0</v>
      </c>
      <c r="BC272" t="b" cm="1">
        <f t="array" ref="BC272">IsPurple('Large Dataset'!R272)</f>
        <v>0</v>
      </c>
      <c r="BD272" t="b" cm="1">
        <f t="array" ref="BD272">IsGreen('Large Dataset'!R272)</f>
        <v>0</v>
      </c>
      <c r="BJ272" t="b" cm="1">
        <f t="array" ref="BJ272">IsRed('Large Dataset'!T272)</f>
        <v>0</v>
      </c>
      <c r="BK272" t="b" cm="1">
        <f t="array" ref="BK272">IsBlue('Large Dataset'!T272)</f>
        <v>0</v>
      </c>
      <c r="BL272" t="b" cm="1">
        <f t="array" ref="BL272">IsPurple('Large Dataset'!T272)</f>
        <v>0</v>
      </c>
      <c r="BM272" t="b" cm="1">
        <f t="array" ref="BM272">IsGreen('Large Dataset'!T272)</f>
        <v>0</v>
      </c>
      <c r="BS272" t="b" cm="1">
        <f t="array" ref="BS272">IsRed('Large Dataset'!U272)</f>
        <v>0</v>
      </c>
      <c r="BT272" t="b" cm="1">
        <f t="array" ref="BT272">IsBlue('Large Dataset'!U272)</f>
        <v>0</v>
      </c>
      <c r="BU272" t="b" cm="1">
        <f t="array" ref="BU272">IsPurple('Large Dataset'!U272)</f>
        <v>0</v>
      </c>
      <c r="BV272" t="b" cm="1">
        <f t="array" ref="BV272">IsGreen('Large Dataset'!U272)</f>
        <v>0</v>
      </c>
    </row>
    <row r="273" spans="7:74">
      <c r="G273" t="b" cm="1">
        <f t="array" ref="G273">IsRed('Large Dataset'!I273)</f>
        <v>1</v>
      </c>
      <c r="H273" t="b" cm="1">
        <f t="array" ref="H273">IsBlue('Large Dataset'!I273)</f>
        <v>0</v>
      </c>
      <c r="I273" t="b" cm="1">
        <f t="array" ref="I273">IsPurple('Large Dataset'!I273)</f>
        <v>0</v>
      </c>
      <c r="J273" t="b" cm="1">
        <f t="array" ref="J273">IsGreen('Large Dataset'!G273)</f>
        <v>0</v>
      </c>
      <c r="P273" t="b" cm="1">
        <f t="array" ref="P273">IsRed('Large Dataset'!K273)</f>
        <v>0</v>
      </c>
      <c r="Q273" t="b" cm="1">
        <f t="array" ref="Q273">IsBlue('Large Dataset'!K273)</f>
        <v>0</v>
      </c>
      <c r="R273" t="b" cm="1">
        <f t="array" ref="R273">IsPurple('Large Dataset'!K273)</f>
        <v>0</v>
      </c>
      <c r="S273" t="b" cm="1">
        <f t="array" ref="S273">IsGreen('Large Dataset'!K273)</f>
        <v>0</v>
      </c>
      <c r="Y273" t="b" cm="1">
        <f t="array" ref="Y273">IsRed('Large Dataset'!M273)</f>
        <v>1</v>
      </c>
      <c r="Z273" t="b" cm="1">
        <f t="array" ref="Z273">IsBlue('Large Dataset'!M273)</f>
        <v>0</v>
      </c>
      <c r="AA273" t="b" cm="1">
        <f t="array" ref="AA273">IsPurple('Large Dataset'!M273)</f>
        <v>0</v>
      </c>
      <c r="AB273" t="b" cm="1">
        <f t="array" ref="AB273">IsGreen('Large Dataset'!M273)</f>
        <v>0</v>
      </c>
      <c r="AH273" t="b" cm="1">
        <f t="array" ref="AH273">IsRed('Large Dataset'!O273)</f>
        <v>1</v>
      </c>
      <c r="AI273" t="b" cm="1">
        <f t="array" ref="AI273">IsBlue('Large Dataset'!O273)</f>
        <v>0</v>
      </c>
      <c r="AJ273" t="b" cm="1">
        <f t="array" ref="AJ273">IsPurple('Large Dataset'!O273)</f>
        <v>0</v>
      </c>
      <c r="AK273" t="b" cm="1">
        <f t="array" ref="AK273">IsGreen('Large Dataset'!O273)</f>
        <v>0</v>
      </c>
      <c r="AR273" t="b" cm="1">
        <f t="array" ref="AR273">IsRed('Large Dataset'!Q273)</f>
        <v>0</v>
      </c>
      <c r="AS273" t="b" cm="1">
        <f t="array" ref="AS273">IsBlue('Large Dataset'!Q273)</f>
        <v>0</v>
      </c>
      <c r="AT273" t="b" cm="1">
        <f t="array" ref="AT273">IsPurple('Large Dataset'!Q273)</f>
        <v>0</v>
      </c>
      <c r="AU273" t="b" cm="1">
        <f t="array" ref="AU273">IsGreen('Large Dataset'!Q273)</f>
        <v>0</v>
      </c>
      <c r="BA273" t="b" cm="1">
        <f t="array" ref="BA273">IsRed('Large Dataset'!R273)</f>
        <v>0</v>
      </c>
      <c r="BB273" t="b" cm="1">
        <f t="array" ref="BB273">IsBlue('Large Dataset'!R273)</f>
        <v>0</v>
      </c>
      <c r="BC273" t="b" cm="1">
        <f t="array" ref="BC273">IsPurple('Large Dataset'!R273)</f>
        <v>0</v>
      </c>
      <c r="BD273" t="b" cm="1">
        <f t="array" ref="BD273">IsGreen('Large Dataset'!R273)</f>
        <v>0</v>
      </c>
      <c r="BJ273" t="b" cm="1">
        <f t="array" ref="BJ273">IsRed('Large Dataset'!T273)</f>
        <v>0</v>
      </c>
      <c r="BK273" t="b" cm="1">
        <f t="array" ref="BK273">IsBlue('Large Dataset'!T273)</f>
        <v>0</v>
      </c>
      <c r="BL273" t="b" cm="1">
        <f t="array" ref="BL273">IsPurple('Large Dataset'!T273)</f>
        <v>0</v>
      </c>
      <c r="BM273" t="b" cm="1">
        <f t="array" ref="BM273">IsGreen('Large Dataset'!T273)</f>
        <v>0</v>
      </c>
      <c r="BS273" t="b" cm="1">
        <f t="array" ref="BS273">IsRed('Large Dataset'!U273)</f>
        <v>0</v>
      </c>
      <c r="BT273" t="b" cm="1">
        <f t="array" ref="BT273">IsBlue('Large Dataset'!U273)</f>
        <v>0</v>
      </c>
      <c r="BU273" t="b" cm="1">
        <f t="array" ref="BU273">IsPurple('Large Dataset'!U273)</f>
        <v>0</v>
      </c>
      <c r="BV273" t="b" cm="1">
        <f t="array" ref="BV273">IsGreen('Large Dataset'!U273)</f>
        <v>0</v>
      </c>
    </row>
    <row r="274" spans="7:74">
      <c r="G274" t="b" cm="1">
        <f t="array" ref="G274">IsRed('Large Dataset'!I274)</f>
        <v>1</v>
      </c>
      <c r="H274" t="b" cm="1">
        <f t="array" ref="H274">IsBlue('Large Dataset'!I274)</f>
        <v>0</v>
      </c>
      <c r="I274" t="b" cm="1">
        <f t="array" ref="I274">IsPurple('Large Dataset'!I274)</f>
        <v>0</v>
      </c>
      <c r="J274" t="b" cm="1">
        <f t="array" ref="J274">IsGreen('Large Dataset'!G274)</f>
        <v>0</v>
      </c>
      <c r="P274" t="b" cm="1">
        <f t="array" ref="P274">IsRed('Large Dataset'!K274)</f>
        <v>0</v>
      </c>
      <c r="Q274" t="b" cm="1">
        <f t="array" ref="Q274">IsBlue('Large Dataset'!K274)</f>
        <v>0</v>
      </c>
      <c r="R274" t="b" cm="1">
        <f t="array" ref="R274">IsPurple('Large Dataset'!K274)</f>
        <v>0</v>
      </c>
      <c r="S274" t="b" cm="1">
        <f t="array" ref="S274">IsGreen('Large Dataset'!K274)</f>
        <v>0</v>
      </c>
      <c r="Y274" t="b" cm="1">
        <f t="array" ref="Y274">IsRed('Large Dataset'!M274)</f>
        <v>1</v>
      </c>
      <c r="Z274" t="b" cm="1">
        <f t="array" ref="Z274">IsBlue('Large Dataset'!M274)</f>
        <v>0</v>
      </c>
      <c r="AA274" t="b" cm="1">
        <f t="array" ref="AA274">IsPurple('Large Dataset'!M274)</f>
        <v>0</v>
      </c>
      <c r="AB274" t="b" cm="1">
        <f t="array" ref="AB274">IsGreen('Large Dataset'!M274)</f>
        <v>0</v>
      </c>
      <c r="AH274" t="b" cm="1">
        <f t="array" ref="AH274">IsRed('Large Dataset'!O274)</f>
        <v>1</v>
      </c>
      <c r="AI274" t="b" cm="1">
        <f t="array" ref="AI274">IsBlue('Large Dataset'!O274)</f>
        <v>0</v>
      </c>
      <c r="AJ274" t="b" cm="1">
        <f t="array" ref="AJ274">IsPurple('Large Dataset'!O274)</f>
        <v>0</v>
      </c>
      <c r="AK274" t="b" cm="1">
        <f t="array" ref="AK274">IsGreen('Large Dataset'!O274)</f>
        <v>0</v>
      </c>
      <c r="AR274" t="b" cm="1">
        <f t="array" ref="AR274">IsRed('Large Dataset'!Q274)</f>
        <v>0</v>
      </c>
      <c r="AS274" t="b" cm="1">
        <f t="array" ref="AS274">IsBlue('Large Dataset'!Q274)</f>
        <v>0</v>
      </c>
      <c r="AT274" t="b" cm="1">
        <f t="array" ref="AT274">IsPurple('Large Dataset'!Q274)</f>
        <v>0</v>
      </c>
      <c r="AU274" t="b" cm="1">
        <f t="array" ref="AU274">IsGreen('Large Dataset'!Q274)</f>
        <v>0</v>
      </c>
      <c r="BA274" t="b" cm="1">
        <f t="array" ref="BA274">IsRed('Large Dataset'!R274)</f>
        <v>0</v>
      </c>
      <c r="BB274" t="b" cm="1">
        <f t="array" ref="BB274">IsBlue('Large Dataset'!R274)</f>
        <v>0</v>
      </c>
      <c r="BC274" t="b" cm="1">
        <f t="array" ref="BC274">IsPurple('Large Dataset'!R274)</f>
        <v>0</v>
      </c>
      <c r="BD274" t="b" cm="1">
        <f t="array" ref="BD274">IsGreen('Large Dataset'!R274)</f>
        <v>0</v>
      </c>
      <c r="BJ274" t="b" cm="1">
        <f t="array" ref="BJ274">IsRed('Large Dataset'!T274)</f>
        <v>0</v>
      </c>
      <c r="BK274" t="b" cm="1">
        <f t="array" ref="BK274">IsBlue('Large Dataset'!T274)</f>
        <v>0</v>
      </c>
      <c r="BL274" t="b" cm="1">
        <f t="array" ref="BL274">IsPurple('Large Dataset'!T274)</f>
        <v>0</v>
      </c>
      <c r="BM274" t="b" cm="1">
        <f t="array" ref="BM274">IsGreen('Large Dataset'!T274)</f>
        <v>0</v>
      </c>
      <c r="BS274" t="b" cm="1">
        <f t="array" ref="BS274">IsRed('Large Dataset'!U274)</f>
        <v>0</v>
      </c>
      <c r="BT274" t="b" cm="1">
        <f t="array" ref="BT274">IsBlue('Large Dataset'!U274)</f>
        <v>0</v>
      </c>
      <c r="BU274" t="b" cm="1">
        <f t="array" ref="BU274">IsPurple('Large Dataset'!U274)</f>
        <v>0</v>
      </c>
      <c r="BV274" t="b" cm="1">
        <f t="array" ref="BV274">IsGreen('Large Dataset'!U274)</f>
        <v>0</v>
      </c>
    </row>
    <row r="275" spans="7:74">
      <c r="G275" t="b" cm="1">
        <f t="array" ref="G275">IsRed('Large Dataset'!I275)</f>
        <v>1</v>
      </c>
      <c r="H275" t="b" cm="1">
        <f t="array" ref="H275">IsBlue('Large Dataset'!I275)</f>
        <v>0</v>
      </c>
      <c r="I275" t="b" cm="1">
        <f t="array" ref="I275">IsPurple('Large Dataset'!I275)</f>
        <v>0</v>
      </c>
      <c r="J275" t="b" cm="1">
        <f t="array" ref="J275">IsGreen('Large Dataset'!G275)</f>
        <v>0</v>
      </c>
      <c r="P275" t="b" cm="1">
        <f t="array" ref="P275">IsRed('Large Dataset'!K275)</f>
        <v>0</v>
      </c>
      <c r="Q275" t="b" cm="1">
        <f t="array" ref="Q275">IsBlue('Large Dataset'!K275)</f>
        <v>0</v>
      </c>
      <c r="R275" t="b" cm="1">
        <f t="array" ref="R275">IsPurple('Large Dataset'!K275)</f>
        <v>0</v>
      </c>
      <c r="S275" t="b" cm="1">
        <f t="array" ref="S275">IsGreen('Large Dataset'!K275)</f>
        <v>0</v>
      </c>
      <c r="Y275" t="b" cm="1">
        <f t="array" ref="Y275">IsRed('Large Dataset'!M275)</f>
        <v>0</v>
      </c>
      <c r="Z275" t="b" cm="1">
        <f t="array" ref="Z275">IsBlue('Large Dataset'!M275)</f>
        <v>0</v>
      </c>
      <c r="AA275" t="b" cm="1">
        <f t="array" ref="AA275">IsPurple('Large Dataset'!M275)</f>
        <v>0</v>
      </c>
      <c r="AB275" t="b" cm="1">
        <f t="array" ref="AB275">IsGreen('Large Dataset'!M275)</f>
        <v>0</v>
      </c>
      <c r="AH275" t="b" cm="1">
        <f t="array" ref="AH275">IsRed('Large Dataset'!O275)</f>
        <v>1</v>
      </c>
      <c r="AI275" t="b" cm="1">
        <f t="array" ref="AI275">IsBlue('Large Dataset'!O275)</f>
        <v>0</v>
      </c>
      <c r="AJ275" t="b" cm="1">
        <f t="array" ref="AJ275">IsPurple('Large Dataset'!O275)</f>
        <v>0</v>
      </c>
      <c r="AK275" t="b" cm="1">
        <f t="array" ref="AK275">IsGreen('Large Dataset'!O275)</f>
        <v>0</v>
      </c>
      <c r="AR275" t="b" cm="1">
        <f t="array" ref="AR275">IsRed('Large Dataset'!Q275)</f>
        <v>0</v>
      </c>
      <c r="AS275" t="b" cm="1">
        <f t="array" ref="AS275">IsBlue('Large Dataset'!Q275)</f>
        <v>0</v>
      </c>
      <c r="AT275" t="b" cm="1">
        <f t="array" ref="AT275">IsPurple('Large Dataset'!Q275)</f>
        <v>0</v>
      </c>
      <c r="AU275" t="b" cm="1">
        <f t="array" ref="AU275">IsGreen('Large Dataset'!Q275)</f>
        <v>0</v>
      </c>
      <c r="BA275" t="b" cm="1">
        <f t="array" ref="BA275">IsRed('Large Dataset'!R275)</f>
        <v>0</v>
      </c>
      <c r="BB275" t="b" cm="1">
        <f t="array" ref="BB275">IsBlue('Large Dataset'!R275)</f>
        <v>0</v>
      </c>
      <c r="BC275" t="b" cm="1">
        <f t="array" ref="BC275">IsPurple('Large Dataset'!R275)</f>
        <v>0</v>
      </c>
      <c r="BD275" t="b" cm="1">
        <f t="array" ref="BD275">IsGreen('Large Dataset'!R275)</f>
        <v>0</v>
      </c>
      <c r="BJ275" t="b" cm="1">
        <f t="array" ref="BJ275">IsRed('Large Dataset'!T275)</f>
        <v>0</v>
      </c>
      <c r="BK275" t="b" cm="1">
        <f t="array" ref="BK275">IsBlue('Large Dataset'!T275)</f>
        <v>0</v>
      </c>
      <c r="BL275" t="b" cm="1">
        <f t="array" ref="BL275">IsPurple('Large Dataset'!T275)</f>
        <v>0</v>
      </c>
      <c r="BM275" t="b" cm="1">
        <f t="array" ref="BM275">IsGreen('Large Dataset'!T275)</f>
        <v>0</v>
      </c>
      <c r="BS275" t="b" cm="1">
        <f t="array" ref="BS275">IsRed('Large Dataset'!U275)</f>
        <v>0</v>
      </c>
      <c r="BT275" t="b" cm="1">
        <f t="array" ref="BT275">IsBlue('Large Dataset'!U275)</f>
        <v>0</v>
      </c>
      <c r="BU275" t="b" cm="1">
        <f t="array" ref="BU275">IsPurple('Large Dataset'!U275)</f>
        <v>0</v>
      </c>
      <c r="BV275" t="b" cm="1">
        <f t="array" ref="BV275">IsGreen('Large Dataset'!U275)</f>
        <v>0</v>
      </c>
    </row>
    <row r="276" spans="7:74">
      <c r="G276" t="b" cm="1">
        <f t="array" ref="G276">IsRed('Large Dataset'!I276)</f>
        <v>1</v>
      </c>
      <c r="H276" t="b" cm="1">
        <f t="array" ref="H276">IsBlue('Large Dataset'!I276)</f>
        <v>0</v>
      </c>
      <c r="I276" t="b" cm="1">
        <f t="array" ref="I276">IsPurple('Large Dataset'!I276)</f>
        <v>0</v>
      </c>
      <c r="J276" t="b" cm="1">
        <f t="array" ref="J276">IsGreen('Large Dataset'!G276)</f>
        <v>0</v>
      </c>
      <c r="P276" t="b" cm="1">
        <f t="array" ref="P276">IsRed('Large Dataset'!K276)</f>
        <v>0</v>
      </c>
      <c r="Q276" t="b" cm="1">
        <f t="array" ref="Q276">IsBlue('Large Dataset'!K276)</f>
        <v>0</v>
      </c>
      <c r="R276" t="b" cm="1">
        <f t="array" ref="R276">IsPurple('Large Dataset'!K276)</f>
        <v>0</v>
      </c>
      <c r="S276" t="b" cm="1">
        <f t="array" ref="S276">IsGreen('Large Dataset'!K276)</f>
        <v>0</v>
      </c>
      <c r="Y276" t="b" cm="1">
        <f t="array" ref="Y276">IsRed('Large Dataset'!M276)</f>
        <v>1</v>
      </c>
      <c r="Z276" t="b" cm="1">
        <f t="array" ref="Z276">IsBlue('Large Dataset'!M276)</f>
        <v>0</v>
      </c>
      <c r="AA276" t="b" cm="1">
        <f t="array" ref="AA276">IsPurple('Large Dataset'!M276)</f>
        <v>0</v>
      </c>
      <c r="AB276" t="b" cm="1">
        <f t="array" ref="AB276">IsGreen('Large Dataset'!M276)</f>
        <v>0</v>
      </c>
      <c r="AH276" t="b" cm="1">
        <f t="array" ref="AH276">IsRed('Large Dataset'!O276)</f>
        <v>1</v>
      </c>
      <c r="AI276" t="b" cm="1">
        <f t="array" ref="AI276">IsBlue('Large Dataset'!O276)</f>
        <v>0</v>
      </c>
      <c r="AJ276" t="b" cm="1">
        <f t="array" ref="AJ276">IsPurple('Large Dataset'!O276)</f>
        <v>0</v>
      </c>
      <c r="AK276" t="b" cm="1">
        <f t="array" ref="AK276">IsGreen('Large Dataset'!O276)</f>
        <v>0</v>
      </c>
      <c r="AR276" t="b" cm="1">
        <f t="array" ref="AR276">IsRed('Large Dataset'!Q276)</f>
        <v>0</v>
      </c>
      <c r="AS276" t="b" cm="1">
        <f t="array" ref="AS276">IsBlue('Large Dataset'!Q276)</f>
        <v>0</v>
      </c>
      <c r="AT276" t="b" cm="1">
        <f t="array" ref="AT276">IsPurple('Large Dataset'!Q276)</f>
        <v>0</v>
      </c>
      <c r="AU276" t="b" cm="1">
        <f t="array" ref="AU276">IsGreen('Large Dataset'!Q276)</f>
        <v>0</v>
      </c>
      <c r="BA276" t="b" cm="1">
        <f t="array" ref="BA276">IsRed('Large Dataset'!R276)</f>
        <v>0</v>
      </c>
      <c r="BB276" t="b" cm="1">
        <f t="array" ref="BB276">IsBlue('Large Dataset'!R276)</f>
        <v>0</v>
      </c>
      <c r="BC276" t="b" cm="1">
        <f t="array" ref="BC276">IsPurple('Large Dataset'!R276)</f>
        <v>0</v>
      </c>
      <c r="BD276" t="b" cm="1">
        <f t="array" ref="BD276">IsGreen('Large Dataset'!R276)</f>
        <v>0</v>
      </c>
      <c r="BJ276" t="b" cm="1">
        <f t="array" ref="BJ276">IsRed('Large Dataset'!T276)</f>
        <v>0</v>
      </c>
      <c r="BK276" t="b" cm="1">
        <f t="array" ref="BK276">IsBlue('Large Dataset'!T276)</f>
        <v>0</v>
      </c>
      <c r="BL276" t="b" cm="1">
        <f t="array" ref="BL276">IsPurple('Large Dataset'!T276)</f>
        <v>0</v>
      </c>
      <c r="BM276" t="b" cm="1">
        <f t="array" ref="BM276">IsGreen('Large Dataset'!T276)</f>
        <v>0</v>
      </c>
      <c r="BS276" t="b" cm="1">
        <f t="array" ref="BS276">IsRed('Large Dataset'!U276)</f>
        <v>0</v>
      </c>
      <c r="BT276" t="b" cm="1">
        <f t="array" ref="BT276">IsBlue('Large Dataset'!U276)</f>
        <v>0</v>
      </c>
      <c r="BU276" t="b" cm="1">
        <f t="array" ref="BU276">IsPurple('Large Dataset'!U276)</f>
        <v>0</v>
      </c>
      <c r="BV276" t="b" cm="1">
        <f t="array" ref="BV276">IsGreen('Large Dataset'!U276)</f>
        <v>0</v>
      </c>
    </row>
    <row r="277" spans="7:74">
      <c r="G277" t="b" cm="1">
        <f t="array" ref="G277">IsRed('Large Dataset'!I277)</f>
        <v>1</v>
      </c>
      <c r="H277" t="b" cm="1">
        <f t="array" ref="H277">IsBlue('Large Dataset'!I277)</f>
        <v>0</v>
      </c>
      <c r="I277" t="b" cm="1">
        <f t="array" ref="I277">IsPurple('Large Dataset'!I277)</f>
        <v>0</v>
      </c>
      <c r="J277" t="b" cm="1">
        <f t="array" ref="J277">IsGreen('Large Dataset'!G277)</f>
        <v>0</v>
      </c>
      <c r="P277" t="b" cm="1">
        <f t="array" ref="P277">IsRed('Large Dataset'!K277)</f>
        <v>1</v>
      </c>
      <c r="Q277" t="b" cm="1">
        <f t="array" ref="Q277">IsBlue('Large Dataset'!K277)</f>
        <v>0</v>
      </c>
      <c r="R277" t="b" cm="1">
        <f t="array" ref="R277">IsPurple('Large Dataset'!K277)</f>
        <v>0</v>
      </c>
      <c r="S277" t="b" cm="1">
        <f t="array" ref="S277">IsGreen('Large Dataset'!K277)</f>
        <v>0</v>
      </c>
      <c r="Y277" t="b" cm="1">
        <f t="array" ref="Y277">IsRed('Large Dataset'!M277)</f>
        <v>1</v>
      </c>
      <c r="Z277" t="b" cm="1">
        <f t="array" ref="Z277">IsBlue('Large Dataset'!M277)</f>
        <v>0</v>
      </c>
      <c r="AA277" t="b" cm="1">
        <f t="array" ref="AA277">IsPurple('Large Dataset'!M277)</f>
        <v>0</v>
      </c>
      <c r="AB277" t="b" cm="1">
        <f t="array" ref="AB277">IsGreen('Large Dataset'!M277)</f>
        <v>0</v>
      </c>
      <c r="AH277" t="b" cm="1">
        <f t="array" ref="AH277">IsRed('Large Dataset'!O277)</f>
        <v>1</v>
      </c>
      <c r="AI277" t="b" cm="1">
        <f t="array" ref="AI277">IsBlue('Large Dataset'!O277)</f>
        <v>0</v>
      </c>
      <c r="AJ277" t="b" cm="1">
        <f t="array" ref="AJ277">IsPurple('Large Dataset'!O277)</f>
        <v>0</v>
      </c>
      <c r="AK277" t="b" cm="1">
        <f t="array" ref="AK277">IsGreen('Large Dataset'!O277)</f>
        <v>0</v>
      </c>
      <c r="AR277" t="b" cm="1">
        <f t="array" ref="AR277">IsRed('Large Dataset'!Q277)</f>
        <v>0</v>
      </c>
      <c r="AS277" t="b" cm="1">
        <f t="array" ref="AS277">IsBlue('Large Dataset'!Q277)</f>
        <v>0</v>
      </c>
      <c r="AT277" t="b" cm="1">
        <f t="array" ref="AT277">IsPurple('Large Dataset'!Q277)</f>
        <v>0</v>
      </c>
      <c r="AU277" t="b" cm="1">
        <f t="array" ref="AU277">IsGreen('Large Dataset'!Q277)</f>
        <v>0</v>
      </c>
      <c r="BA277" t="b" cm="1">
        <f t="array" ref="BA277">IsRed('Large Dataset'!R277)</f>
        <v>0</v>
      </c>
      <c r="BB277" t="b" cm="1">
        <f t="array" ref="BB277">IsBlue('Large Dataset'!R277)</f>
        <v>0</v>
      </c>
      <c r="BC277" t="b" cm="1">
        <f t="array" ref="BC277">IsPurple('Large Dataset'!R277)</f>
        <v>0</v>
      </c>
      <c r="BD277" t="b" cm="1">
        <f t="array" ref="BD277">IsGreen('Large Dataset'!R277)</f>
        <v>0</v>
      </c>
      <c r="BJ277" t="b" cm="1">
        <f t="array" ref="BJ277">IsRed('Large Dataset'!T277)</f>
        <v>0</v>
      </c>
      <c r="BK277" t="b" cm="1">
        <f t="array" ref="BK277">IsBlue('Large Dataset'!T277)</f>
        <v>0</v>
      </c>
      <c r="BL277" t="b" cm="1">
        <f t="array" ref="BL277">IsPurple('Large Dataset'!T277)</f>
        <v>0</v>
      </c>
      <c r="BM277" t="b" cm="1">
        <f t="array" ref="BM277">IsGreen('Large Dataset'!T277)</f>
        <v>0</v>
      </c>
      <c r="BS277" t="b" cm="1">
        <f t="array" ref="BS277">IsRed('Large Dataset'!U277)</f>
        <v>0</v>
      </c>
      <c r="BT277" t="b" cm="1">
        <f t="array" ref="BT277">IsBlue('Large Dataset'!U277)</f>
        <v>0</v>
      </c>
      <c r="BU277" t="b" cm="1">
        <f t="array" ref="BU277">IsPurple('Large Dataset'!U277)</f>
        <v>0</v>
      </c>
      <c r="BV277" t="b" cm="1">
        <f t="array" ref="BV277">IsGreen('Large Dataset'!U277)</f>
        <v>0</v>
      </c>
    </row>
    <row r="278" spans="7:74">
      <c r="G278" t="b" cm="1">
        <f t="array" ref="G278">IsRed('Large Dataset'!I278)</f>
        <v>0</v>
      </c>
      <c r="H278" t="b" cm="1">
        <f t="array" ref="H278">IsBlue('Large Dataset'!I278)</f>
        <v>0</v>
      </c>
      <c r="I278" t="b" cm="1">
        <f t="array" ref="I278">IsPurple('Large Dataset'!I278)</f>
        <v>0</v>
      </c>
      <c r="J278" t="b" cm="1">
        <f t="array" ref="J278">IsGreen('Large Dataset'!G278)</f>
        <v>0</v>
      </c>
      <c r="P278" t="b" cm="1">
        <f t="array" ref="P278">IsRed('Large Dataset'!K278)</f>
        <v>1</v>
      </c>
      <c r="Q278" t="b" cm="1">
        <f t="array" ref="Q278">IsBlue('Large Dataset'!K278)</f>
        <v>0</v>
      </c>
      <c r="R278" t="b" cm="1">
        <f t="array" ref="R278">IsPurple('Large Dataset'!K278)</f>
        <v>0</v>
      </c>
      <c r="S278" t="b" cm="1">
        <f t="array" ref="S278">IsGreen('Large Dataset'!K278)</f>
        <v>0</v>
      </c>
      <c r="Y278" t="b" cm="1">
        <f t="array" ref="Y278">IsRed('Large Dataset'!M278)</f>
        <v>1</v>
      </c>
      <c r="Z278" t="b" cm="1">
        <f t="array" ref="Z278">IsBlue('Large Dataset'!M278)</f>
        <v>0</v>
      </c>
      <c r="AA278" t="b" cm="1">
        <f t="array" ref="AA278">IsPurple('Large Dataset'!M278)</f>
        <v>0</v>
      </c>
      <c r="AB278" t="b" cm="1">
        <f t="array" ref="AB278">IsGreen('Large Dataset'!M278)</f>
        <v>0</v>
      </c>
      <c r="AH278" t="b" cm="1">
        <f t="array" ref="AH278">IsRed('Large Dataset'!O278)</f>
        <v>0</v>
      </c>
      <c r="AI278" t="b" cm="1">
        <f t="array" ref="AI278">IsBlue('Large Dataset'!O278)</f>
        <v>0</v>
      </c>
      <c r="AJ278" t="b" cm="1">
        <f t="array" ref="AJ278">IsPurple('Large Dataset'!O278)</f>
        <v>0</v>
      </c>
      <c r="AK278" t="b" cm="1">
        <f t="array" ref="AK278">IsGreen('Large Dataset'!O278)</f>
        <v>0</v>
      </c>
      <c r="AR278" t="b" cm="1">
        <f t="array" ref="AR278">IsRed('Large Dataset'!Q278)</f>
        <v>0</v>
      </c>
      <c r="AS278" t="b" cm="1">
        <f t="array" ref="AS278">IsBlue('Large Dataset'!Q278)</f>
        <v>0</v>
      </c>
      <c r="AT278" t="b" cm="1">
        <f t="array" ref="AT278">IsPurple('Large Dataset'!Q278)</f>
        <v>0</v>
      </c>
      <c r="AU278" t="b" cm="1">
        <f t="array" ref="AU278">IsGreen('Large Dataset'!Q278)</f>
        <v>0</v>
      </c>
      <c r="BA278" t="b" cm="1">
        <f t="array" ref="BA278">IsRed('Large Dataset'!R278)</f>
        <v>0</v>
      </c>
      <c r="BB278" t="b" cm="1">
        <f t="array" ref="BB278">IsBlue('Large Dataset'!R278)</f>
        <v>0</v>
      </c>
      <c r="BC278" t="b" cm="1">
        <f t="array" ref="BC278">IsPurple('Large Dataset'!R278)</f>
        <v>0</v>
      </c>
      <c r="BD278" t="b" cm="1">
        <f t="array" ref="BD278">IsGreen('Large Dataset'!R278)</f>
        <v>0</v>
      </c>
      <c r="BJ278" t="b" cm="1">
        <f t="array" ref="BJ278">IsRed('Large Dataset'!T278)</f>
        <v>0</v>
      </c>
      <c r="BK278" t="b" cm="1">
        <f t="array" ref="BK278">IsBlue('Large Dataset'!T278)</f>
        <v>0</v>
      </c>
      <c r="BL278" t="b" cm="1">
        <f t="array" ref="BL278">IsPurple('Large Dataset'!T278)</f>
        <v>0</v>
      </c>
      <c r="BM278" t="b" cm="1">
        <f t="array" ref="BM278">IsGreen('Large Dataset'!T278)</f>
        <v>0</v>
      </c>
      <c r="BS278" t="b" cm="1">
        <f t="array" ref="BS278">IsRed('Large Dataset'!U278)</f>
        <v>0</v>
      </c>
      <c r="BT278" t="b" cm="1">
        <f t="array" ref="BT278">IsBlue('Large Dataset'!U278)</f>
        <v>0</v>
      </c>
      <c r="BU278" t="b" cm="1">
        <f t="array" ref="BU278">IsPurple('Large Dataset'!U278)</f>
        <v>0</v>
      </c>
      <c r="BV278" t="b" cm="1">
        <f t="array" ref="BV278">IsGreen('Large Dataset'!U278)</f>
        <v>0</v>
      </c>
    </row>
    <row r="279" spans="7:74">
      <c r="G279" t="b" cm="1">
        <f t="array" ref="G279">IsRed('Large Dataset'!I279)</f>
        <v>1</v>
      </c>
      <c r="H279" t="b" cm="1">
        <f t="array" ref="H279">IsBlue('Large Dataset'!I279)</f>
        <v>0</v>
      </c>
      <c r="I279" t="b" cm="1">
        <f t="array" ref="I279">IsPurple('Large Dataset'!I279)</f>
        <v>0</v>
      </c>
      <c r="J279" t="b" cm="1">
        <f t="array" ref="J279">IsGreen('Large Dataset'!G279)</f>
        <v>0</v>
      </c>
      <c r="P279" t="b" cm="1">
        <f t="array" ref="P279">IsRed('Large Dataset'!K279)</f>
        <v>1</v>
      </c>
      <c r="Q279" t="b" cm="1">
        <f t="array" ref="Q279">IsBlue('Large Dataset'!K279)</f>
        <v>0</v>
      </c>
      <c r="R279" t="b" cm="1">
        <f t="array" ref="R279">IsPurple('Large Dataset'!K279)</f>
        <v>0</v>
      </c>
      <c r="S279" t="b" cm="1">
        <f t="array" ref="S279">IsGreen('Large Dataset'!K279)</f>
        <v>0</v>
      </c>
      <c r="Y279" t="b" cm="1">
        <f t="array" ref="Y279">IsRed('Large Dataset'!M279)</f>
        <v>1</v>
      </c>
      <c r="Z279" t="b" cm="1">
        <f t="array" ref="Z279">IsBlue('Large Dataset'!M279)</f>
        <v>0</v>
      </c>
      <c r="AA279" t="b" cm="1">
        <f t="array" ref="AA279">IsPurple('Large Dataset'!M279)</f>
        <v>0</v>
      </c>
      <c r="AB279" t="b" cm="1">
        <f t="array" ref="AB279">IsGreen('Large Dataset'!M279)</f>
        <v>0</v>
      </c>
      <c r="AH279" t="b" cm="1">
        <f t="array" ref="AH279">IsRed('Large Dataset'!O279)</f>
        <v>1</v>
      </c>
      <c r="AI279" t="b" cm="1">
        <f t="array" ref="AI279">IsBlue('Large Dataset'!O279)</f>
        <v>0</v>
      </c>
      <c r="AJ279" t="b" cm="1">
        <f t="array" ref="AJ279">IsPurple('Large Dataset'!O279)</f>
        <v>0</v>
      </c>
      <c r="AK279" t="b" cm="1">
        <f t="array" ref="AK279">IsGreen('Large Dataset'!O279)</f>
        <v>0</v>
      </c>
      <c r="AR279" t="b" cm="1">
        <f t="array" ref="AR279">IsRed('Large Dataset'!Q279)</f>
        <v>0</v>
      </c>
      <c r="AS279" t="b" cm="1">
        <f t="array" ref="AS279">IsBlue('Large Dataset'!Q279)</f>
        <v>0</v>
      </c>
      <c r="AT279" t="b" cm="1">
        <f t="array" ref="AT279">IsPurple('Large Dataset'!Q279)</f>
        <v>0</v>
      </c>
      <c r="AU279" t="b" cm="1">
        <f t="array" ref="AU279">IsGreen('Large Dataset'!Q279)</f>
        <v>0</v>
      </c>
      <c r="BA279" t="b" cm="1">
        <f t="array" ref="BA279">IsRed('Large Dataset'!R279)</f>
        <v>0</v>
      </c>
      <c r="BB279" t="b" cm="1">
        <f t="array" ref="BB279">IsBlue('Large Dataset'!R279)</f>
        <v>0</v>
      </c>
      <c r="BC279" t="b" cm="1">
        <f t="array" ref="BC279">IsPurple('Large Dataset'!R279)</f>
        <v>0</v>
      </c>
      <c r="BD279" t="b" cm="1">
        <f t="array" ref="BD279">IsGreen('Large Dataset'!R279)</f>
        <v>0</v>
      </c>
      <c r="BJ279" t="b" cm="1">
        <f t="array" ref="BJ279">IsRed('Large Dataset'!T279)</f>
        <v>0</v>
      </c>
      <c r="BK279" t="b" cm="1">
        <f t="array" ref="BK279">IsBlue('Large Dataset'!T279)</f>
        <v>0</v>
      </c>
      <c r="BL279" t="b" cm="1">
        <f t="array" ref="BL279">IsPurple('Large Dataset'!T279)</f>
        <v>0</v>
      </c>
      <c r="BM279" t="b" cm="1">
        <f t="array" ref="BM279">IsGreen('Large Dataset'!T279)</f>
        <v>0</v>
      </c>
      <c r="BS279" t="b" cm="1">
        <f t="array" ref="BS279">IsRed('Large Dataset'!U279)</f>
        <v>0</v>
      </c>
      <c r="BT279" t="b" cm="1">
        <f t="array" ref="BT279">IsBlue('Large Dataset'!U279)</f>
        <v>0</v>
      </c>
      <c r="BU279" t="b" cm="1">
        <f t="array" ref="BU279">IsPurple('Large Dataset'!U279)</f>
        <v>0</v>
      </c>
      <c r="BV279" t="b" cm="1">
        <f t="array" ref="BV279">IsGreen('Large Dataset'!U279)</f>
        <v>0</v>
      </c>
    </row>
    <row r="280" spans="7:74">
      <c r="G280" t="b" cm="1">
        <f t="array" ref="G280">IsRed('Large Dataset'!I280)</f>
        <v>1</v>
      </c>
      <c r="H280" t="b" cm="1">
        <f t="array" ref="H280">IsBlue('Large Dataset'!I280)</f>
        <v>0</v>
      </c>
      <c r="I280" t="b" cm="1">
        <f t="array" ref="I280">IsPurple('Large Dataset'!I280)</f>
        <v>0</v>
      </c>
      <c r="J280" t="b" cm="1">
        <f t="array" ref="J280">IsGreen('Large Dataset'!G280)</f>
        <v>0</v>
      </c>
      <c r="P280" t="b" cm="1">
        <f t="array" ref="P280">IsRed('Large Dataset'!K280)</f>
        <v>0</v>
      </c>
      <c r="Q280" t="b" cm="1">
        <f t="array" ref="Q280">IsBlue('Large Dataset'!K280)</f>
        <v>0</v>
      </c>
      <c r="R280" t="b" cm="1">
        <f t="array" ref="R280">IsPurple('Large Dataset'!K280)</f>
        <v>0</v>
      </c>
      <c r="S280" t="b" cm="1">
        <f t="array" ref="S280">IsGreen('Large Dataset'!K280)</f>
        <v>0</v>
      </c>
      <c r="Y280" t="b" cm="1">
        <f t="array" ref="Y280">IsRed('Large Dataset'!M280)</f>
        <v>1</v>
      </c>
      <c r="Z280" t="b" cm="1">
        <f t="array" ref="Z280">IsBlue('Large Dataset'!M280)</f>
        <v>0</v>
      </c>
      <c r="AA280" t="b" cm="1">
        <f t="array" ref="AA280">IsPurple('Large Dataset'!M280)</f>
        <v>0</v>
      </c>
      <c r="AB280" t="b" cm="1">
        <f t="array" ref="AB280">IsGreen('Large Dataset'!M280)</f>
        <v>0</v>
      </c>
      <c r="AH280" t="b" cm="1">
        <f t="array" ref="AH280">IsRed('Large Dataset'!O280)</f>
        <v>0</v>
      </c>
      <c r="AI280" t="b" cm="1">
        <f t="array" ref="AI280">IsBlue('Large Dataset'!O280)</f>
        <v>0</v>
      </c>
      <c r="AJ280" t="b" cm="1">
        <f t="array" ref="AJ280">IsPurple('Large Dataset'!O280)</f>
        <v>0</v>
      </c>
      <c r="AK280" t="b" cm="1">
        <f t="array" ref="AK280">IsGreen('Large Dataset'!O280)</f>
        <v>0</v>
      </c>
      <c r="AR280" t="b" cm="1">
        <f t="array" ref="AR280">IsRed('Large Dataset'!Q280)</f>
        <v>0</v>
      </c>
      <c r="AS280" t="b" cm="1">
        <f t="array" ref="AS280">IsBlue('Large Dataset'!Q280)</f>
        <v>0</v>
      </c>
      <c r="AT280" t="b" cm="1">
        <f t="array" ref="AT280">IsPurple('Large Dataset'!Q280)</f>
        <v>0</v>
      </c>
      <c r="AU280" t="b" cm="1">
        <f t="array" ref="AU280">IsGreen('Large Dataset'!Q280)</f>
        <v>0</v>
      </c>
      <c r="BA280" t="b" cm="1">
        <f t="array" ref="BA280">IsRed('Large Dataset'!R280)</f>
        <v>0</v>
      </c>
      <c r="BB280" t="b" cm="1">
        <f t="array" ref="BB280">IsBlue('Large Dataset'!R280)</f>
        <v>0</v>
      </c>
      <c r="BC280" t="b" cm="1">
        <f t="array" ref="BC280">IsPurple('Large Dataset'!R280)</f>
        <v>0</v>
      </c>
      <c r="BD280" t="b" cm="1">
        <f t="array" ref="BD280">IsGreen('Large Dataset'!R280)</f>
        <v>0</v>
      </c>
      <c r="BJ280" t="b" cm="1">
        <f t="array" ref="BJ280">IsRed('Large Dataset'!T280)</f>
        <v>0</v>
      </c>
      <c r="BK280" t="b" cm="1">
        <f t="array" ref="BK280">IsBlue('Large Dataset'!T280)</f>
        <v>0</v>
      </c>
      <c r="BL280" t="b" cm="1">
        <f t="array" ref="BL280">IsPurple('Large Dataset'!T280)</f>
        <v>0</v>
      </c>
      <c r="BM280" t="b" cm="1">
        <f t="array" ref="BM280">IsGreen('Large Dataset'!T280)</f>
        <v>0</v>
      </c>
      <c r="BS280" t="b" cm="1">
        <f t="array" ref="BS280">IsRed('Large Dataset'!U280)</f>
        <v>0</v>
      </c>
      <c r="BT280" t="b" cm="1">
        <f t="array" ref="BT280">IsBlue('Large Dataset'!U280)</f>
        <v>0</v>
      </c>
      <c r="BU280" t="b" cm="1">
        <f t="array" ref="BU280">IsPurple('Large Dataset'!U280)</f>
        <v>0</v>
      </c>
      <c r="BV280" t="b" cm="1">
        <f t="array" ref="BV280">IsGreen('Large Dataset'!U280)</f>
        <v>0</v>
      </c>
    </row>
    <row r="281" spans="7:74">
      <c r="G281" t="b" cm="1">
        <f t="array" ref="G281">IsRed('Large Dataset'!I281)</f>
        <v>1</v>
      </c>
      <c r="H281" t="b" cm="1">
        <f t="array" ref="H281">IsBlue('Large Dataset'!I281)</f>
        <v>0</v>
      </c>
      <c r="I281" t="b" cm="1">
        <f t="array" ref="I281">IsPurple('Large Dataset'!I281)</f>
        <v>0</v>
      </c>
      <c r="J281" t="b" cm="1">
        <f t="array" ref="J281">IsGreen('Large Dataset'!G281)</f>
        <v>0</v>
      </c>
      <c r="P281" t="b" cm="1">
        <f t="array" ref="P281">IsRed('Large Dataset'!K281)</f>
        <v>1</v>
      </c>
      <c r="Q281" t="b" cm="1">
        <f t="array" ref="Q281">IsBlue('Large Dataset'!K281)</f>
        <v>0</v>
      </c>
      <c r="R281" t="b" cm="1">
        <f t="array" ref="R281">IsPurple('Large Dataset'!K281)</f>
        <v>0</v>
      </c>
      <c r="S281" t="b" cm="1">
        <f t="array" ref="S281">IsGreen('Large Dataset'!K281)</f>
        <v>0</v>
      </c>
      <c r="Y281" t="b" cm="1">
        <f t="array" ref="Y281">IsRed('Large Dataset'!M281)</f>
        <v>1</v>
      </c>
      <c r="Z281" t="b" cm="1">
        <f t="array" ref="Z281">IsBlue('Large Dataset'!M281)</f>
        <v>0</v>
      </c>
      <c r="AA281" t="b" cm="1">
        <f t="array" ref="AA281">IsPurple('Large Dataset'!M281)</f>
        <v>0</v>
      </c>
      <c r="AB281" t="b" cm="1">
        <f t="array" ref="AB281">IsGreen('Large Dataset'!M281)</f>
        <v>0</v>
      </c>
      <c r="AH281" t="b" cm="1">
        <f t="array" ref="AH281">IsRed('Large Dataset'!O281)</f>
        <v>1</v>
      </c>
      <c r="AI281" t="b" cm="1">
        <f t="array" ref="AI281">IsBlue('Large Dataset'!O281)</f>
        <v>0</v>
      </c>
      <c r="AJ281" t="b" cm="1">
        <f t="array" ref="AJ281">IsPurple('Large Dataset'!O281)</f>
        <v>0</v>
      </c>
      <c r="AK281" t="b" cm="1">
        <f t="array" ref="AK281">IsGreen('Large Dataset'!O281)</f>
        <v>0</v>
      </c>
      <c r="AR281" t="b" cm="1">
        <f t="array" ref="AR281">IsRed('Large Dataset'!Q281)</f>
        <v>0</v>
      </c>
      <c r="AS281" t="b" cm="1">
        <f t="array" ref="AS281">IsBlue('Large Dataset'!Q281)</f>
        <v>0</v>
      </c>
      <c r="AT281" t="b" cm="1">
        <f t="array" ref="AT281">IsPurple('Large Dataset'!Q281)</f>
        <v>0</v>
      </c>
      <c r="AU281" t="b" cm="1">
        <f t="array" ref="AU281">IsGreen('Large Dataset'!Q281)</f>
        <v>0</v>
      </c>
      <c r="BA281" t="b" cm="1">
        <f t="array" ref="BA281">IsRed('Large Dataset'!R281)</f>
        <v>0</v>
      </c>
      <c r="BB281" t="b" cm="1">
        <f t="array" ref="BB281">IsBlue('Large Dataset'!R281)</f>
        <v>0</v>
      </c>
      <c r="BC281" t="b" cm="1">
        <f t="array" ref="BC281">IsPurple('Large Dataset'!R281)</f>
        <v>0</v>
      </c>
      <c r="BD281" t="b" cm="1">
        <f t="array" ref="BD281">IsGreen('Large Dataset'!R281)</f>
        <v>0</v>
      </c>
      <c r="BJ281" t="b" cm="1">
        <f t="array" ref="BJ281">IsRed('Large Dataset'!T281)</f>
        <v>0</v>
      </c>
      <c r="BK281" t="b" cm="1">
        <f t="array" ref="BK281">IsBlue('Large Dataset'!T281)</f>
        <v>0</v>
      </c>
      <c r="BL281" t="b" cm="1">
        <f t="array" ref="BL281">IsPurple('Large Dataset'!T281)</f>
        <v>0</v>
      </c>
      <c r="BM281" t="b" cm="1">
        <f t="array" ref="BM281">IsGreen('Large Dataset'!T281)</f>
        <v>0</v>
      </c>
      <c r="BS281" t="b" cm="1">
        <f t="array" ref="BS281">IsRed('Large Dataset'!U281)</f>
        <v>0</v>
      </c>
      <c r="BT281" t="b" cm="1">
        <f t="array" ref="BT281">IsBlue('Large Dataset'!U281)</f>
        <v>0</v>
      </c>
      <c r="BU281" t="b" cm="1">
        <f t="array" ref="BU281">IsPurple('Large Dataset'!U281)</f>
        <v>0</v>
      </c>
      <c r="BV281" t="b" cm="1">
        <f t="array" ref="BV281">IsGreen('Large Dataset'!U281)</f>
        <v>0</v>
      </c>
    </row>
    <row r="282" spans="7:74">
      <c r="G282" t="b" cm="1">
        <f t="array" ref="G282">IsRed('Large Dataset'!I282)</f>
        <v>1</v>
      </c>
      <c r="H282" t="b" cm="1">
        <f t="array" ref="H282">IsBlue('Large Dataset'!I282)</f>
        <v>0</v>
      </c>
      <c r="I282" t="b" cm="1">
        <f t="array" ref="I282">IsPurple('Large Dataset'!I282)</f>
        <v>0</v>
      </c>
      <c r="J282" t="b" cm="1">
        <f t="array" ref="J282">IsGreen('Large Dataset'!G282)</f>
        <v>0</v>
      </c>
      <c r="P282" t="b" cm="1">
        <f t="array" ref="P282">IsRed('Large Dataset'!K282)</f>
        <v>1</v>
      </c>
      <c r="Q282" t="b" cm="1">
        <f t="array" ref="Q282">IsBlue('Large Dataset'!K282)</f>
        <v>0</v>
      </c>
      <c r="R282" t="b" cm="1">
        <f t="array" ref="R282">IsPurple('Large Dataset'!K282)</f>
        <v>0</v>
      </c>
      <c r="S282" t="b" cm="1">
        <f t="array" ref="S282">IsGreen('Large Dataset'!K282)</f>
        <v>0</v>
      </c>
      <c r="Y282" t="b" cm="1">
        <f t="array" ref="Y282">IsRed('Large Dataset'!M282)</f>
        <v>1</v>
      </c>
      <c r="Z282" t="b" cm="1">
        <f t="array" ref="Z282">IsBlue('Large Dataset'!M282)</f>
        <v>0</v>
      </c>
      <c r="AA282" t="b" cm="1">
        <f t="array" ref="AA282">IsPurple('Large Dataset'!M282)</f>
        <v>0</v>
      </c>
      <c r="AB282" t="b" cm="1">
        <f t="array" ref="AB282">IsGreen('Large Dataset'!M282)</f>
        <v>0</v>
      </c>
      <c r="AH282" t="b" cm="1">
        <f t="array" ref="AH282">IsRed('Large Dataset'!O282)</f>
        <v>1</v>
      </c>
      <c r="AI282" t="b" cm="1">
        <f t="array" ref="AI282">IsBlue('Large Dataset'!O282)</f>
        <v>0</v>
      </c>
      <c r="AJ282" t="b" cm="1">
        <f t="array" ref="AJ282">IsPurple('Large Dataset'!O282)</f>
        <v>0</v>
      </c>
      <c r="AK282" t="b" cm="1">
        <f t="array" ref="AK282">IsGreen('Large Dataset'!O282)</f>
        <v>0</v>
      </c>
      <c r="AR282" t="b" cm="1">
        <f t="array" ref="AR282">IsRed('Large Dataset'!Q282)</f>
        <v>0</v>
      </c>
      <c r="AS282" t="b" cm="1">
        <f t="array" ref="AS282">IsBlue('Large Dataset'!Q282)</f>
        <v>0</v>
      </c>
      <c r="AT282" t="b" cm="1">
        <f t="array" ref="AT282">IsPurple('Large Dataset'!Q282)</f>
        <v>0</v>
      </c>
      <c r="AU282" t="b" cm="1">
        <f t="array" ref="AU282">IsGreen('Large Dataset'!Q282)</f>
        <v>0</v>
      </c>
      <c r="BA282" t="b" cm="1">
        <f t="array" ref="BA282">IsRed('Large Dataset'!R282)</f>
        <v>0</v>
      </c>
      <c r="BB282" t="b" cm="1">
        <f t="array" ref="BB282">IsBlue('Large Dataset'!R282)</f>
        <v>0</v>
      </c>
      <c r="BC282" t="b" cm="1">
        <f t="array" ref="BC282">IsPurple('Large Dataset'!R282)</f>
        <v>0</v>
      </c>
      <c r="BD282" t="b" cm="1">
        <f t="array" ref="BD282">IsGreen('Large Dataset'!R282)</f>
        <v>0</v>
      </c>
      <c r="BJ282" t="b" cm="1">
        <f t="array" ref="BJ282">IsRed('Large Dataset'!T282)</f>
        <v>0</v>
      </c>
      <c r="BK282" t="b" cm="1">
        <f t="array" ref="BK282">IsBlue('Large Dataset'!T282)</f>
        <v>0</v>
      </c>
      <c r="BL282" t="b" cm="1">
        <f t="array" ref="BL282">IsPurple('Large Dataset'!T282)</f>
        <v>0</v>
      </c>
      <c r="BM282" t="b" cm="1">
        <f t="array" ref="BM282">IsGreen('Large Dataset'!T282)</f>
        <v>0</v>
      </c>
      <c r="BS282" t="b" cm="1">
        <f t="array" ref="BS282">IsRed('Large Dataset'!U282)</f>
        <v>0</v>
      </c>
      <c r="BT282" t="b" cm="1">
        <f t="array" ref="BT282">IsBlue('Large Dataset'!U282)</f>
        <v>0</v>
      </c>
      <c r="BU282" t="b" cm="1">
        <f t="array" ref="BU282">IsPurple('Large Dataset'!U282)</f>
        <v>0</v>
      </c>
      <c r="BV282" t="b" cm="1">
        <f t="array" ref="BV282">IsGreen('Large Dataset'!U282)</f>
        <v>0</v>
      </c>
    </row>
    <row r="283" spans="7:74">
      <c r="G283" t="b" cm="1">
        <f t="array" ref="G283">IsRed('Large Dataset'!I283)</f>
        <v>1</v>
      </c>
      <c r="H283" t="b" cm="1">
        <f t="array" ref="H283">IsBlue('Large Dataset'!I283)</f>
        <v>0</v>
      </c>
      <c r="I283" t="b" cm="1">
        <f t="array" ref="I283">IsPurple('Large Dataset'!I283)</f>
        <v>0</v>
      </c>
      <c r="J283" t="b" cm="1">
        <f t="array" ref="J283">IsGreen('Large Dataset'!G283)</f>
        <v>0</v>
      </c>
      <c r="P283" t="b" cm="1">
        <f t="array" ref="P283">IsRed('Large Dataset'!K283)</f>
        <v>0</v>
      </c>
      <c r="Q283" t="b" cm="1">
        <f t="array" ref="Q283">IsBlue('Large Dataset'!K283)</f>
        <v>0</v>
      </c>
      <c r="R283" t="b" cm="1">
        <f t="array" ref="R283">IsPurple('Large Dataset'!K283)</f>
        <v>0</v>
      </c>
      <c r="S283" t="b" cm="1">
        <f t="array" ref="S283">IsGreen('Large Dataset'!K283)</f>
        <v>0</v>
      </c>
      <c r="Y283" t="b" cm="1">
        <f t="array" ref="Y283">IsRed('Large Dataset'!M283)</f>
        <v>1</v>
      </c>
      <c r="Z283" t="b" cm="1">
        <f t="array" ref="Z283">IsBlue('Large Dataset'!M283)</f>
        <v>0</v>
      </c>
      <c r="AA283" t="b" cm="1">
        <f t="array" ref="AA283">IsPurple('Large Dataset'!M283)</f>
        <v>0</v>
      </c>
      <c r="AB283" t="b" cm="1">
        <f t="array" ref="AB283">IsGreen('Large Dataset'!M283)</f>
        <v>0</v>
      </c>
      <c r="AH283" t="b" cm="1">
        <f t="array" ref="AH283">IsRed('Large Dataset'!O283)</f>
        <v>0</v>
      </c>
      <c r="AI283" t="b" cm="1">
        <f t="array" ref="AI283">IsBlue('Large Dataset'!O283)</f>
        <v>0</v>
      </c>
      <c r="AJ283" t="b" cm="1">
        <f t="array" ref="AJ283">IsPurple('Large Dataset'!O283)</f>
        <v>0</v>
      </c>
      <c r="AK283" t="b" cm="1">
        <f t="array" ref="AK283">IsGreen('Large Dataset'!O283)</f>
        <v>0</v>
      </c>
      <c r="AR283" t="b" cm="1">
        <f t="array" ref="AR283">IsRed('Large Dataset'!Q283)</f>
        <v>0</v>
      </c>
      <c r="AS283" t="b" cm="1">
        <f t="array" ref="AS283">IsBlue('Large Dataset'!Q283)</f>
        <v>0</v>
      </c>
      <c r="AT283" t="b" cm="1">
        <f t="array" ref="AT283">IsPurple('Large Dataset'!Q283)</f>
        <v>0</v>
      </c>
      <c r="AU283" t="b" cm="1">
        <f t="array" ref="AU283">IsGreen('Large Dataset'!Q283)</f>
        <v>0</v>
      </c>
      <c r="BA283" t="b" cm="1">
        <f t="array" ref="BA283">IsRed('Large Dataset'!R283)</f>
        <v>0</v>
      </c>
      <c r="BB283" t="b" cm="1">
        <f t="array" ref="BB283">IsBlue('Large Dataset'!R283)</f>
        <v>0</v>
      </c>
      <c r="BC283" t="b" cm="1">
        <f t="array" ref="BC283">IsPurple('Large Dataset'!R283)</f>
        <v>0</v>
      </c>
      <c r="BD283" t="b" cm="1">
        <f t="array" ref="BD283">IsGreen('Large Dataset'!R283)</f>
        <v>0</v>
      </c>
      <c r="BJ283" t="b" cm="1">
        <f t="array" ref="BJ283">IsRed('Large Dataset'!T283)</f>
        <v>0</v>
      </c>
      <c r="BK283" t="b" cm="1">
        <f t="array" ref="BK283">IsBlue('Large Dataset'!T283)</f>
        <v>0</v>
      </c>
      <c r="BL283" t="b" cm="1">
        <f t="array" ref="BL283">IsPurple('Large Dataset'!T283)</f>
        <v>0</v>
      </c>
      <c r="BM283" t="b" cm="1">
        <f t="array" ref="BM283">IsGreen('Large Dataset'!T283)</f>
        <v>0</v>
      </c>
      <c r="BS283" t="b" cm="1">
        <f t="array" ref="BS283">IsRed('Large Dataset'!U283)</f>
        <v>0</v>
      </c>
      <c r="BT283" t="b" cm="1">
        <f t="array" ref="BT283">IsBlue('Large Dataset'!U283)</f>
        <v>0</v>
      </c>
      <c r="BU283" t="b" cm="1">
        <f t="array" ref="BU283">IsPurple('Large Dataset'!U283)</f>
        <v>0</v>
      </c>
      <c r="BV283" t="b" cm="1">
        <f t="array" ref="BV283">IsGreen('Large Dataset'!U283)</f>
        <v>0</v>
      </c>
    </row>
    <row r="284" spans="7:74">
      <c r="G284" t="b" cm="1">
        <f t="array" ref="G284">IsRed('Large Dataset'!I284)</f>
        <v>1</v>
      </c>
      <c r="H284" t="b" cm="1">
        <f t="array" ref="H284">IsBlue('Large Dataset'!I284)</f>
        <v>0</v>
      </c>
      <c r="I284" t="b" cm="1">
        <f t="array" ref="I284">IsPurple('Large Dataset'!I284)</f>
        <v>0</v>
      </c>
      <c r="J284" t="b" cm="1">
        <f t="array" ref="J284">IsGreen('Large Dataset'!G284)</f>
        <v>0</v>
      </c>
      <c r="P284" t="b" cm="1">
        <f t="array" ref="P284">IsRed('Large Dataset'!K284)</f>
        <v>0</v>
      </c>
      <c r="Q284" t="b" cm="1">
        <f t="array" ref="Q284">IsBlue('Large Dataset'!K284)</f>
        <v>0</v>
      </c>
      <c r="R284" t="b" cm="1">
        <f t="array" ref="R284">IsPurple('Large Dataset'!K284)</f>
        <v>0</v>
      </c>
      <c r="S284" t="b" cm="1">
        <f t="array" ref="S284">IsGreen('Large Dataset'!K284)</f>
        <v>0</v>
      </c>
      <c r="Y284" t="b" cm="1">
        <f t="array" ref="Y284">IsRed('Large Dataset'!M284)</f>
        <v>1</v>
      </c>
      <c r="Z284" t="b" cm="1">
        <f t="array" ref="Z284">IsBlue('Large Dataset'!M284)</f>
        <v>0</v>
      </c>
      <c r="AA284" t="b" cm="1">
        <f t="array" ref="AA284">IsPurple('Large Dataset'!M284)</f>
        <v>0</v>
      </c>
      <c r="AB284" t="b" cm="1">
        <f t="array" ref="AB284">IsGreen('Large Dataset'!M284)</f>
        <v>0</v>
      </c>
      <c r="AH284" t="b" cm="1">
        <f t="array" ref="AH284">IsRed('Large Dataset'!O284)</f>
        <v>1</v>
      </c>
      <c r="AI284" t="b" cm="1">
        <f t="array" ref="AI284">IsBlue('Large Dataset'!O284)</f>
        <v>0</v>
      </c>
      <c r="AJ284" t="b" cm="1">
        <f t="array" ref="AJ284">IsPurple('Large Dataset'!O284)</f>
        <v>0</v>
      </c>
      <c r="AK284" t="b" cm="1">
        <f t="array" ref="AK284">IsGreen('Large Dataset'!O284)</f>
        <v>0</v>
      </c>
      <c r="AR284" t="b" cm="1">
        <f t="array" ref="AR284">IsRed('Large Dataset'!Q284)</f>
        <v>0</v>
      </c>
      <c r="AS284" t="b" cm="1">
        <f t="array" ref="AS284">IsBlue('Large Dataset'!Q284)</f>
        <v>0</v>
      </c>
      <c r="AT284" t="b" cm="1">
        <f t="array" ref="AT284">IsPurple('Large Dataset'!Q284)</f>
        <v>0</v>
      </c>
      <c r="AU284" t="b" cm="1">
        <f t="array" ref="AU284">IsGreen('Large Dataset'!Q284)</f>
        <v>0</v>
      </c>
      <c r="BA284" t="b" cm="1">
        <f t="array" ref="BA284">IsRed('Large Dataset'!R284)</f>
        <v>0</v>
      </c>
      <c r="BB284" t="b" cm="1">
        <f t="array" ref="BB284">IsBlue('Large Dataset'!R284)</f>
        <v>0</v>
      </c>
      <c r="BC284" t="b" cm="1">
        <f t="array" ref="BC284">IsPurple('Large Dataset'!R284)</f>
        <v>0</v>
      </c>
      <c r="BD284" t="b" cm="1">
        <f t="array" ref="BD284">IsGreen('Large Dataset'!R284)</f>
        <v>0</v>
      </c>
      <c r="BJ284" t="b" cm="1">
        <f t="array" ref="BJ284">IsRed('Large Dataset'!T284)</f>
        <v>0</v>
      </c>
      <c r="BK284" t="b" cm="1">
        <f t="array" ref="BK284">IsBlue('Large Dataset'!T284)</f>
        <v>0</v>
      </c>
      <c r="BL284" t="b" cm="1">
        <f t="array" ref="BL284">IsPurple('Large Dataset'!T284)</f>
        <v>0</v>
      </c>
      <c r="BM284" t="b" cm="1">
        <f t="array" ref="BM284">IsGreen('Large Dataset'!T284)</f>
        <v>0</v>
      </c>
      <c r="BS284" t="b" cm="1">
        <f t="array" ref="BS284">IsRed('Large Dataset'!U284)</f>
        <v>0</v>
      </c>
      <c r="BT284" t="b" cm="1">
        <f t="array" ref="BT284">IsBlue('Large Dataset'!U284)</f>
        <v>0</v>
      </c>
      <c r="BU284" t="b" cm="1">
        <f t="array" ref="BU284">IsPurple('Large Dataset'!U284)</f>
        <v>0</v>
      </c>
      <c r="BV284" t="b" cm="1">
        <f t="array" ref="BV284">IsGreen('Large Dataset'!U284)</f>
        <v>0</v>
      </c>
    </row>
    <row r="285" spans="7:74">
      <c r="G285" t="b" cm="1">
        <f t="array" ref="G285">IsRed('Large Dataset'!I285)</f>
        <v>1</v>
      </c>
      <c r="H285" t="b" cm="1">
        <f t="array" ref="H285">IsBlue('Large Dataset'!I285)</f>
        <v>0</v>
      </c>
      <c r="I285" t="b" cm="1">
        <f t="array" ref="I285">IsPurple('Large Dataset'!I285)</f>
        <v>0</v>
      </c>
      <c r="J285" t="b" cm="1">
        <f t="array" ref="J285">IsGreen('Large Dataset'!G285)</f>
        <v>0</v>
      </c>
      <c r="P285" t="b" cm="1">
        <f t="array" ref="P285">IsRed('Large Dataset'!K285)</f>
        <v>1</v>
      </c>
      <c r="Q285" t="b" cm="1">
        <f t="array" ref="Q285">IsBlue('Large Dataset'!K285)</f>
        <v>0</v>
      </c>
      <c r="R285" t="b" cm="1">
        <f t="array" ref="R285">IsPurple('Large Dataset'!K285)</f>
        <v>0</v>
      </c>
      <c r="S285" t="b" cm="1">
        <f t="array" ref="S285">IsGreen('Large Dataset'!K285)</f>
        <v>0</v>
      </c>
      <c r="Y285" t="b" cm="1">
        <f t="array" ref="Y285">IsRed('Large Dataset'!M285)</f>
        <v>1</v>
      </c>
      <c r="Z285" t="b" cm="1">
        <f t="array" ref="Z285">IsBlue('Large Dataset'!M285)</f>
        <v>0</v>
      </c>
      <c r="AA285" t="b" cm="1">
        <f t="array" ref="AA285">IsPurple('Large Dataset'!M285)</f>
        <v>0</v>
      </c>
      <c r="AB285" t="b" cm="1">
        <f t="array" ref="AB285">IsGreen('Large Dataset'!M285)</f>
        <v>0</v>
      </c>
      <c r="AH285" t="b" cm="1">
        <f t="array" ref="AH285">IsRed('Large Dataset'!O285)</f>
        <v>1</v>
      </c>
      <c r="AI285" t="b" cm="1">
        <f t="array" ref="AI285">IsBlue('Large Dataset'!O285)</f>
        <v>0</v>
      </c>
      <c r="AJ285" t="b" cm="1">
        <f t="array" ref="AJ285">IsPurple('Large Dataset'!O285)</f>
        <v>0</v>
      </c>
      <c r="AK285" t="b" cm="1">
        <f t="array" ref="AK285">IsGreen('Large Dataset'!O285)</f>
        <v>0</v>
      </c>
      <c r="AR285" t="b" cm="1">
        <f t="array" ref="AR285">IsRed('Large Dataset'!Q285)</f>
        <v>0</v>
      </c>
      <c r="AS285" t="b" cm="1">
        <f t="array" ref="AS285">IsBlue('Large Dataset'!Q285)</f>
        <v>0</v>
      </c>
      <c r="AT285" t="b" cm="1">
        <f t="array" ref="AT285">IsPurple('Large Dataset'!Q285)</f>
        <v>0</v>
      </c>
      <c r="AU285" t="b" cm="1">
        <f t="array" ref="AU285">IsGreen('Large Dataset'!Q285)</f>
        <v>0</v>
      </c>
      <c r="BA285" t="b" cm="1">
        <f t="array" ref="BA285">IsRed('Large Dataset'!R285)</f>
        <v>0</v>
      </c>
      <c r="BB285" t="b" cm="1">
        <f t="array" ref="BB285">IsBlue('Large Dataset'!R285)</f>
        <v>0</v>
      </c>
      <c r="BC285" t="b" cm="1">
        <f t="array" ref="BC285">IsPurple('Large Dataset'!R285)</f>
        <v>0</v>
      </c>
      <c r="BD285" t="b" cm="1">
        <f t="array" ref="BD285">IsGreen('Large Dataset'!R285)</f>
        <v>0</v>
      </c>
      <c r="BJ285" t="b" cm="1">
        <f t="array" ref="BJ285">IsRed('Large Dataset'!T285)</f>
        <v>0</v>
      </c>
      <c r="BK285" t="b" cm="1">
        <f t="array" ref="BK285">IsBlue('Large Dataset'!T285)</f>
        <v>0</v>
      </c>
      <c r="BL285" t="b" cm="1">
        <f t="array" ref="BL285">IsPurple('Large Dataset'!T285)</f>
        <v>0</v>
      </c>
      <c r="BM285" t="b" cm="1">
        <f t="array" ref="BM285">IsGreen('Large Dataset'!T285)</f>
        <v>0</v>
      </c>
      <c r="BS285" t="b" cm="1">
        <f t="array" ref="BS285">IsRed('Large Dataset'!U285)</f>
        <v>0</v>
      </c>
      <c r="BT285" t="b" cm="1">
        <f t="array" ref="BT285">IsBlue('Large Dataset'!U285)</f>
        <v>0</v>
      </c>
      <c r="BU285" t="b" cm="1">
        <f t="array" ref="BU285">IsPurple('Large Dataset'!U285)</f>
        <v>0</v>
      </c>
      <c r="BV285" t="b" cm="1">
        <f t="array" ref="BV285">IsGreen('Large Dataset'!U285)</f>
        <v>0</v>
      </c>
    </row>
    <row r="286" spans="7:74">
      <c r="G286" t="b" cm="1">
        <f t="array" ref="G286">IsRed('Large Dataset'!I286)</f>
        <v>1</v>
      </c>
      <c r="H286" t="b" cm="1">
        <f t="array" ref="H286">IsBlue('Large Dataset'!I286)</f>
        <v>0</v>
      </c>
      <c r="I286" t="b" cm="1">
        <f t="array" ref="I286">IsPurple('Large Dataset'!I286)</f>
        <v>0</v>
      </c>
      <c r="J286" t="b" cm="1">
        <f t="array" ref="J286">IsGreen('Large Dataset'!G286)</f>
        <v>0</v>
      </c>
      <c r="P286" t="b" cm="1">
        <f t="array" ref="P286">IsRed('Large Dataset'!K286)</f>
        <v>0</v>
      </c>
      <c r="Q286" t="b" cm="1">
        <f t="array" ref="Q286">IsBlue('Large Dataset'!K286)</f>
        <v>1</v>
      </c>
      <c r="R286" t="b" cm="1">
        <f t="array" ref="R286">IsPurple('Large Dataset'!K286)</f>
        <v>0</v>
      </c>
      <c r="S286" t="b" cm="1">
        <f t="array" ref="S286">IsGreen('Large Dataset'!K286)</f>
        <v>0</v>
      </c>
      <c r="Y286" t="b" cm="1">
        <f t="array" ref="Y286">IsRed('Large Dataset'!M286)</f>
        <v>1</v>
      </c>
      <c r="Z286" t="b" cm="1">
        <f t="array" ref="Z286">IsBlue('Large Dataset'!M286)</f>
        <v>0</v>
      </c>
      <c r="AA286" t="b" cm="1">
        <f t="array" ref="AA286">IsPurple('Large Dataset'!M286)</f>
        <v>0</v>
      </c>
      <c r="AB286" t="b" cm="1">
        <f t="array" ref="AB286">IsGreen('Large Dataset'!M286)</f>
        <v>0</v>
      </c>
      <c r="AH286" t="b" cm="1">
        <f t="array" ref="AH286">IsRed('Large Dataset'!O286)</f>
        <v>1</v>
      </c>
      <c r="AI286" t="b" cm="1">
        <f t="array" ref="AI286">IsBlue('Large Dataset'!O286)</f>
        <v>0</v>
      </c>
      <c r="AJ286" t="b" cm="1">
        <f t="array" ref="AJ286">IsPurple('Large Dataset'!O286)</f>
        <v>0</v>
      </c>
      <c r="AK286" t="b" cm="1">
        <f t="array" ref="AK286">IsGreen('Large Dataset'!O286)</f>
        <v>0</v>
      </c>
      <c r="AR286" t="b" cm="1">
        <f t="array" ref="AR286">IsRed('Large Dataset'!Q286)</f>
        <v>0</v>
      </c>
      <c r="AS286" t="b" cm="1">
        <f t="array" ref="AS286">IsBlue('Large Dataset'!Q286)</f>
        <v>0</v>
      </c>
      <c r="AT286" t="b" cm="1">
        <f t="array" ref="AT286">IsPurple('Large Dataset'!Q286)</f>
        <v>0</v>
      </c>
      <c r="AU286" t="b" cm="1">
        <f t="array" ref="AU286">IsGreen('Large Dataset'!Q286)</f>
        <v>0</v>
      </c>
      <c r="BA286" t="b" cm="1">
        <f t="array" ref="BA286">IsRed('Large Dataset'!R286)</f>
        <v>0</v>
      </c>
      <c r="BB286" t="b" cm="1">
        <f t="array" ref="BB286">IsBlue('Large Dataset'!R286)</f>
        <v>0</v>
      </c>
      <c r="BC286" t="b" cm="1">
        <f t="array" ref="BC286">IsPurple('Large Dataset'!R286)</f>
        <v>0</v>
      </c>
      <c r="BD286" t="b" cm="1">
        <f t="array" ref="BD286">IsGreen('Large Dataset'!R286)</f>
        <v>0</v>
      </c>
      <c r="BJ286" t="b" cm="1">
        <f t="array" ref="BJ286">IsRed('Large Dataset'!T286)</f>
        <v>0</v>
      </c>
      <c r="BK286" t="b" cm="1">
        <f t="array" ref="BK286">IsBlue('Large Dataset'!T286)</f>
        <v>0</v>
      </c>
      <c r="BL286" t="b" cm="1">
        <f t="array" ref="BL286">IsPurple('Large Dataset'!T286)</f>
        <v>0</v>
      </c>
      <c r="BM286" t="b" cm="1">
        <f t="array" ref="BM286">IsGreen('Large Dataset'!T286)</f>
        <v>0</v>
      </c>
      <c r="BS286" t="b" cm="1">
        <f t="array" ref="BS286">IsRed('Large Dataset'!U286)</f>
        <v>0</v>
      </c>
      <c r="BT286" t="b" cm="1">
        <f t="array" ref="BT286">IsBlue('Large Dataset'!U286)</f>
        <v>0</v>
      </c>
      <c r="BU286" t="b" cm="1">
        <f t="array" ref="BU286">IsPurple('Large Dataset'!U286)</f>
        <v>0</v>
      </c>
      <c r="BV286" t="b" cm="1">
        <f t="array" ref="BV286">IsGreen('Large Dataset'!U286)</f>
        <v>0</v>
      </c>
    </row>
    <row r="287" spans="7:74">
      <c r="G287" t="b" cm="1">
        <f t="array" ref="G287">IsRed('Large Dataset'!I287)</f>
        <v>1</v>
      </c>
      <c r="H287" t="b" cm="1">
        <f t="array" ref="H287">IsBlue('Large Dataset'!I287)</f>
        <v>0</v>
      </c>
      <c r="I287" t="b" cm="1">
        <f t="array" ref="I287">IsPurple('Large Dataset'!I287)</f>
        <v>0</v>
      </c>
      <c r="J287" t="b" cm="1">
        <f t="array" ref="J287">IsGreen('Large Dataset'!G287)</f>
        <v>0</v>
      </c>
      <c r="P287" t="b" cm="1">
        <f t="array" ref="P287">IsRed('Large Dataset'!K287)</f>
        <v>0</v>
      </c>
      <c r="Q287" t="b" cm="1">
        <f t="array" ref="Q287">IsBlue('Large Dataset'!K287)</f>
        <v>0</v>
      </c>
      <c r="R287" t="b" cm="1">
        <f t="array" ref="R287">IsPurple('Large Dataset'!K287)</f>
        <v>0</v>
      </c>
      <c r="S287" t="b" cm="1">
        <f t="array" ref="S287">IsGreen('Large Dataset'!K287)</f>
        <v>0</v>
      </c>
      <c r="Y287" t="b" cm="1">
        <f t="array" ref="Y287">IsRed('Large Dataset'!M287)</f>
        <v>1</v>
      </c>
      <c r="Z287" t="b" cm="1">
        <f t="array" ref="Z287">IsBlue('Large Dataset'!M287)</f>
        <v>0</v>
      </c>
      <c r="AA287" t="b" cm="1">
        <f t="array" ref="AA287">IsPurple('Large Dataset'!M287)</f>
        <v>0</v>
      </c>
      <c r="AB287" t="b" cm="1">
        <f t="array" ref="AB287">IsGreen('Large Dataset'!M287)</f>
        <v>0</v>
      </c>
      <c r="AH287" t="b" cm="1">
        <f t="array" ref="AH287">IsRed('Large Dataset'!O287)</f>
        <v>0</v>
      </c>
      <c r="AI287" t="b" cm="1">
        <f t="array" ref="AI287">IsBlue('Large Dataset'!O287)</f>
        <v>1</v>
      </c>
      <c r="AJ287" t="b" cm="1">
        <f t="array" ref="AJ287">IsPurple('Large Dataset'!O287)</f>
        <v>0</v>
      </c>
      <c r="AK287" t="b" cm="1">
        <f t="array" ref="AK287">IsGreen('Large Dataset'!O287)</f>
        <v>0</v>
      </c>
      <c r="AR287" t="b" cm="1">
        <f t="array" ref="AR287">IsRed('Large Dataset'!Q287)</f>
        <v>0</v>
      </c>
      <c r="AS287" t="b" cm="1">
        <f t="array" ref="AS287">IsBlue('Large Dataset'!Q287)</f>
        <v>0</v>
      </c>
      <c r="AT287" t="b" cm="1">
        <f t="array" ref="AT287">IsPurple('Large Dataset'!Q287)</f>
        <v>0</v>
      </c>
      <c r="AU287" t="b" cm="1">
        <f t="array" ref="AU287">IsGreen('Large Dataset'!Q287)</f>
        <v>0</v>
      </c>
      <c r="BA287" t="b" cm="1">
        <f t="array" ref="BA287">IsRed('Large Dataset'!R287)</f>
        <v>0</v>
      </c>
      <c r="BB287" t="b" cm="1">
        <f t="array" ref="BB287">IsBlue('Large Dataset'!R287)</f>
        <v>0</v>
      </c>
      <c r="BC287" t="b" cm="1">
        <f t="array" ref="BC287">IsPurple('Large Dataset'!R287)</f>
        <v>0</v>
      </c>
      <c r="BD287" t="b" cm="1">
        <f t="array" ref="BD287">IsGreen('Large Dataset'!R287)</f>
        <v>0</v>
      </c>
      <c r="BJ287" t="b" cm="1">
        <f t="array" ref="BJ287">IsRed('Large Dataset'!T287)</f>
        <v>0</v>
      </c>
      <c r="BK287" t="b" cm="1">
        <f t="array" ref="BK287">IsBlue('Large Dataset'!T287)</f>
        <v>0</v>
      </c>
      <c r="BL287" t="b" cm="1">
        <f t="array" ref="BL287">IsPurple('Large Dataset'!T287)</f>
        <v>0</v>
      </c>
      <c r="BM287" t="b" cm="1">
        <f t="array" ref="BM287">IsGreen('Large Dataset'!T287)</f>
        <v>0</v>
      </c>
      <c r="BS287" t="b" cm="1">
        <f t="array" ref="BS287">IsRed('Large Dataset'!U287)</f>
        <v>0</v>
      </c>
      <c r="BT287" t="b" cm="1">
        <f t="array" ref="BT287">IsBlue('Large Dataset'!U287)</f>
        <v>0</v>
      </c>
      <c r="BU287" t="b" cm="1">
        <f t="array" ref="BU287">IsPurple('Large Dataset'!U287)</f>
        <v>0</v>
      </c>
      <c r="BV287" t="b" cm="1">
        <f t="array" ref="BV287">IsGreen('Large Dataset'!U287)</f>
        <v>0</v>
      </c>
    </row>
    <row r="288" spans="7:74">
      <c r="G288" t="b" cm="1">
        <f t="array" ref="G288">IsRed('Large Dataset'!I288)</f>
        <v>1</v>
      </c>
      <c r="H288" t="b" cm="1">
        <f t="array" ref="H288">IsBlue('Large Dataset'!I288)</f>
        <v>0</v>
      </c>
      <c r="I288" t="b" cm="1">
        <f t="array" ref="I288">IsPurple('Large Dataset'!I288)</f>
        <v>0</v>
      </c>
      <c r="J288" t="b" cm="1">
        <f t="array" ref="J288">IsGreen('Large Dataset'!G288)</f>
        <v>0</v>
      </c>
      <c r="P288" t="b" cm="1">
        <f t="array" ref="P288">IsRed('Large Dataset'!K288)</f>
        <v>1</v>
      </c>
      <c r="Q288" t="b" cm="1">
        <f t="array" ref="Q288">IsBlue('Large Dataset'!K288)</f>
        <v>0</v>
      </c>
      <c r="R288" t="b" cm="1">
        <f t="array" ref="R288">IsPurple('Large Dataset'!K288)</f>
        <v>0</v>
      </c>
      <c r="S288" t="b" cm="1">
        <f t="array" ref="S288">IsGreen('Large Dataset'!K288)</f>
        <v>0</v>
      </c>
      <c r="Y288" t="b" cm="1">
        <f t="array" ref="Y288">IsRed('Large Dataset'!M288)</f>
        <v>1</v>
      </c>
      <c r="Z288" t="b" cm="1">
        <f t="array" ref="Z288">IsBlue('Large Dataset'!M288)</f>
        <v>0</v>
      </c>
      <c r="AA288" t="b" cm="1">
        <f t="array" ref="AA288">IsPurple('Large Dataset'!M288)</f>
        <v>0</v>
      </c>
      <c r="AB288" t="b" cm="1">
        <f t="array" ref="AB288">IsGreen('Large Dataset'!M288)</f>
        <v>0</v>
      </c>
      <c r="AH288" t="b" cm="1">
        <f t="array" ref="AH288">IsRed('Large Dataset'!O288)</f>
        <v>1</v>
      </c>
      <c r="AI288" t="b" cm="1">
        <f t="array" ref="AI288">IsBlue('Large Dataset'!O288)</f>
        <v>0</v>
      </c>
      <c r="AJ288" t="b" cm="1">
        <f t="array" ref="AJ288">IsPurple('Large Dataset'!O288)</f>
        <v>0</v>
      </c>
      <c r="AK288" t="b" cm="1">
        <f t="array" ref="AK288">IsGreen('Large Dataset'!O288)</f>
        <v>0</v>
      </c>
      <c r="AR288" t="b" cm="1">
        <f t="array" ref="AR288">IsRed('Large Dataset'!Q288)</f>
        <v>0</v>
      </c>
      <c r="AS288" t="b" cm="1">
        <f t="array" ref="AS288">IsBlue('Large Dataset'!Q288)</f>
        <v>0</v>
      </c>
      <c r="AT288" t="b" cm="1">
        <f t="array" ref="AT288">IsPurple('Large Dataset'!Q288)</f>
        <v>0</v>
      </c>
      <c r="AU288" t="b" cm="1">
        <f t="array" ref="AU288">IsGreen('Large Dataset'!Q288)</f>
        <v>0</v>
      </c>
      <c r="BA288" t="b" cm="1">
        <f t="array" ref="BA288">IsRed('Large Dataset'!R288)</f>
        <v>0</v>
      </c>
      <c r="BB288" t="b" cm="1">
        <f t="array" ref="BB288">IsBlue('Large Dataset'!R288)</f>
        <v>0</v>
      </c>
      <c r="BC288" t="b" cm="1">
        <f t="array" ref="BC288">IsPurple('Large Dataset'!R288)</f>
        <v>0</v>
      </c>
      <c r="BD288" t="b" cm="1">
        <f t="array" ref="BD288">IsGreen('Large Dataset'!R288)</f>
        <v>0</v>
      </c>
      <c r="BJ288" t="b" cm="1">
        <f t="array" ref="BJ288">IsRed('Large Dataset'!T288)</f>
        <v>0</v>
      </c>
      <c r="BK288" t="b" cm="1">
        <f t="array" ref="BK288">IsBlue('Large Dataset'!T288)</f>
        <v>0</v>
      </c>
      <c r="BL288" t="b" cm="1">
        <f t="array" ref="BL288">IsPurple('Large Dataset'!T288)</f>
        <v>0</v>
      </c>
      <c r="BM288" t="b" cm="1">
        <f t="array" ref="BM288">IsGreen('Large Dataset'!T288)</f>
        <v>0</v>
      </c>
      <c r="BS288" t="b" cm="1">
        <f t="array" ref="BS288">IsRed('Large Dataset'!U288)</f>
        <v>0</v>
      </c>
      <c r="BT288" t="b" cm="1">
        <f t="array" ref="BT288">IsBlue('Large Dataset'!U288)</f>
        <v>0</v>
      </c>
      <c r="BU288" t="b" cm="1">
        <f t="array" ref="BU288">IsPurple('Large Dataset'!U288)</f>
        <v>0</v>
      </c>
      <c r="BV288" t="b" cm="1">
        <f t="array" ref="BV288">IsGreen('Large Dataset'!U288)</f>
        <v>0</v>
      </c>
    </row>
    <row r="289" spans="7:74">
      <c r="G289" t="b" cm="1">
        <f t="array" ref="G289">IsRed('Large Dataset'!I289)</f>
        <v>1</v>
      </c>
      <c r="H289" t="b" cm="1">
        <f t="array" ref="H289">IsBlue('Large Dataset'!I289)</f>
        <v>0</v>
      </c>
      <c r="I289" t="b" cm="1">
        <f t="array" ref="I289">IsPurple('Large Dataset'!I289)</f>
        <v>0</v>
      </c>
      <c r="J289" t="b" cm="1">
        <f t="array" ref="J289">IsGreen('Large Dataset'!G289)</f>
        <v>0</v>
      </c>
      <c r="P289" t="b" cm="1">
        <f t="array" ref="P289">IsRed('Large Dataset'!K289)</f>
        <v>1</v>
      </c>
      <c r="Q289" t="b" cm="1">
        <f t="array" ref="Q289">IsBlue('Large Dataset'!K289)</f>
        <v>0</v>
      </c>
      <c r="R289" t="b" cm="1">
        <f t="array" ref="R289">IsPurple('Large Dataset'!K289)</f>
        <v>0</v>
      </c>
      <c r="S289" t="b" cm="1">
        <f t="array" ref="S289">IsGreen('Large Dataset'!K289)</f>
        <v>0</v>
      </c>
      <c r="Y289" t="b" cm="1">
        <f t="array" ref="Y289">IsRed('Large Dataset'!M289)</f>
        <v>1</v>
      </c>
      <c r="Z289" t="b" cm="1">
        <f t="array" ref="Z289">IsBlue('Large Dataset'!M289)</f>
        <v>0</v>
      </c>
      <c r="AA289" t="b" cm="1">
        <f t="array" ref="AA289">IsPurple('Large Dataset'!M289)</f>
        <v>0</v>
      </c>
      <c r="AB289" t="b" cm="1">
        <f t="array" ref="AB289">IsGreen('Large Dataset'!M289)</f>
        <v>0</v>
      </c>
      <c r="AH289" t="b" cm="1">
        <f t="array" ref="AH289">IsRed('Large Dataset'!O289)</f>
        <v>0</v>
      </c>
      <c r="AI289" t="b" cm="1">
        <f t="array" ref="AI289">IsBlue('Large Dataset'!O289)</f>
        <v>1</v>
      </c>
      <c r="AJ289" t="b" cm="1">
        <f t="array" ref="AJ289">IsPurple('Large Dataset'!O289)</f>
        <v>0</v>
      </c>
      <c r="AK289" t="b" cm="1">
        <f t="array" ref="AK289">IsGreen('Large Dataset'!O289)</f>
        <v>0</v>
      </c>
      <c r="AR289" t="b" cm="1">
        <f t="array" ref="AR289">IsRed('Large Dataset'!Q289)</f>
        <v>0</v>
      </c>
      <c r="AS289" t="b" cm="1">
        <f t="array" ref="AS289">IsBlue('Large Dataset'!Q289)</f>
        <v>0</v>
      </c>
      <c r="AT289" t="b" cm="1">
        <f t="array" ref="AT289">IsPurple('Large Dataset'!Q289)</f>
        <v>0</v>
      </c>
      <c r="AU289" t="b" cm="1">
        <f t="array" ref="AU289">IsGreen('Large Dataset'!Q289)</f>
        <v>0</v>
      </c>
      <c r="BA289" t="b" cm="1">
        <f t="array" ref="BA289">IsRed('Large Dataset'!R289)</f>
        <v>0</v>
      </c>
      <c r="BB289" t="b" cm="1">
        <f t="array" ref="BB289">IsBlue('Large Dataset'!R289)</f>
        <v>0</v>
      </c>
      <c r="BC289" t="b" cm="1">
        <f t="array" ref="BC289">IsPurple('Large Dataset'!R289)</f>
        <v>0</v>
      </c>
      <c r="BD289" t="b" cm="1">
        <f t="array" ref="BD289">IsGreen('Large Dataset'!R289)</f>
        <v>0</v>
      </c>
      <c r="BJ289" t="b" cm="1">
        <f t="array" ref="BJ289">IsRed('Large Dataset'!T289)</f>
        <v>0</v>
      </c>
      <c r="BK289" t="b" cm="1">
        <f t="array" ref="BK289">IsBlue('Large Dataset'!T289)</f>
        <v>0</v>
      </c>
      <c r="BL289" t="b" cm="1">
        <f t="array" ref="BL289">IsPurple('Large Dataset'!T289)</f>
        <v>0</v>
      </c>
      <c r="BM289" t="b" cm="1">
        <f t="array" ref="BM289">IsGreen('Large Dataset'!T289)</f>
        <v>0</v>
      </c>
      <c r="BS289" t="b" cm="1">
        <f t="array" ref="BS289">IsRed('Large Dataset'!U289)</f>
        <v>0</v>
      </c>
      <c r="BT289" t="b" cm="1">
        <f t="array" ref="BT289">IsBlue('Large Dataset'!U289)</f>
        <v>0</v>
      </c>
      <c r="BU289" t="b" cm="1">
        <f t="array" ref="BU289">IsPurple('Large Dataset'!U289)</f>
        <v>0</v>
      </c>
      <c r="BV289" t="b" cm="1">
        <f t="array" ref="BV289">IsGreen('Large Dataset'!U289)</f>
        <v>0</v>
      </c>
    </row>
    <row r="290" spans="7:74">
      <c r="G290" t="b" cm="1">
        <f t="array" ref="G290">IsRed('Large Dataset'!I290)</f>
        <v>1</v>
      </c>
      <c r="H290" t="b" cm="1">
        <f t="array" ref="H290">IsBlue('Large Dataset'!I290)</f>
        <v>0</v>
      </c>
      <c r="I290" t="b" cm="1">
        <f t="array" ref="I290">IsPurple('Large Dataset'!I290)</f>
        <v>0</v>
      </c>
      <c r="J290" t="b" cm="1">
        <f t="array" ref="J290">IsGreen('Large Dataset'!G290)</f>
        <v>0</v>
      </c>
      <c r="P290" t="b" cm="1">
        <f t="array" ref="P290">IsRed('Large Dataset'!K290)</f>
        <v>0</v>
      </c>
      <c r="Q290" t="b" cm="1">
        <f t="array" ref="Q290">IsBlue('Large Dataset'!K290)</f>
        <v>0</v>
      </c>
      <c r="R290" t="b" cm="1">
        <f t="array" ref="R290">IsPurple('Large Dataset'!K290)</f>
        <v>0</v>
      </c>
      <c r="S290" t="b" cm="1">
        <f t="array" ref="S290">IsGreen('Large Dataset'!K290)</f>
        <v>0</v>
      </c>
      <c r="Y290" t="b" cm="1">
        <f t="array" ref="Y290">IsRed('Large Dataset'!M290)</f>
        <v>1</v>
      </c>
      <c r="Z290" t="b" cm="1">
        <f t="array" ref="Z290">IsBlue('Large Dataset'!M290)</f>
        <v>0</v>
      </c>
      <c r="AA290" t="b" cm="1">
        <f t="array" ref="AA290">IsPurple('Large Dataset'!M290)</f>
        <v>0</v>
      </c>
      <c r="AB290" t="b" cm="1">
        <f t="array" ref="AB290">IsGreen('Large Dataset'!M290)</f>
        <v>0</v>
      </c>
      <c r="AH290" t="b" cm="1">
        <f t="array" ref="AH290">IsRed('Large Dataset'!O290)</f>
        <v>0</v>
      </c>
      <c r="AI290" t="b" cm="1">
        <f t="array" ref="AI290">IsBlue('Large Dataset'!O290)</f>
        <v>1</v>
      </c>
      <c r="AJ290" t="b" cm="1">
        <f t="array" ref="AJ290">IsPurple('Large Dataset'!O290)</f>
        <v>0</v>
      </c>
      <c r="AK290" t="b" cm="1">
        <f t="array" ref="AK290">IsGreen('Large Dataset'!O290)</f>
        <v>0</v>
      </c>
      <c r="AR290" t="b" cm="1">
        <f t="array" ref="AR290">IsRed('Large Dataset'!Q290)</f>
        <v>0</v>
      </c>
      <c r="AS290" t="b" cm="1">
        <f t="array" ref="AS290">IsBlue('Large Dataset'!Q290)</f>
        <v>0</v>
      </c>
      <c r="AT290" t="b" cm="1">
        <f t="array" ref="AT290">IsPurple('Large Dataset'!Q290)</f>
        <v>0</v>
      </c>
      <c r="AU290" t="b" cm="1">
        <f t="array" ref="AU290">IsGreen('Large Dataset'!Q290)</f>
        <v>0</v>
      </c>
      <c r="BA290" t="b" cm="1">
        <f t="array" ref="BA290">IsRed('Large Dataset'!R290)</f>
        <v>0</v>
      </c>
      <c r="BB290" t="b" cm="1">
        <f t="array" ref="BB290">IsBlue('Large Dataset'!R290)</f>
        <v>0</v>
      </c>
      <c r="BC290" t="b" cm="1">
        <f t="array" ref="BC290">IsPurple('Large Dataset'!R290)</f>
        <v>0</v>
      </c>
      <c r="BD290" t="b" cm="1">
        <f t="array" ref="BD290">IsGreen('Large Dataset'!R290)</f>
        <v>0</v>
      </c>
      <c r="BJ290" t="b" cm="1">
        <f t="array" ref="BJ290">IsRed('Large Dataset'!T290)</f>
        <v>0</v>
      </c>
      <c r="BK290" t="b" cm="1">
        <f t="array" ref="BK290">IsBlue('Large Dataset'!T290)</f>
        <v>0</v>
      </c>
      <c r="BL290" t="b" cm="1">
        <f t="array" ref="BL290">IsPurple('Large Dataset'!T290)</f>
        <v>0</v>
      </c>
      <c r="BM290" t="b" cm="1">
        <f t="array" ref="BM290">IsGreen('Large Dataset'!T290)</f>
        <v>0</v>
      </c>
      <c r="BS290" t="b" cm="1">
        <f t="array" ref="BS290">IsRed('Large Dataset'!U290)</f>
        <v>0</v>
      </c>
      <c r="BT290" t="b" cm="1">
        <f t="array" ref="BT290">IsBlue('Large Dataset'!U290)</f>
        <v>0</v>
      </c>
      <c r="BU290" t="b" cm="1">
        <f t="array" ref="BU290">IsPurple('Large Dataset'!U290)</f>
        <v>0</v>
      </c>
      <c r="BV290" t="b" cm="1">
        <f t="array" ref="BV290">IsGreen('Large Dataset'!U290)</f>
        <v>0</v>
      </c>
    </row>
    <row r="291" spans="7:74">
      <c r="G291" t="b" cm="1">
        <f t="array" ref="G291">IsRed('Large Dataset'!I291)</f>
        <v>0</v>
      </c>
      <c r="H291" t="b" cm="1">
        <f t="array" ref="H291">IsBlue('Large Dataset'!I291)</f>
        <v>0</v>
      </c>
      <c r="I291" t="b" cm="1">
        <f t="array" ref="I291">IsPurple('Large Dataset'!I291)</f>
        <v>0</v>
      </c>
      <c r="J291" t="b" cm="1">
        <f t="array" ref="J291">IsGreen('Large Dataset'!G291)</f>
        <v>0</v>
      </c>
      <c r="P291" t="b" cm="1">
        <f t="array" ref="P291">IsRed('Large Dataset'!K291)</f>
        <v>0</v>
      </c>
      <c r="Q291" t="b" cm="1">
        <f t="array" ref="Q291">IsBlue('Large Dataset'!K291)</f>
        <v>0</v>
      </c>
      <c r="R291" t="b" cm="1">
        <f t="array" ref="R291">IsPurple('Large Dataset'!K291)</f>
        <v>0</v>
      </c>
      <c r="S291" t="b" cm="1">
        <f t="array" ref="S291">IsGreen('Large Dataset'!K291)</f>
        <v>0</v>
      </c>
      <c r="Y291" t="b" cm="1">
        <f t="array" ref="Y291">IsRed('Large Dataset'!M291)</f>
        <v>0</v>
      </c>
      <c r="Z291" t="b" cm="1">
        <f t="array" ref="Z291">IsBlue('Large Dataset'!M291)</f>
        <v>0</v>
      </c>
      <c r="AA291" t="b" cm="1">
        <f t="array" ref="AA291">IsPurple('Large Dataset'!M291)</f>
        <v>0</v>
      </c>
      <c r="AB291" t="b" cm="1">
        <f t="array" ref="AB291">IsGreen('Large Dataset'!M291)</f>
        <v>0</v>
      </c>
      <c r="AH291" t="b" cm="1">
        <f t="array" ref="AH291">IsRed('Large Dataset'!O291)</f>
        <v>0</v>
      </c>
      <c r="AI291" t="b" cm="1">
        <f t="array" ref="AI291">IsBlue('Large Dataset'!O291)</f>
        <v>1</v>
      </c>
      <c r="AJ291" t="b" cm="1">
        <f t="array" ref="AJ291">IsPurple('Large Dataset'!O291)</f>
        <v>0</v>
      </c>
      <c r="AK291" t="b" cm="1">
        <f t="array" ref="AK291">IsGreen('Large Dataset'!O291)</f>
        <v>0</v>
      </c>
      <c r="AR291" t="b" cm="1">
        <f t="array" ref="AR291">IsRed('Large Dataset'!Q291)</f>
        <v>0</v>
      </c>
      <c r="AS291" t="b" cm="1">
        <f t="array" ref="AS291">IsBlue('Large Dataset'!Q291)</f>
        <v>0</v>
      </c>
      <c r="AT291" t="b" cm="1">
        <f t="array" ref="AT291">IsPurple('Large Dataset'!Q291)</f>
        <v>0</v>
      </c>
      <c r="AU291" t="b" cm="1">
        <f t="array" ref="AU291">IsGreen('Large Dataset'!Q291)</f>
        <v>0</v>
      </c>
      <c r="BA291" t="b" cm="1">
        <f t="array" ref="BA291">IsRed('Large Dataset'!R291)</f>
        <v>0</v>
      </c>
      <c r="BB291" t="b" cm="1">
        <f t="array" ref="BB291">IsBlue('Large Dataset'!R291)</f>
        <v>0</v>
      </c>
      <c r="BC291" t="b" cm="1">
        <f t="array" ref="BC291">IsPurple('Large Dataset'!R291)</f>
        <v>0</v>
      </c>
      <c r="BD291" t="b" cm="1">
        <f t="array" ref="BD291">IsGreen('Large Dataset'!R291)</f>
        <v>0</v>
      </c>
      <c r="BJ291" t="b" cm="1">
        <f t="array" ref="BJ291">IsRed('Large Dataset'!T291)</f>
        <v>0</v>
      </c>
      <c r="BK291" t="b" cm="1">
        <f t="array" ref="BK291">IsBlue('Large Dataset'!T291)</f>
        <v>0</v>
      </c>
      <c r="BL291" t="b" cm="1">
        <f t="array" ref="BL291">IsPurple('Large Dataset'!T291)</f>
        <v>0</v>
      </c>
      <c r="BM291" t="b" cm="1">
        <f t="array" ref="BM291">IsGreen('Large Dataset'!T291)</f>
        <v>0</v>
      </c>
      <c r="BS291" t="b" cm="1">
        <f t="array" ref="BS291">IsRed('Large Dataset'!U291)</f>
        <v>0</v>
      </c>
      <c r="BT291" t="b" cm="1">
        <f t="array" ref="BT291">IsBlue('Large Dataset'!U291)</f>
        <v>0</v>
      </c>
      <c r="BU291" t="b" cm="1">
        <f t="array" ref="BU291">IsPurple('Large Dataset'!U291)</f>
        <v>0</v>
      </c>
      <c r="BV291" t="b" cm="1">
        <f t="array" ref="BV291">IsGreen('Large Dataset'!U291)</f>
        <v>0</v>
      </c>
    </row>
    <row r="292" spans="7:74">
      <c r="G292" t="b" cm="1">
        <f t="array" ref="G292">IsRed('Large Dataset'!I292)</f>
        <v>0</v>
      </c>
      <c r="H292" t="b" cm="1">
        <f t="array" ref="H292">IsBlue('Large Dataset'!I292)</f>
        <v>0</v>
      </c>
      <c r="I292" t="b" cm="1">
        <f t="array" ref="I292">IsPurple('Large Dataset'!I292)</f>
        <v>0</v>
      </c>
      <c r="J292" t="b" cm="1">
        <f t="array" ref="J292">IsGreen('Large Dataset'!G292)</f>
        <v>0</v>
      </c>
      <c r="P292" t="b" cm="1">
        <f t="array" ref="P292">IsRed('Large Dataset'!K292)</f>
        <v>0</v>
      </c>
      <c r="Q292" t="b" cm="1">
        <f t="array" ref="Q292">IsBlue('Large Dataset'!K292)</f>
        <v>0</v>
      </c>
      <c r="R292" t="b" cm="1">
        <f t="array" ref="R292">IsPurple('Large Dataset'!K292)</f>
        <v>0</v>
      </c>
      <c r="S292" t="b" cm="1">
        <f t="array" ref="S292">IsGreen('Large Dataset'!K292)</f>
        <v>0</v>
      </c>
      <c r="Y292" t="b" cm="1">
        <f t="array" ref="Y292">IsRed('Large Dataset'!M292)</f>
        <v>0</v>
      </c>
      <c r="Z292" t="b" cm="1">
        <f t="array" ref="Z292">IsBlue('Large Dataset'!M292)</f>
        <v>0</v>
      </c>
      <c r="AA292" t="b" cm="1">
        <f t="array" ref="AA292">IsPurple('Large Dataset'!M292)</f>
        <v>0</v>
      </c>
      <c r="AB292" t="b" cm="1">
        <f t="array" ref="AB292">IsGreen('Large Dataset'!M292)</f>
        <v>0</v>
      </c>
      <c r="AH292" t="b" cm="1">
        <f t="array" ref="AH292">IsRed('Large Dataset'!O292)</f>
        <v>0</v>
      </c>
      <c r="AI292" t="b" cm="1">
        <f t="array" ref="AI292">IsBlue('Large Dataset'!O292)</f>
        <v>0</v>
      </c>
      <c r="AJ292" t="b" cm="1">
        <f t="array" ref="AJ292">IsPurple('Large Dataset'!O292)</f>
        <v>0</v>
      </c>
      <c r="AK292" t="b" cm="1">
        <f t="array" ref="AK292">IsGreen('Large Dataset'!O292)</f>
        <v>0</v>
      </c>
      <c r="AR292" t="b" cm="1">
        <f t="array" ref="AR292">IsRed('Large Dataset'!Q292)</f>
        <v>0</v>
      </c>
      <c r="AS292" t="b" cm="1">
        <f t="array" ref="AS292">IsBlue('Large Dataset'!Q292)</f>
        <v>0</v>
      </c>
      <c r="AT292" t="b" cm="1">
        <f t="array" ref="AT292">IsPurple('Large Dataset'!Q292)</f>
        <v>0</v>
      </c>
      <c r="AU292" t="b" cm="1">
        <f t="array" ref="AU292">IsGreen('Large Dataset'!Q292)</f>
        <v>0</v>
      </c>
      <c r="BA292" t="b" cm="1">
        <f t="array" ref="BA292">IsRed('Large Dataset'!R292)</f>
        <v>0</v>
      </c>
      <c r="BB292" t="b" cm="1">
        <f t="array" ref="BB292">IsBlue('Large Dataset'!R292)</f>
        <v>0</v>
      </c>
      <c r="BC292" t="b" cm="1">
        <f t="array" ref="BC292">IsPurple('Large Dataset'!R292)</f>
        <v>0</v>
      </c>
      <c r="BD292" t="b" cm="1">
        <f t="array" ref="BD292">IsGreen('Large Dataset'!R292)</f>
        <v>0</v>
      </c>
      <c r="BJ292" t="b" cm="1">
        <f t="array" ref="BJ292">IsRed('Large Dataset'!T292)</f>
        <v>0</v>
      </c>
      <c r="BK292" t="b" cm="1">
        <f t="array" ref="BK292">IsBlue('Large Dataset'!T292)</f>
        <v>0</v>
      </c>
      <c r="BL292" t="b" cm="1">
        <f t="array" ref="BL292">IsPurple('Large Dataset'!T292)</f>
        <v>0</v>
      </c>
      <c r="BM292" t="b" cm="1">
        <f t="array" ref="BM292">IsGreen('Large Dataset'!T292)</f>
        <v>0</v>
      </c>
      <c r="BS292" t="b" cm="1">
        <f t="array" ref="BS292">IsRed('Large Dataset'!U292)</f>
        <v>0</v>
      </c>
      <c r="BT292" t="b" cm="1">
        <f t="array" ref="BT292">IsBlue('Large Dataset'!U292)</f>
        <v>0</v>
      </c>
      <c r="BU292" t="b" cm="1">
        <f t="array" ref="BU292">IsPurple('Large Dataset'!U292)</f>
        <v>0</v>
      </c>
      <c r="BV292" t="b" cm="1">
        <f t="array" ref="BV292">IsGreen('Large Dataset'!U292)</f>
        <v>0</v>
      </c>
    </row>
    <row r="293" spans="7:74">
      <c r="G293" t="b" cm="1">
        <f t="array" ref="G293">IsRed('Large Dataset'!I293)</f>
        <v>0</v>
      </c>
      <c r="H293" t="b" cm="1">
        <f t="array" ref="H293">IsBlue('Large Dataset'!I293)</f>
        <v>0</v>
      </c>
      <c r="I293" t="b" cm="1">
        <f t="array" ref="I293">IsPurple('Large Dataset'!I293)</f>
        <v>0</v>
      </c>
      <c r="J293" t="b" cm="1">
        <f t="array" ref="J293">IsGreen('Large Dataset'!G293)</f>
        <v>0</v>
      </c>
      <c r="P293" t="b" cm="1">
        <f t="array" ref="P293">IsRed('Large Dataset'!K293)</f>
        <v>0</v>
      </c>
      <c r="Q293" t="b" cm="1">
        <f t="array" ref="Q293">IsBlue('Large Dataset'!K293)</f>
        <v>0</v>
      </c>
      <c r="R293" t="b" cm="1">
        <f t="array" ref="R293">IsPurple('Large Dataset'!K293)</f>
        <v>0</v>
      </c>
      <c r="S293" t="b" cm="1">
        <f t="array" ref="S293">IsGreen('Large Dataset'!K293)</f>
        <v>0</v>
      </c>
      <c r="Y293" t="b" cm="1">
        <f t="array" ref="Y293">IsRed('Large Dataset'!M293)</f>
        <v>0</v>
      </c>
      <c r="Z293" t="b" cm="1">
        <f t="array" ref="Z293">IsBlue('Large Dataset'!M293)</f>
        <v>0</v>
      </c>
      <c r="AA293" t="b" cm="1">
        <f t="array" ref="AA293">IsPurple('Large Dataset'!M293)</f>
        <v>0</v>
      </c>
      <c r="AB293" t="b" cm="1">
        <f t="array" ref="AB293">IsGreen('Large Dataset'!M293)</f>
        <v>0</v>
      </c>
      <c r="AH293" t="b" cm="1">
        <f t="array" ref="AH293">IsRed('Large Dataset'!O293)</f>
        <v>0</v>
      </c>
      <c r="AI293" t="b" cm="1">
        <f t="array" ref="AI293">IsBlue('Large Dataset'!O293)</f>
        <v>0</v>
      </c>
      <c r="AJ293" t="b" cm="1">
        <f t="array" ref="AJ293">IsPurple('Large Dataset'!O293)</f>
        <v>0</v>
      </c>
      <c r="AK293" t="b" cm="1">
        <f t="array" ref="AK293">IsGreen('Large Dataset'!O293)</f>
        <v>0</v>
      </c>
      <c r="AR293" t="b" cm="1">
        <f t="array" ref="AR293">IsRed('Large Dataset'!Q293)</f>
        <v>0</v>
      </c>
      <c r="AS293" t="b" cm="1">
        <f t="array" ref="AS293">IsBlue('Large Dataset'!Q293)</f>
        <v>0</v>
      </c>
      <c r="AT293" t="b" cm="1">
        <f t="array" ref="AT293">IsPurple('Large Dataset'!Q293)</f>
        <v>0</v>
      </c>
      <c r="AU293" t="b" cm="1">
        <f t="array" ref="AU293">IsGreen('Large Dataset'!Q293)</f>
        <v>0</v>
      </c>
      <c r="BA293" t="b" cm="1">
        <f t="array" ref="BA293">IsRed('Large Dataset'!R293)</f>
        <v>0</v>
      </c>
      <c r="BB293" t="b" cm="1">
        <f t="array" ref="BB293">IsBlue('Large Dataset'!R293)</f>
        <v>0</v>
      </c>
      <c r="BC293" t="b" cm="1">
        <f t="array" ref="BC293">IsPurple('Large Dataset'!R293)</f>
        <v>0</v>
      </c>
      <c r="BD293" t="b" cm="1">
        <f t="array" ref="BD293">IsGreen('Large Dataset'!R293)</f>
        <v>0</v>
      </c>
      <c r="BJ293" t="b" cm="1">
        <f t="array" ref="BJ293">IsRed('Large Dataset'!T293)</f>
        <v>0</v>
      </c>
      <c r="BK293" t="b" cm="1">
        <f t="array" ref="BK293">IsBlue('Large Dataset'!T293)</f>
        <v>0</v>
      </c>
      <c r="BL293" t="b" cm="1">
        <f t="array" ref="BL293">IsPurple('Large Dataset'!T293)</f>
        <v>0</v>
      </c>
      <c r="BM293" t="b" cm="1">
        <f t="array" ref="BM293">IsGreen('Large Dataset'!T293)</f>
        <v>0</v>
      </c>
      <c r="BS293" t="b" cm="1">
        <f t="array" ref="BS293">IsRed('Large Dataset'!U293)</f>
        <v>0</v>
      </c>
      <c r="BT293" t="b" cm="1">
        <f t="array" ref="BT293">IsBlue('Large Dataset'!U293)</f>
        <v>0</v>
      </c>
      <c r="BU293" t="b" cm="1">
        <f t="array" ref="BU293">IsPurple('Large Dataset'!U293)</f>
        <v>0</v>
      </c>
      <c r="BV293" t="b" cm="1">
        <f t="array" ref="BV293">IsGreen('Large Dataset'!U293)</f>
        <v>0</v>
      </c>
    </row>
    <row r="294" spans="7:74">
      <c r="G294" t="b" cm="1">
        <f t="array" ref="G294">IsRed('Large Dataset'!I294)</f>
        <v>0</v>
      </c>
      <c r="H294" t="b" cm="1">
        <f t="array" ref="H294">IsBlue('Large Dataset'!I294)</f>
        <v>0</v>
      </c>
      <c r="I294" t="b" cm="1">
        <f t="array" ref="I294">IsPurple('Large Dataset'!I294)</f>
        <v>0</v>
      </c>
      <c r="J294" t="b" cm="1">
        <f t="array" ref="J294">IsGreen('Large Dataset'!G294)</f>
        <v>0</v>
      </c>
      <c r="P294" t="b" cm="1">
        <f t="array" ref="P294">IsRed('Large Dataset'!K294)</f>
        <v>0</v>
      </c>
      <c r="Q294" t="b" cm="1">
        <f t="array" ref="Q294">IsBlue('Large Dataset'!K294)</f>
        <v>0</v>
      </c>
      <c r="R294" t="b" cm="1">
        <f t="array" ref="R294">IsPurple('Large Dataset'!K294)</f>
        <v>0</v>
      </c>
      <c r="S294" t="b" cm="1">
        <f t="array" ref="S294">IsGreen('Large Dataset'!K294)</f>
        <v>0</v>
      </c>
      <c r="Y294" t="b" cm="1">
        <f t="array" ref="Y294">IsRed('Large Dataset'!M294)</f>
        <v>0</v>
      </c>
      <c r="Z294" t="b" cm="1">
        <f t="array" ref="Z294">IsBlue('Large Dataset'!M294)</f>
        <v>0</v>
      </c>
      <c r="AA294" t="b" cm="1">
        <f t="array" ref="AA294">IsPurple('Large Dataset'!M294)</f>
        <v>0</v>
      </c>
      <c r="AB294" t="b" cm="1">
        <f t="array" ref="AB294">IsGreen('Large Dataset'!M294)</f>
        <v>0</v>
      </c>
      <c r="AH294" t="b" cm="1">
        <f t="array" ref="AH294">IsRed('Large Dataset'!O294)</f>
        <v>0</v>
      </c>
      <c r="AI294" t="b" cm="1">
        <f t="array" ref="AI294">IsBlue('Large Dataset'!O294)</f>
        <v>0</v>
      </c>
      <c r="AJ294" t="b" cm="1">
        <f t="array" ref="AJ294">IsPurple('Large Dataset'!O294)</f>
        <v>0</v>
      </c>
      <c r="AK294" t="b" cm="1">
        <f t="array" ref="AK294">IsGreen('Large Dataset'!O294)</f>
        <v>0</v>
      </c>
      <c r="AR294" t="b" cm="1">
        <f t="array" ref="AR294">IsRed('Large Dataset'!Q294)</f>
        <v>0</v>
      </c>
      <c r="AS294" t="b" cm="1">
        <f t="array" ref="AS294">IsBlue('Large Dataset'!Q294)</f>
        <v>0</v>
      </c>
      <c r="AT294" t="b" cm="1">
        <f t="array" ref="AT294">IsPurple('Large Dataset'!Q294)</f>
        <v>0</v>
      </c>
      <c r="AU294" t="b" cm="1">
        <f t="array" ref="AU294">IsGreen('Large Dataset'!Q294)</f>
        <v>0</v>
      </c>
      <c r="BA294" t="b" cm="1">
        <f t="array" ref="BA294">IsRed('Large Dataset'!R294)</f>
        <v>0</v>
      </c>
      <c r="BB294" t="b" cm="1">
        <f t="array" ref="BB294">IsBlue('Large Dataset'!R294)</f>
        <v>0</v>
      </c>
      <c r="BC294" t="b" cm="1">
        <f t="array" ref="BC294">IsPurple('Large Dataset'!R294)</f>
        <v>0</v>
      </c>
      <c r="BD294" t="b" cm="1">
        <f t="array" ref="BD294">IsGreen('Large Dataset'!R294)</f>
        <v>0</v>
      </c>
      <c r="BJ294" t="b" cm="1">
        <f t="array" ref="BJ294">IsRed('Large Dataset'!T294)</f>
        <v>0</v>
      </c>
      <c r="BK294" t="b" cm="1">
        <f t="array" ref="BK294">IsBlue('Large Dataset'!T294)</f>
        <v>0</v>
      </c>
      <c r="BL294" t="b" cm="1">
        <f t="array" ref="BL294">IsPurple('Large Dataset'!T294)</f>
        <v>0</v>
      </c>
      <c r="BM294" t="b" cm="1">
        <f t="array" ref="BM294">IsGreen('Large Dataset'!T294)</f>
        <v>0</v>
      </c>
      <c r="BS294" t="b" cm="1">
        <f t="array" ref="BS294">IsRed('Large Dataset'!U294)</f>
        <v>0</v>
      </c>
      <c r="BT294" t="b" cm="1">
        <f t="array" ref="BT294">IsBlue('Large Dataset'!U294)</f>
        <v>0</v>
      </c>
      <c r="BU294" t="b" cm="1">
        <f t="array" ref="BU294">IsPurple('Large Dataset'!U294)</f>
        <v>0</v>
      </c>
      <c r="BV294" t="b" cm="1">
        <f t="array" ref="BV294">IsGreen('Large Dataset'!U294)</f>
        <v>0</v>
      </c>
    </row>
    <row r="295" spans="7:74">
      <c r="G295" t="b" cm="1">
        <f t="array" ref="G295">IsRed('Large Dataset'!I295)</f>
        <v>0</v>
      </c>
      <c r="H295" t="b" cm="1">
        <f t="array" ref="H295">IsBlue('Large Dataset'!I295)</f>
        <v>0</v>
      </c>
      <c r="I295" t="b" cm="1">
        <f t="array" ref="I295">IsPurple('Large Dataset'!I295)</f>
        <v>0</v>
      </c>
      <c r="J295" t="b" cm="1">
        <f t="array" ref="J295">IsGreen('Large Dataset'!G295)</f>
        <v>0</v>
      </c>
      <c r="P295" t="b" cm="1">
        <f t="array" ref="P295">IsRed('Large Dataset'!K295)</f>
        <v>0</v>
      </c>
      <c r="Q295" t="b" cm="1">
        <f t="array" ref="Q295">IsBlue('Large Dataset'!K295)</f>
        <v>0</v>
      </c>
      <c r="R295" t="b" cm="1">
        <f t="array" ref="R295">IsPurple('Large Dataset'!K295)</f>
        <v>0</v>
      </c>
      <c r="S295" t="b" cm="1">
        <f t="array" ref="S295">IsGreen('Large Dataset'!K295)</f>
        <v>0</v>
      </c>
      <c r="Y295" t="b" cm="1">
        <f t="array" ref="Y295">IsRed('Large Dataset'!M295)</f>
        <v>0</v>
      </c>
      <c r="Z295" t="b" cm="1">
        <f t="array" ref="Z295">IsBlue('Large Dataset'!M295)</f>
        <v>0</v>
      </c>
      <c r="AA295" t="b" cm="1">
        <f t="array" ref="AA295">IsPurple('Large Dataset'!M295)</f>
        <v>0</v>
      </c>
      <c r="AB295" t="b" cm="1">
        <f t="array" ref="AB295">IsGreen('Large Dataset'!M295)</f>
        <v>0</v>
      </c>
      <c r="AH295" t="b" cm="1">
        <f t="array" ref="AH295">IsRed('Large Dataset'!O295)</f>
        <v>0</v>
      </c>
      <c r="AI295" t="b" cm="1">
        <f t="array" ref="AI295">IsBlue('Large Dataset'!O295)</f>
        <v>1</v>
      </c>
      <c r="AJ295" t="b" cm="1">
        <f t="array" ref="AJ295">IsPurple('Large Dataset'!O295)</f>
        <v>0</v>
      </c>
      <c r="AK295" t="b" cm="1">
        <f t="array" ref="AK295">IsGreen('Large Dataset'!O295)</f>
        <v>0</v>
      </c>
      <c r="AR295" t="b" cm="1">
        <f t="array" ref="AR295">IsRed('Large Dataset'!Q295)</f>
        <v>0</v>
      </c>
      <c r="AS295" t="b" cm="1">
        <f t="array" ref="AS295">IsBlue('Large Dataset'!Q295)</f>
        <v>0</v>
      </c>
      <c r="AT295" t="b" cm="1">
        <f t="array" ref="AT295">IsPurple('Large Dataset'!Q295)</f>
        <v>0</v>
      </c>
      <c r="AU295" t="b" cm="1">
        <f t="array" ref="AU295">IsGreen('Large Dataset'!Q295)</f>
        <v>0</v>
      </c>
      <c r="BA295" t="b" cm="1">
        <f t="array" ref="BA295">IsRed('Large Dataset'!R295)</f>
        <v>0</v>
      </c>
      <c r="BB295" t="b" cm="1">
        <f t="array" ref="BB295">IsBlue('Large Dataset'!R295)</f>
        <v>0</v>
      </c>
      <c r="BC295" t="b" cm="1">
        <f t="array" ref="BC295">IsPurple('Large Dataset'!R295)</f>
        <v>0</v>
      </c>
      <c r="BD295" t="b" cm="1">
        <f t="array" ref="BD295">IsGreen('Large Dataset'!R295)</f>
        <v>0</v>
      </c>
      <c r="BJ295" t="b" cm="1">
        <f t="array" ref="BJ295">IsRed('Large Dataset'!T295)</f>
        <v>0</v>
      </c>
      <c r="BK295" t="b" cm="1">
        <f t="array" ref="BK295">IsBlue('Large Dataset'!T295)</f>
        <v>0</v>
      </c>
      <c r="BL295" t="b" cm="1">
        <f t="array" ref="BL295">IsPurple('Large Dataset'!T295)</f>
        <v>0</v>
      </c>
      <c r="BM295" t="b" cm="1">
        <f t="array" ref="BM295">IsGreen('Large Dataset'!T295)</f>
        <v>0</v>
      </c>
      <c r="BS295" t="b" cm="1">
        <f t="array" ref="BS295">IsRed('Large Dataset'!U295)</f>
        <v>0</v>
      </c>
      <c r="BT295" t="b" cm="1">
        <f t="array" ref="BT295">IsBlue('Large Dataset'!U295)</f>
        <v>0</v>
      </c>
      <c r="BU295" t="b" cm="1">
        <f t="array" ref="BU295">IsPurple('Large Dataset'!U295)</f>
        <v>0</v>
      </c>
      <c r="BV295" t="b" cm="1">
        <f t="array" ref="BV295">IsGreen('Large Dataset'!U295)</f>
        <v>0</v>
      </c>
    </row>
    <row r="296" spans="7:74">
      <c r="G296" t="b" cm="1">
        <f t="array" ref="G296">IsRed('Large Dataset'!I296)</f>
        <v>0</v>
      </c>
      <c r="H296" t="b" cm="1">
        <f t="array" ref="H296">IsBlue('Large Dataset'!I296)</f>
        <v>0</v>
      </c>
      <c r="I296" t="b" cm="1">
        <f t="array" ref="I296">IsPurple('Large Dataset'!I296)</f>
        <v>0</v>
      </c>
      <c r="J296" t="b" cm="1">
        <f t="array" ref="J296">IsGreen('Large Dataset'!G296)</f>
        <v>0</v>
      </c>
      <c r="P296" t="b" cm="1">
        <f t="array" ref="P296">IsRed('Large Dataset'!K296)</f>
        <v>0</v>
      </c>
      <c r="Q296" t="b" cm="1">
        <f t="array" ref="Q296">IsBlue('Large Dataset'!K296)</f>
        <v>0</v>
      </c>
      <c r="R296" t="b" cm="1">
        <f t="array" ref="R296">IsPurple('Large Dataset'!K296)</f>
        <v>0</v>
      </c>
      <c r="S296" t="b" cm="1">
        <f t="array" ref="S296">IsGreen('Large Dataset'!K296)</f>
        <v>0</v>
      </c>
      <c r="Y296" t="b" cm="1">
        <f t="array" ref="Y296">IsRed('Large Dataset'!M296)</f>
        <v>0</v>
      </c>
      <c r="Z296" t="b" cm="1">
        <f t="array" ref="Z296">IsBlue('Large Dataset'!M296)</f>
        <v>0</v>
      </c>
      <c r="AA296" t="b" cm="1">
        <f t="array" ref="AA296">IsPurple('Large Dataset'!M296)</f>
        <v>0</v>
      </c>
      <c r="AB296" t="b" cm="1">
        <f t="array" ref="AB296">IsGreen('Large Dataset'!M296)</f>
        <v>0</v>
      </c>
      <c r="AH296" t="b" cm="1">
        <f t="array" ref="AH296">IsRed('Large Dataset'!O296)</f>
        <v>0</v>
      </c>
      <c r="AI296" t="b" cm="1">
        <f t="array" ref="AI296">IsBlue('Large Dataset'!O296)</f>
        <v>1</v>
      </c>
      <c r="AJ296" t="b" cm="1">
        <f t="array" ref="AJ296">IsPurple('Large Dataset'!O296)</f>
        <v>0</v>
      </c>
      <c r="AK296" t="b" cm="1">
        <f t="array" ref="AK296">IsGreen('Large Dataset'!O296)</f>
        <v>0</v>
      </c>
      <c r="AR296" t="b" cm="1">
        <f t="array" ref="AR296">IsRed('Large Dataset'!Q296)</f>
        <v>0</v>
      </c>
      <c r="AS296" t="b" cm="1">
        <f t="array" ref="AS296">IsBlue('Large Dataset'!Q296)</f>
        <v>0</v>
      </c>
      <c r="AT296" t="b" cm="1">
        <f t="array" ref="AT296">IsPurple('Large Dataset'!Q296)</f>
        <v>0</v>
      </c>
      <c r="AU296" t="b" cm="1">
        <f t="array" ref="AU296">IsGreen('Large Dataset'!Q296)</f>
        <v>0</v>
      </c>
      <c r="BA296" t="b" cm="1">
        <f t="array" ref="BA296">IsRed('Large Dataset'!R296)</f>
        <v>0</v>
      </c>
      <c r="BB296" t="b" cm="1">
        <f t="array" ref="BB296">IsBlue('Large Dataset'!R296)</f>
        <v>0</v>
      </c>
      <c r="BC296" t="b" cm="1">
        <f t="array" ref="BC296">IsPurple('Large Dataset'!R296)</f>
        <v>0</v>
      </c>
      <c r="BD296" t="b" cm="1">
        <f t="array" ref="BD296">IsGreen('Large Dataset'!R296)</f>
        <v>0</v>
      </c>
      <c r="BJ296" t="b" cm="1">
        <f t="array" ref="BJ296">IsRed('Large Dataset'!T296)</f>
        <v>0</v>
      </c>
      <c r="BK296" t="b" cm="1">
        <f t="array" ref="BK296">IsBlue('Large Dataset'!T296)</f>
        <v>0</v>
      </c>
      <c r="BL296" t="b" cm="1">
        <f t="array" ref="BL296">IsPurple('Large Dataset'!T296)</f>
        <v>0</v>
      </c>
      <c r="BM296" t="b" cm="1">
        <f t="array" ref="BM296">IsGreen('Large Dataset'!T296)</f>
        <v>0</v>
      </c>
      <c r="BS296" t="b" cm="1">
        <f t="array" ref="BS296">IsRed('Large Dataset'!U296)</f>
        <v>0</v>
      </c>
      <c r="BT296" t="b" cm="1">
        <f t="array" ref="BT296">IsBlue('Large Dataset'!U296)</f>
        <v>0</v>
      </c>
      <c r="BU296" t="b" cm="1">
        <f t="array" ref="BU296">IsPurple('Large Dataset'!U296)</f>
        <v>0</v>
      </c>
      <c r="BV296" t="b" cm="1">
        <f t="array" ref="BV296">IsGreen('Large Dataset'!U296)</f>
        <v>0</v>
      </c>
    </row>
    <row r="297" spans="7:74">
      <c r="G297" t="b" cm="1">
        <f t="array" ref="G297">IsRed('Large Dataset'!I297)</f>
        <v>1</v>
      </c>
      <c r="H297" t="b" cm="1">
        <f t="array" ref="H297">IsBlue('Large Dataset'!I297)</f>
        <v>0</v>
      </c>
      <c r="I297" t="b" cm="1">
        <f t="array" ref="I297">IsPurple('Large Dataset'!I297)</f>
        <v>0</v>
      </c>
      <c r="J297" t="b" cm="1">
        <f t="array" ref="J297">IsGreen('Large Dataset'!G297)</f>
        <v>0</v>
      </c>
      <c r="P297" t="b" cm="1">
        <f t="array" ref="P297">IsRed('Large Dataset'!K297)</f>
        <v>1</v>
      </c>
      <c r="Q297" t="b" cm="1">
        <f t="array" ref="Q297">IsBlue('Large Dataset'!K297)</f>
        <v>0</v>
      </c>
      <c r="R297" t="b" cm="1">
        <f t="array" ref="R297">IsPurple('Large Dataset'!K297)</f>
        <v>0</v>
      </c>
      <c r="S297" t="b" cm="1">
        <f t="array" ref="S297">IsGreen('Large Dataset'!K297)</f>
        <v>0</v>
      </c>
      <c r="Y297" t="b" cm="1">
        <f t="array" ref="Y297">IsRed('Large Dataset'!M297)</f>
        <v>1</v>
      </c>
      <c r="Z297" t="b" cm="1">
        <f t="array" ref="Z297">IsBlue('Large Dataset'!M297)</f>
        <v>0</v>
      </c>
      <c r="AA297" t="b" cm="1">
        <f t="array" ref="AA297">IsPurple('Large Dataset'!M297)</f>
        <v>0</v>
      </c>
      <c r="AB297" t="b" cm="1">
        <f t="array" ref="AB297">IsGreen('Large Dataset'!M297)</f>
        <v>0</v>
      </c>
      <c r="AH297" t="b" cm="1">
        <f t="array" ref="AH297">IsRed('Large Dataset'!O297)</f>
        <v>1</v>
      </c>
      <c r="AI297" t="b" cm="1">
        <f t="array" ref="AI297">IsBlue('Large Dataset'!O297)</f>
        <v>0</v>
      </c>
      <c r="AJ297" t="b" cm="1">
        <f t="array" ref="AJ297">IsPurple('Large Dataset'!O297)</f>
        <v>0</v>
      </c>
      <c r="AK297" t="b" cm="1">
        <f t="array" ref="AK297">IsGreen('Large Dataset'!O297)</f>
        <v>0</v>
      </c>
      <c r="AR297" t="b" cm="1">
        <f t="array" ref="AR297">IsRed('Large Dataset'!Q297)</f>
        <v>0</v>
      </c>
      <c r="AS297" t="b" cm="1">
        <f t="array" ref="AS297">IsBlue('Large Dataset'!Q297)</f>
        <v>0</v>
      </c>
      <c r="AT297" t="b" cm="1">
        <f t="array" ref="AT297">IsPurple('Large Dataset'!Q297)</f>
        <v>0</v>
      </c>
      <c r="AU297" t="b" cm="1">
        <f t="array" ref="AU297">IsGreen('Large Dataset'!Q297)</f>
        <v>0</v>
      </c>
      <c r="BA297" t="b" cm="1">
        <f t="array" ref="BA297">IsRed('Large Dataset'!R297)</f>
        <v>0</v>
      </c>
      <c r="BB297" t="b" cm="1">
        <f t="array" ref="BB297">IsBlue('Large Dataset'!R297)</f>
        <v>0</v>
      </c>
      <c r="BC297" t="b" cm="1">
        <f t="array" ref="BC297">IsPurple('Large Dataset'!R297)</f>
        <v>0</v>
      </c>
      <c r="BD297" t="b" cm="1">
        <f t="array" ref="BD297">IsGreen('Large Dataset'!R297)</f>
        <v>0</v>
      </c>
      <c r="BJ297" t="b" cm="1">
        <f t="array" ref="BJ297">IsRed('Large Dataset'!T297)</f>
        <v>0</v>
      </c>
      <c r="BK297" t="b" cm="1">
        <f t="array" ref="BK297">IsBlue('Large Dataset'!T297)</f>
        <v>0</v>
      </c>
      <c r="BL297" t="b" cm="1">
        <f t="array" ref="BL297">IsPurple('Large Dataset'!T297)</f>
        <v>0</v>
      </c>
      <c r="BM297" t="b" cm="1">
        <f t="array" ref="BM297">IsGreen('Large Dataset'!T297)</f>
        <v>0</v>
      </c>
      <c r="BS297" t="b" cm="1">
        <f t="array" ref="BS297">IsRed('Large Dataset'!U297)</f>
        <v>0</v>
      </c>
      <c r="BT297" t="b" cm="1">
        <f t="array" ref="BT297">IsBlue('Large Dataset'!U297)</f>
        <v>0</v>
      </c>
      <c r="BU297" t="b" cm="1">
        <f t="array" ref="BU297">IsPurple('Large Dataset'!U297)</f>
        <v>0</v>
      </c>
      <c r="BV297" t="b" cm="1">
        <f t="array" ref="BV297">IsGreen('Large Dataset'!U297)</f>
        <v>0</v>
      </c>
    </row>
    <row r="298" spans="7:74">
      <c r="G298" t="b" cm="1">
        <f t="array" ref="G298">IsRed('Large Dataset'!I298)</f>
        <v>1</v>
      </c>
      <c r="H298" t="b" cm="1">
        <f t="array" ref="H298">IsBlue('Large Dataset'!I298)</f>
        <v>0</v>
      </c>
      <c r="I298" t="b" cm="1">
        <f t="array" ref="I298">IsPurple('Large Dataset'!I298)</f>
        <v>0</v>
      </c>
      <c r="J298" t="b" cm="1">
        <f t="array" ref="J298">IsGreen('Large Dataset'!G298)</f>
        <v>0</v>
      </c>
      <c r="P298" t="b" cm="1">
        <f t="array" ref="P298">IsRed('Large Dataset'!K298)</f>
        <v>1</v>
      </c>
      <c r="Q298" t="b" cm="1">
        <f t="array" ref="Q298">IsBlue('Large Dataset'!K298)</f>
        <v>0</v>
      </c>
      <c r="R298" t="b" cm="1">
        <f t="array" ref="R298">IsPurple('Large Dataset'!K298)</f>
        <v>0</v>
      </c>
      <c r="S298" t="b" cm="1">
        <f t="array" ref="S298">IsGreen('Large Dataset'!K298)</f>
        <v>0</v>
      </c>
      <c r="Y298" t="b" cm="1">
        <f t="array" ref="Y298">IsRed('Large Dataset'!M298)</f>
        <v>1</v>
      </c>
      <c r="Z298" t="b" cm="1">
        <f t="array" ref="Z298">IsBlue('Large Dataset'!M298)</f>
        <v>0</v>
      </c>
      <c r="AA298" t="b" cm="1">
        <f t="array" ref="AA298">IsPurple('Large Dataset'!M298)</f>
        <v>0</v>
      </c>
      <c r="AB298" t="b" cm="1">
        <f t="array" ref="AB298">IsGreen('Large Dataset'!M298)</f>
        <v>0</v>
      </c>
      <c r="AH298" t="b" cm="1">
        <f t="array" ref="AH298">IsRed('Large Dataset'!O298)</f>
        <v>1</v>
      </c>
      <c r="AI298" t="b" cm="1">
        <f t="array" ref="AI298">IsBlue('Large Dataset'!O298)</f>
        <v>0</v>
      </c>
      <c r="AJ298" t="b" cm="1">
        <f t="array" ref="AJ298">IsPurple('Large Dataset'!O298)</f>
        <v>0</v>
      </c>
      <c r="AK298" t="b" cm="1">
        <f t="array" ref="AK298">IsGreen('Large Dataset'!O298)</f>
        <v>0</v>
      </c>
      <c r="AR298" t="b" cm="1">
        <f t="array" ref="AR298">IsRed('Large Dataset'!Q298)</f>
        <v>0</v>
      </c>
      <c r="AS298" t="b" cm="1">
        <f t="array" ref="AS298">IsBlue('Large Dataset'!Q298)</f>
        <v>0</v>
      </c>
      <c r="AT298" t="b" cm="1">
        <f t="array" ref="AT298">IsPurple('Large Dataset'!Q298)</f>
        <v>0</v>
      </c>
      <c r="AU298" t="b" cm="1">
        <f t="array" ref="AU298">IsGreen('Large Dataset'!Q298)</f>
        <v>0</v>
      </c>
      <c r="BA298" t="b" cm="1">
        <f t="array" ref="BA298">IsRed('Large Dataset'!R298)</f>
        <v>0</v>
      </c>
      <c r="BB298" t="b" cm="1">
        <f t="array" ref="BB298">IsBlue('Large Dataset'!R298)</f>
        <v>0</v>
      </c>
      <c r="BC298" t="b" cm="1">
        <f t="array" ref="BC298">IsPurple('Large Dataset'!R298)</f>
        <v>0</v>
      </c>
      <c r="BD298" t="b" cm="1">
        <f t="array" ref="BD298">IsGreen('Large Dataset'!R298)</f>
        <v>0</v>
      </c>
      <c r="BJ298" t="b" cm="1">
        <f t="array" ref="BJ298">IsRed('Large Dataset'!T298)</f>
        <v>0</v>
      </c>
      <c r="BK298" t="b" cm="1">
        <f t="array" ref="BK298">IsBlue('Large Dataset'!T298)</f>
        <v>0</v>
      </c>
      <c r="BL298" t="b" cm="1">
        <f t="array" ref="BL298">IsPurple('Large Dataset'!T298)</f>
        <v>0</v>
      </c>
      <c r="BM298" t="b" cm="1">
        <f t="array" ref="BM298">IsGreen('Large Dataset'!T298)</f>
        <v>0</v>
      </c>
      <c r="BS298" t="b" cm="1">
        <f t="array" ref="BS298">IsRed('Large Dataset'!U298)</f>
        <v>0</v>
      </c>
      <c r="BT298" t="b" cm="1">
        <f t="array" ref="BT298">IsBlue('Large Dataset'!U298)</f>
        <v>0</v>
      </c>
      <c r="BU298" t="b" cm="1">
        <f t="array" ref="BU298">IsPurple('Large Dataset'!U298)</f>
        <v>0</v>
      </c>
      <c r="BV298" t="b" cm="1">
        <f t="array" ref="BV298">IsGreen('Large Dataset'!U298)</f>
        <v>0</v>
      </c>
    </row>
    <row r="299" spans="7:74">
      <c r="G299" t="b" cm="1">
        <f t="array" ref="G299">IsRed('Large Dataset'!I299)</f>
        <v>1</v>
      </c>
      <c r="H299" t="b" cm="1">
        <f t="array" ref="H299">IsBlue('Large Dataset'!I299)</f>
        <v>0</v>
      </c>
      <c r="I299" t="b" cm="1">
        <f t="array" ref="I299">IsPurple('Large Dataset'!I299)</f>
        <v>0</v>
      </c>
      <c r="J299" t="b" cm="1">
        <f t="array" ref="J299">IsGreen('Large Dataset'!G299)</f>
        <v>0</v>
      </c>
      <c r="P299" t="b" cm="1">
        <f t="array" ref="P299">IsRed('Large Dataset'!K299)</f>
        <v>1</v>
      </c>
      <c r="Q299" t="b" cm="1">
        <f t="array" ref="Q299">IsBlue('Large Dataset'!K299)</f>
        <v>0</v>
      </c>
      <c r="R299" t="b" cm="1">
        <f t="array" ref="R299">IsPurple('Large Dataset'!K299)</f>
        <v>0</v>
      </c>
      <c r="S299" t="b" cm="1">
        <f t="array" ref="S299">IsGreen('Large Dataset'!K299)</f>
        <v>0</v>
      </c>
      <c r="Y299" t="b" cm="1">
        <f t="array" ref="Y299">IsRed('Large Dataset'!M299)</f>
        <v>1</v>
      </c>
      <c r="Z299" t="b" cm="1">
        <f t="array" ref="Z299">IsBlue('Large Dataset'!M299)</f>
        <v>0</v>
      </c>
      <c r="AA299" t="b" cm="1">
        <f t="array" ref="AA299">IsPurple('Large Dataset'!M299)</f>
        <v>0</v>
      </c>
      <c r="AB299" t="b" cm="1">
        <f t="array" ref="AB299">IsGreen('Large Dataset'!M299)</f>
        <v>0</v>
      </c>
      <c r="AH299" t="b" cm="1">
        <f t="array" ref="AH299">IsRed('Large Dataset'!O299)</f>
        <v>1</v>
      </c>
      <c r="AI299" t="b" cm="1">
        <f t="array" ref="AI299">IsBlue('Large Dataset'!O299)</f>
        <v>0</v>
      </c>
      <c r="AJ299" t="b" cm="1">
        <f t="array" ref="AJ299">IsPurple('Large Dataset'!O299)</f>
        <v>0</v>
      </c>
      <c r="AK299" t="b" cm="1">
        <f t="array" ref="AK299">IsGreen('Large Dataset'!O299)</f>
        <v>0</v>
      </c>
      <c r="AR299" t="b" cm="1">
        <f t="array" ref="AR299">IsRed('Large Dataset'!Q299)</f>
        <v>0</v>
      </c>
      <c r="AS299" t="b" cm="1">
        <f t="array" ref="AS299">IsBlue('Large Dataset'!Q299)</f>
        <v>0</v>
      </c>
      <c r="AT299" t="b" cm="1">
        <f t="array" ref="AT299">IsPurple('Large Dataset'!Q299)</f>
        <v>0</v>
      </c>
      <c r="AU299" t="b" cm="1">
        <f t="array" ref="AU299">IsGreen('Large Dataset'!Q299)</f>
        <v>0</v>
      </c>
      <c r="BA299" t="b" cm="1">
        <f t="array" ref="BA299">IsRed('Large Dataset'!R299)</f>
        <v>0</v>
      </c>
      <c r="BB299" t="b" cm="1">
        <f t="array" ref="BB299">IsBlue('Large Dataset'!R299)</f>
        <v>0</v>
      </c>
      <c r="BC299" t="b" cm="1">
        <f t="array" ref="BC299">IsPurple('Large Dataset'!R299)</f>
        <v>0</v>
      </c>
      <c r="BD299" t="b" cm="1">
        <f t="array" ref="BD299">IsGreen('Large Dataset'!R299)</f>
        <v>0</v>
      </c>
      <c r="BJ299" t="b" cm="1">
        <f t="array" ref="BJ299">IsRed('Large Dataset'!T299)</f>
        <v>0</v>
      </c>
      <c r="BK299" t="b" cm="1">
        <f t="array" ref="BK299">IsBlue('Large Dataset'!T299)</f>
        <v>0</v>
      </c>
      <c r="BL299" t="b" cm="1">
        <f t="array" ref="BL299">IsPurple('Large Dataset'!T299)</f>
        <v>0</v>
      </c>
      <c r="BM299" t="b" cm="1">
        <f t="array" ref="BM299">IsGreen('Large Dataset'!T299)</f>
        <v>0</v>
      </c>
      <c r="BS299" t="b" cm="1">
        <f t="array" ref="BS299">IsRed('Large Dataset'!U299)</f>
        <v>0</v>
      </c>
      <c r="BT299" t="b" cm="1">
        <f t="array" ref="BT299">IsBlue('Large Dataset'!U299)</f>
        <v>0</v>
      </c>
      <c r="BU299" t="b" cm="1">
        <f t="array" ref="BU299">IsPurple('Large Dataset'!U299)</f>
        <v>0</v>
      </c>
      <c r="BV299" t="b" cm="1">
        <f t="array" ref="BV299">IsGreen('Large Dataset'!U299)</f>
        <v>0</v>
      </c>
    </row>
    <row r="300" spans="7:74">
      <c r="G300" t="b" cm="1">
        <f t="array" ref="G300">IsRed('Large Dataset'!I300)</f>
        <v>1</v>
      </c>
      <c r="H300" t="b" cm="1">
        <f t="array" ref="H300">IsBlue('Large Dataset'!I300)</f>
        <v>0</v>
      </c>
      <c r="I300" t="b" cm="1">
        <f t="array" ref="I300">IsPurple('Large Dataset'!I300)</f>
        <v>0</v>
      </c>
      <c r="J300" t="b" cm="1">
        <f t="array" ref="J300">IsGreen('Large Dataset'!G300)</f>
        <v>0</v>
      </c>
      <c r="P300" t="b" cm="1">
        <f t="array" ref="P300">IsRed('Large Dataset'!K300)</f>
        <v>1</v>
      </c>
      <c r="Q300" t="b" cm="1">
        <f t="array" ref="Q300">IsBlue('Large Dataset'!K300)</f>
        <v>0</v>
      </c>
      <c r="R300" t="b" cm="1">
        <f t="array" ref="R300">IsPurple('Large Dataset'!K300)</f>
        <v>0</v>
      </c>
      <c r="S300" t="b" cm="1">
        <f t="array" ref="S300">IsGreen('Large Dataset'!K300)</f>
        <v>0</v>
      </c>
      <c r="Y300" t="b" cm="1">
        <f t="array" ref="Y300">IsRed('Large Dataset'!M300)</f>
        <v>1</v>
      </c>
      <c r="Z300" t="b" cm="1">
        <f t="array" ref="Z300">IsBlue('Large Dataset'!M300)</f>
        <v>0</v>
      </c>
      <c r="AA300" t="b" cm="1">
        <f t="array" ref="AA300">IsPurple('Large Dataset'!M300)</f>
        <v>0</v>
      </c>
      <c r="AB300" t="b" cm="1">
        <f t="array" ref="AB300">IsGreen('Large Dataset'!M300)</f>
        <v>0</v>
      </c>
      <c r="AH300" t="b" cm="1">
        <f t="array" ref="AH300">IsRed('Large Dataset'!O300)</f>
        <v>1</v>
      </c>
      <c r="AI300" t="b" cm="1">
        <f t="array" ref="AI300">IsBlue('Large Dataset'!O300)</f>
        <v>0</v>
      </c>
      <c r="AJ300" t="b" cm="1">
        <f t="array" ref="AJ300">IsPurple('Large Dataset'!O300)</f>
        <v>0</v>
      </c>
      <c r="AK300" t="b" cm="1">
        <f t="array" ref="AK300">IsGreen('Large Dataset'!O300)</f>
        <v>0</v>
      </c>
      <c r="AR300" t="b" cm="1">
        <f t="array" ref="AR300">IsRed('Large Dataset'!Q300)</f>
        <v>0</v>
      </c>
      <c r="AS300" t="b" cm="1">
        <f t="array" ref="AS300">IsBlue('Large Dataset'!Q300)</f>
        <v>0</v>
      </c>
      <c r="AT300" t="b" cm="1">
        <f t="array" ref="AT300">IsPurple('Large Dataset'!Q300)</f>
        <v>0</v>
      </c>
      <c r="AU300" t="b" cm="1">
        <f t="array" ref="AU300">IsGreen('Large Dataset'!Q300)</f>
        <v>0</v>
      </c>
      <c r="BA300" t="b" cm="1">
        <f t="array" ref="BA300">IsRed('Large Dataset'!R300)</f>
        <v>0</v>
      </c>
      <c r="BB300" t="b" cm="1">
        <f t="array" ref="BB300">IsBlue('Large Dataset'!R300)</f>
        <v>0</v>
      </c>
      <c r="BC300" t="b" cm="1">
        <f t="array" ref="BC300">IsPurple('Large Dataset'!R300)</f>
        <v>0</v>
      </c>
      <c r="BD300" t="b" cm="1">
        <f t="array" ref="BD300">IsGreen('Large Dataset'!R300)</f>
        <v>0</v>
      </c>
      <c r="BJ300" t="b" cm="1">
        <f t="array" ref="BJ300">IsRed('Large Dataset'!T300)</f>
        <v>0</v>
      </c>
      <c r="BK300" t="b" cm="1">
        <f t="array" ref="BK300">IsBlue('Large Dataset'!T300)</f>
        <v>0</v>
      </c>
      <c r="BL300" t="b" cm="1">
        <f t="array" ref="BL300">IsPurple('Large Dataset'!T300)</f>
        <v>0</v>
      </c>
      <c r="BM300" t="b" cm="1">
        <f t="array" ref="BM300">IsGreen('Large Dataset'!T300)</f>
        <v>0</v>
      </c>
      <c r="BS300" t="b" cm="1">
        <f t="array" ref="BS300">IsRed('Large Dataset'!U300)</f>
        <v>0</v>
      </c>
      <c r="BT300" t="b" cm="1">
        <f t="array" ref="BT300">IsBlue('Large Dataset'!U300)</f>
        <v>0</v>
      </c>
      <c r="BU300" t="b" cm="1">
        <f t="array" ref="BU300">IsPurple('Large Dataset'!U300)</f>
        <v>0</v>
      </c>
      <c r="BV300" t="b" cm="1">
        <f t="array" ref="BV300">IsGreen('Large Dataset'!U300)</f>
        <v>0</v>
      </c>
    </row>
    <row r="301" spans="7:74">
      <c r="G301" t="b" cm="1">
        <f t="array" ref="G301">IsRed('Large Dataset'!I301)</f>
        <v>1</v>
      </c>
      <c r="H301" t="b" cm="1">
        <f t="array" ref="H301">IsBlue('Large Dataset'!I301)</f>
        <v>0</v>
      </c>
      <c r="I301" t="b" cm="1">
        <f t="array" ref="I301">IsPurple('Large Dataset'!I301)</f>
        <v>0</v>
      </c>
      <c r="J301" t="b" cm="1">
        <f t="array" ref="J301">IsGreen('Large Dataset'!G301)</f>
        <v>0</v>
      </c>
      <c r="P301" t="b" cm="1">
        <f t="array" ref="P301">IsRed('Large Dataset'!K301)</f>
        <v>1</v>
      </c>
      <c r="Q301" t="b" cm="1">
        <f t="array" ref="Q301">IsBlue('Large Dataset'!K301)</f>
        <v>0</v>
      </c>
      <c r="R301" t="b" cm="1">
        <f t="array" ref="R301">IsPurple('Large Dataset'!K301)</f>
        <v>0</v>
      </c>
      <c r="S301" t="b" cm="1">
        <f t="array" ref="S301">IsGreen('Large Dataset'!K301)</f>
        <v>0</v>
      </c>
      <c r="Y301" t="b" cm="1">
        <f t="array" ref="Y301">IsRed('Large Dataset'!M301)</f>
        <v>1</v>
      </c>
      <c r="Z301" t="b" cm="1">
        <f t="array" ref="Z301">IsBlue('Large Dataset'!M301)</f>
        <v>0</v>
      </c>
      <c r="AA301" t="b" cm="1">
        <f t="array" ref="AA301">IsPurple('Large Dataset'!M301)</f>
        <v>0</v>
      </c>
      <c r="AB301" t="b" cm="1">
        <f t="array" ref="AB301">IsGreen('Large Dataset'!M301)</f>
        <v>0</v>
      </c>
      <c r="AH301" t="b" cm="1">
        <f t="array" ref="AH301">IsRed('Large Dataset'!O301)</f>
        <v>1</v>
      </c>
      <c r="AI301" t="b" cm="1">
        <f t="array" ref="AI301">IsBlue('Large Dataset'!O301)</f>
        <v>0</v>
      </c>
      <c r="AJ301" t="b" cm="1">
        <f t="array" ref="AJ301">IsPurple('Large Dataset'!O301)</f>
        <v>0</v>
      </c>
      <c r="AK301" t="b" cm="1">
        <f t="array" ref="AK301">IsGreen('Large Dataset'!O301)</f>
        <v>0</v>
      </c>
      <c r="AR301" t="b" cm="1">
        <f t="array" ref="AR301">IsRed('Large Dataset'!Q301)</f>
        <v>0</v>
      </c>
      <c r="AS301" t="b" cm="1">
        <f t="array" ref="AS301">IsBlue('Large Dataset'!Q301)</f>
        <v>0</v>
      </c>
      <c r="AT301" t="b" cm="1">
        <f t="array" ref="AT301">IsPurple('Large Dataset'!Q301)</f>
        <v>0</v>
      </c>
      <c r="AU301" t="b" cm="1">
        <f t="array" ref="AU301">IsGreen('Large Dataset'!Q301)</f>
        <v>0</v>
      </c>
      <c r="BA301" t="b" cm="1">
        <f t="array" ref="BA301">IsRed('Large Dataset'!R301)</f>
        <v>0</v>
      </c>
      <c r="BB301" t="b" cm="1">
        <f t="array" ref="BB301">IsBlue('Large Dataset'!R301)</f>
        <v>0</v>
      </c>
      <c r="BC301" t="b" cm="1">
        <f t="array" ref="BC301">IsPurple('Large Dataset'!R301)</f>
        <v>0</v>
      </c>
      <c r="BD301" t="b" cm="1">
        <f t="array" ref="BD301">IsGreen('Large Dataset'!R301)</f>
        <v>0</v>
      </c>
      <c r="BJ301" t="b" cm="1">
        <f t="array" ref="BJ301">IsRed('Large Dataset'!T301)</f>
        <v>0</v>
      </c>
      <c r="BK301" t="b" cm="1">
        <f t="array" ref="BK301">IsBlue('Large Dataset'!T301)</f>
        <v>0</v>
      </c>
      <c r="BL301" t="b" cm="1">
        <f t="array" ref="BL301">IsPurple('Large Dataset'!T301)</f>
        <v>0</v>
      </c>
      <c r="BM301" t="b" cm="1">
        <f t="array" ref="BM301">IsGreen('Large Dataset'!T301)</f>
        <v>0</v>
      </c>
      <c r="BS301" t="b" cm="1">
        <f t="array" ref="BS301">IsRed('Large Dataset'!U301)</f>
        <v>0</v>
      </c>
      <c r="BT301" t="b" cm="1">
        <f t="array" ref="BT301">IsBlue('Large Dataset'!U301)</f>
        <v>0</v>
      </c>
      <c r="BU301" t="b" cm="1">
        <f t="array" ref="BU301">IsPurple('Large Dataset'!U301)</f>
        <v>0</v>
      </c>
      <c r="BV301" t="b" cm="1">
        <f t="array" ref="BV301">IsGreen('Large Dataset'!U301)</f>
        <v>0</v>
      </c>
    </row>
    <row r="302" spans="7:74">
      <c r="G302" t="b" cm="1">
        <f t="array" ref="G302">IsRed('Large Dataset'!I302)</f>
        <v>0</v>
      </c>
      <c r="H302" t="b" cm="1">
        <f t="array" ref="H302">IsBlue('Large Dataset'!I302)</f>
        <v>0</v>
      </c>
      <c r="I302" t="b" cm="1">
        <f t="array" ref="I302">IsPurple('Large Dataset'!I302)</f>
        <v>0</v>
      </c>
      <c r="J302" t="b" cm="1">
        <f t="array" ref="J302">IsGreen('Large Dataset'!G302)</f>
        <v>0</v>
      </c>
      <c r="P302" t="b" cm="1">
        <f t="array" ref="P302">IsRed('Large Dataset'!K302)</f>
        <v>0</v>
      </c>
      <c r="Q302" t="b" cm="1">
        <f t="array" ref="Q302">IsBlue('Large Dataset'!K302)</f>
        <v>0</v>
      </c>
      <c r="R302" t="b" cm="1">
        <f t="array" ref="R302">IsPurple('Large Dataset'!K302)</f>
        <v>0</v>
      </c>
      <c r="S302" t="b" cm="1">
        <f t="array" ref="S302">IsGreen('Large Dataset'!K302)</f>
        <v>0</v>
      </c>
      <c r="Y302" t="b" cm="1">
        <f t="array" ref="Y302">IsRed('Large Dataset'!M302)</f>
        <v>0</v>
      </c>
      <c r="Z302" t="b" cm="1">
        <f t="array" ref="Z302">IsBlue('Large Dataset'!M302)</f>
        <v>0</v>
      </c>
      <c r="AA302" t="b" cm="1">
        <f t="array" ref="AA302">IsPurple('Large Dataset'!M302)</f>
        <v>0</v>
      </c>
      <c r="AB302" t="b" cm="1">
        <f t="array" ref="AB302">IsGreen('Large Dataset'!M302)</f>
        <v>0</v>
      </c>
      <c r="AH302" t="b" cm="1">
        <f t="array" ref="AH302">IsRed('Large Dataset'!O302)</f>
        <v>1</v>
      </c>
      <c r="AI302" t="b" cm="1">
        <f t="array" ref="AI302">IsBlue('Large Dataset'!O302)</f>
        <v>0</v>
      </c>
      <c r="AJ302" t="b" cm="1">
        <f t="array" ref="AJ302">IsPurple('Large Dataset'!O302)</f>
        <v>0</v>
      </c>
      <c r="AK302" t="b" cm="1">
        <f t="array" ref="AK302">IsGreen('Large Dataset'!O302)</f>
        <v>0</v>
      </c>
      <c r="AR302" t="b" cm="1">
        <f t="array" ref="AR302">IsRed('Large Dataset'!Q302)</f>
        <v>0</v>
      </c>
      <c r="AS302" t="b" cm="1">
        <f t="array" ref="AS302">IsBlue('Large Dataset'!Q302)</f>
        <v>0</v>
      </c>
      <c r="AT302" t="b" cm="1">
        <f t="array" ref="AT302">IsPurple('Large Dataset'!Q302)</f>
        <v>0</v>
      </c>
      <c r="AU302" t="b" cm="1">
        <f t="array" ref="AU302">IsGreen('Large Dataset'!Q302)</f>
        <v>0</v>
      </c>
      <c r="BA302" t="b" cm="1">
        <f t="array" ref="BA302">IsRed('Large Dataset'!R302)</f>
        <v>0</v>
      </c>
      <c r="BB302" t="b" cm="1">
        <f t="array" ref="BB302">IsBlue('Large Dataset'!R302)</f>
        <v>0</v>
      </c>
      <c r="BC302" t="b" cm="1">
        <f t="array" ref="BC302">IsPurple('Large Dataset'!R302)</f>
        <v>0</v>
      </c>
      <c r="BD302" t="b" cm="1">
        <f t="array" ref="BD302">IsGreen('Large Dataset'!R302)</f>
        <v>0</v>
      </c>
      <c r="BJ302" t="b" cm="1">
        <f t="array" ref="BJ302">IsRed('Large Dataset'!T302)</f>
        <v>0</v>
      </c>
      <c r="BK302" t="b" cm="1">
        <f t="array" ref="BK302">IsBlue('Large Dataset'!T302)</f>
        <v>0</v>
      </c>
      <c r="BL302" t="b" cm="1">
        <f t="array" ref="BL302">IsPurple('Large Dataset'!T302)</f>
        <v>0</v>
      </c>
      <c r="BM302" t="b" cm="1">
        <f t="array" ref="BM302">IsGreen('Large Dataset'!T302)</f>
        <v>0</v>
      </c>
      <c r="BS302" t="b" cm="1">
        <f t="array" ref="BS302">IsRed('Large Dataset'!U302)</f>
        <v>0</v>
      </c>
      <c r="BT302" t="b" cm="1">
        <f t="array" ref="BT302">IsBlue('Large Dataset'!U302)</f>
        <v>0</v>
      </c>
      <c r="BU302" t="b" cm="1">
        <f t="array" ref="BU302">IsPurple('Large Dataset'!U302)</f>
        <v>0</v>
      </c>
      <c r="BV302" t="b" cm="1">
        <f t="array" ref="BV302">IsGreen('Large Dataset'!U302)</f>
        <v>0</v>
      </c>
    </row>
    <row r="303" spans="7:74">
      <c r="G303" t="b" cm="1">
        <f t="array" ref="G303">IsRed('Large Dataset'!I303)</f>
        <v>0</v>
      </c>
      <c r="H303" t="b" cm="1">
        <f t="array" ref="H303">IsBlue('Large Dataset'!I303)</f>
        <v>0</v>
      </c>
      <c r="I303" t="b" cm="1">
        <f t="array" ref="I303">IsPurple('Large Dataset'!I303)</f>
        <v>0</v>
      </c>
      <c r="J303" t="b" cm="1">
        <f t="array" ref="J303">IsGreen('Large Dataset'!G303)</f>
        <v>0</v>
      </c>
      <c r="P303" t="b" cm="1">
        <f t="array" ref="P303">IsRed('Large Dataset'!K303)</f>
        <v>0</v>
      </c>
      <c r="Q303" t="b" cm="1">
        <f t="array" ref="Q303">IsBlue('Large Dataset'!K303)</f>
        <v>0</v>
      </c>
      <c r="R303" t="b" cm="1">
        <f t="array" ref="R303">IsPurple('Large Dataset'!K303)</f>
        <v>0</v>
      </c>
      <c r="S303" t="b" cm="1">
        <f t="array" ref="S303">IsGreen('Large Dataset'!K303)</f>
        <v>0</v>
      </c>
      <c r="Y303" t="b" cm="1">
        <f t="array" ref="Y303">IsRed('Large Dataset'!M303)</f>
        <v>0</v>
      </c>
      <c r="Z303" t="b" cm="1">
        <f t="array" ref="Z303">IsBlue('Large Dataset'!M303)</f>
        <v>0</v>
      </c>
      <c r="AA303" t="b" cm="1">
        <f t="array" ref="AA303">IsPurple('Large Dataset'!M303)</f>
        <v>0</v>
      </c>
      <c r="AB303" t="b" cm="1">
        <f t="array" ref="AB303">IsGreen('Large Dataset'!M303)</f>
        <v>0</v>
      </c>
      <c r="AH303" t="b" cm="1">
        <f t="array" ref="AH303">IsRed('Large Dataset'!O303)</f>
        <v>0</v>
      </c>
      <c r="AI303" t="b" cm="1">
        <f t="array" ref="AI303">IsBlue('Large Dataset'!O303)</f>
        <v>1</v>
      </c>
      <c r="AJ303" t="b" cm="1">
        <f t="array" ref="AJ303">IsPurple('Large Dataset'!O303)</f>
        <v>0</v>
      </c>
      <c r="AK303" t="b" cm="1">
        <f t="array" ref="AK303">IsGreen('Large Dataset'!O303)</f>
        <v>0</v>
      </c>
      <c r="AR303" t="b" cm="1">
        <f t="array" ref="AR303">IsRed('Large Dataset'!Q303)</f>
        <v>0</v>
      </c>
      <c r="AS303" t="b" cm="1">
        <f t="array" ref="AS303">IsBlue('Large Dataset'!Q303)</f>
        <v>0</v>
      </c>
      <c r="AT303" t="b" cm="1">
        <f t="array" ref="AT303">IsPurple('Large Dataset'!Q303)</f>
        <v>0</v>
      </c>
      <c r="AU303" t="b" cm="1">
        <f t="array" ref="AU303">IsGreen('Large Dataset'!Q303)</f>
        <v>0</v>
      </c>
      <c r="BA303" t="b" cm="1">
        <f t="array" ref="BA303">IsRed('Large Dataset'!R303)</f>
        <v>0</v>
      </c>
      <c r="BB303" t="b" cm="1">
        <f t="array" ref="BB303">IsBlue('Large Dataset'!R303)</f>
        <v>0</v>
      </c>
      <c r="BC303" t="b" cm="1">
        <f t="array" ref="BC303">IsPurple('Large Dataset'!R303)</f>
        <v>0</v>
      </c>
      <c r="BD303" t="b" cm="1">
        <f t="array" ref="BD303">IsGreen('Large Dataset'!R303)</f>
        <v>0</v>
      </c>
      <c r="BJ303" t="b" cm="1">
        <f t="array" ref="BJ303">IsRed('Large Dataset'!T303)</f>
        <v>0</v>
      </c>
      <c r="BK303" t="b" cm="1">
        <f t="array" ref="BK303">IsBlue('Large Dataset'!T303)</f>
        <v>0</v>
      </c>
      <c r="BL303" t="b" cm="1">
        <f t="array" ref="BL303">IsPurple('Large Dataset'!T303)</f>
        <v>0</v>
      </c>
      <c r="BM303" t="b" cm="1">
        <f t="array" ref="BM303">IsGreen('Large Dataset'!T303)</f>
        <v>0</v>
      </c>
      <c r="BS303" t="b" cm="1">
        <f t="array" ref="BS303">IsRed('Large Dataset'!U303)</f>
        <v>0</v>
      </c>
      <c r="BT303" t="b" cm="1">
        <f t="array" ref="BT303">IsBlue('Large Dataset'!U303)</f>
        <v>0</v>
      </c>
      <c r="BU303" t="b" cm="1">
        <f t="array" ref="BU303">IsPurple('Large Dataset'!U303)</f>
        <v>0</v>
      </c>
      <c r="BV303" t="b" cm="1">
        <f t="array" ref="BV303">IsGreen('Large Dataset'!U303)</f>
        <v>0</v>
      </c>
    </row>
    <row r="304" spans="7:74">
      <c r="G304" t="b" cm="1">
        <f t="array" ref="G304">IsRed('Large Dataset'!I304)</f>
        <v>0</v>
      </c>
      <c r="H304" t="b" cm="1">
        <f t="array" ref="H304">IsBlue('Large Dataset'!I304)</f>
        <v>0</v>
      </c>
      <c r="I304" t="b" cm="1">
        <f t="array" ref="I304">IsPurple('Large Dataset'!I304)</f>
        <v>0</v>
      </c>
      <c r="J304" t="b" cm="1">
        <f t="array" ref="J304">IsGreen('Large Dataset'!G304)</f>
        <v>0</v>
      </c>
      <c r="P304" t="b" cm="1">
        <f t="array" ref="P304">IsRed('Large Dataset'!K304)</f>
        <v>0</v>
      </c>
      <c r="Q304" t="b" cm="1">
        <f t="array" ref="Q304">IsBlue('Large Dataset'!K304)</f>
        <v>0</v>
      </c>
      <c r="R304" t="b" cm="1">
        <f t="array" ref="R304">IsPurple('Large Dataset'!K304)</f>
        <v>0</v>
      </c>
      <c r="S304" t="b" cm="1">
        <f t="array" ref="S304">IsGreen('Large Dataset'!K304)</f>
        <v>0</v>
      </c>
      <c r="Y304" t="b" cm="1">
        <f t="array" ref="Y304">IsRed('Large Dataset'!M304)</f>
        <v>0</v>
      </c>
      <c r="Z304" t="b" cm="1">
        <f t="array" ref="Z304">IsBlue('Large Dataset'!M304)</f>
        <v>0</v>
      </c>
      <c r="AA304" t="b" cm="1">
        <f t="array" ref="AA304">IsPurple('Large Dataset'!M304)</f>
        <v>0</v>
      </c>
      <c r="AB304" t="b" cm="1">
        <f t="array" ref="AB304">IsGreen('Large Dataset'!M304)</f>
        <v>0</v>
      </c>
      <c r="AH304" t="b" cm="1">
        <f t="array" ref="AH304">IsRed('Large Dataset'!O304)</f>
        <v>0</v>
      </c>
      <c r="AI304" t="b" cm="1">
        <f t="array" ref="AI304">IsBlue('Large Dataset'!O304)</f>
        <v>0</v>
      </c>
      <c r="AJ304" t="b" cm="1">
        <f t="array" ref="AJ304">IsPurple('Large Dataset'!O304)</f>
        <v>0</v>
      </c>
      <c r="AK304" t="b" cm="1">
        <f t="array" ref="AK304">IsGreen('Large Dataset'!O304)</f>
        <v>0</v>
      </c>
      <c r="AR304" t="b" cm="1">
        <f t="array" ref="AR304">IsRed('Large Dataset'!Q304)</f>
        <v>0</v>
      </c>
      <c r="AS304" t="b" cm="1">
        <f t="array" ref="AS304">IsBlue('Large Dataset'!Q304)</f>
        <v>0</v>
      </c>
      <c r="AT304" t="b" cm="1">
        <f t="array" ref="AT304">IsPurple('Large Dataset'!Q304)</f>
        <v>0</v>
      </c>
      <c r="AU304" t="b" cm="1">
        <f t="array" ref="AU304">IsGreen('Large Dataset'!Q304)</f>
        <v>0</v>
      </c>
      <c r="BA304" t="b" cm="1">
        <f t="array" ref="BA304">IsRed('Large Dataset'!R304)</f>
        <v>0</v>
      </c>
      <c r="BB304" t="b" cm="1">
        <f t="array" ref="BB304">IsBlue('Large Dataset'!R304)</f>
        <v>0</v>
      </c>
      <c r="BC304" t="b" cm="1">
        <f t="array" ref="BC304">IsPurple('Large Dataset'!R304)</f>
        <v>0</v>
      </c>
      <c r="BD304" t="b" cm="1">
        <f t="array" ref="BD304">IsGreen('Large Dataset'!R304)</f>
        <v>0</v>
      </c>
      <c r="BJ304" t="b" cm="1">
        <f t="array" ref="BJ304">IsRed('Large Dataset'!T304)</f>
        <v>0</v>
      </c>
      <c r="BK304" t="b" cm="1">
        <f t="array" ref="BK304">IsBlue('Large Dataset'!T304)</f>
        <v>0</v>
      </c>
      <c r="BL304" t="b" cm="1">
        <f t="array" ref="BL304">IsPurple('Large Dataset'!T304)</f>
        <v>0</v>
      </c>
      <c r="BM304" t="b" cm="1">
        <f t="array" ref="BM304">IsGreen('Large Dataset'!T304)</f>
        <v>0</v>
      </c>
      <c r="BS304" t="b" cm="1">
        <f t="array" ref="BS304">IsRed('Large Dataset'!U304)</f>
        <v>0</v>
      </c>
      <c r="BT304" t="b" cm="1">
        <f t="array" ref="BT304">IsBlue('Large Dataset'!U304)</f>
        <v>0</v>
      </c>
      <c r="BU304" t="b" cm="1">
        <f t="array" ref="BU304">IsPurple('Large Dataset'!U304)</f>
        <v>0</v>
      </c>
      <c r="BV304" t="b" cm="1">
        <f t="array" ref="BV304">IsGreen('Large Dataset'!U304)</f>
        <v>0</v>
      </c>
    </row>
    <row r="305" spans="7:74">
      <c r="G305" t="b" cm="1">
        <f t="array" ref="G305">IsRed('Large Dataset'!I305)</f>
        <v>0</v>
      </c>
      <c r="H305" t="b" cm="1">
        <f t="array" ref="H305">IsBlue('Large Dataset'!I305)</f>
        <v>0</v>
      </c>
      <c r="I305" t="b" cm="1">
        <f t="array" ref="I305">IsPurple('Large Dataset'!I305)</f>
        <v>0</v>
      </c>
      <c r="J305" t="b" cm="1">
        <f t="array" ref="J305">IsGreen('Large Dataset'!G305)</f>
        <v>0</v>
      </c>
      <c r="P305" t="b" cm="1">
        <f t="array" ref="P305">IsRed('Large Dataset'!K305)</f>
        <v>0</v>
      </c>
      <c r="Q305" t="b" cm="1">
        <f t="array" ref="Q305">IsBlue('Large Dataset'!K305)</f>
        <v>0</v>
      </c>
      <c r="R305" t="b" cm="1">
        <f t="array" ref="R305">IsPurple('Large Dataset'!K305)</f>
        <v>0</v>
      </c>
      <c r="S305" t="b" cm="1">
        <f t="array" ref="S305">IsGreen('Large Dataset'!K305)</f>
        <v>0</v>
      </c>
      <c r="Y305" t="b" cm="1">
        <f t="array" ref="Y305">IsRed('Large Dataset'!M305)</f>
        <v>0</v>
      </c>
      <c r="Z305" t="b" cm="1">
        <f t="array" ref="Z305">IsBlue('Large Dataset'!M305)</f>
        <v>0</v>
      </c>
      <c r="AA305" t="b" cm="1">
        <f t="array" ref="AA305">IsPurple('Large Dataset'!M305)</f>
        <v>0</v>
      </c>
      <c r="AB305" t="b" cm="1">
        <f t="array" ref="AB305">IsGreen('Large Dataset'!M305)</f>
        <v>0</v>
      </c>
      <c r="AH305" t="b" cm="1">
        <f t="array" ref="AH305">IsRed('Large Dataset'!O305)</f>
        <v>0</v>
      </c>
      <c r="AI305" t="b" cm="1">
        <f t="array" ref="AI305">IsBlue('Large Dataset'!O305)</f>
        <v>1</v>
      </c>
      <c r="AJ305" t="b" cm="1">
        <f t="array" ref="AJ305">IsPurple('Large Dataset'!O305)</f>
        <v>0</v>
      </c>
      <c r="AK305" t="b" cm="1">
        <f t="array" ref="AK305">IsGreen('Large Dataset'!O305)</f>
        <v>0</v>
      </c>
      <c r="AR305" t="b" cm="1">
        <f t="array" ref="AR305">IsRed('Large Dataset'!Q305)</f>
        <v>0</v>
      </c>
      <c r="AS305" t="b" cm="1">
        <f t="array" ref="AS305">IsBlue('Large Dataset'!Q305)</f>
        <v>0</v>
      </c>
      <c r="AT305" t="b" cm="1">
        <f t="array" ref="AT305">IsPurple('Large Dataset'!Q305)</f>
        <v>0</v>
      </c>
      <c r="AU305" t="b" cm="1">
        <f t="array" ref="AU305">IsGreen('Large Dataset'!Q305)</f>
        <v>0</v>
      </c>
      <c r="BA305" t="b" cm="1">
        <f t="array" ref="BA305">IsRed('Large Dataset'!R305)</f>
        <v>0</v>
      </c>
      <c r="BB305" t="b" cm="1">
        <f t="array" ref="BB305">IsBlue('Large Dataset'!R305)</f>
        <v>0</v>
      </c>
      <c r="BC305" t="b" cm="1">
        <f t="array" ref="BC305">IsPurple('Large Dataset'!R305)</f>
        <v>0</v>
      </c>
      <c r="BD305" t="b" cm="1">
        <f t="array" ref="BD305">IsGreen('Large Dataset'!R305)</f>
        <v>0</v>
      </c>
      <c r="BJ305" t="b" cm="1">
        <f t="array" ref="BJ305">IsRed('Large Dataset'!T305)</f>
        <v>0</v>
      </c>
      <c r="BK305" t="b" cm="1">
        <f t="array" ref="BK305">IsBlue('Large Dataset'!T305)</f>
        <v>0</v>
      </c>
      <c r="BL305" t="b" cm="1">
        <f t="array" ref="BL305">IsPurple('Large Dataset'!T305)</f>
        <v>0</v>
      </c>
      <c r="BM305" t="b" cm="1">
        <f t="array" ref="BM305">IsGreen('Large Dataset'!T305)</f>
        <v>0</v>
      </c>
      <c r="BS305" t="b" cm="1">
        <f t="array" ref="BS305">IsRed('Large Dataset'!U305)</f>
        <v>0</v>
      </c>
      <c r="BT305" t="b" cm="1">
        <f t="array" ref="BT305">IsBlue('Large Dataset'!U305)</f>
        <v>0</v>
      </c>
      <c r="BU305" t="b" cm="1">
        <f t="array" ref="BU305">IsPurple('Large Dataset'!U305)</f>
        <v>0</v>
      </c>
      <c r="BV305" t="b" cm="1">
        <f t="array" ref="BV305">IsGreen('Large Dataset'!U305)</f>
        <v>0</v>
      </c>
    </row>
    <row r="306" spans="7:74">
      <c r="G306" t="b" cm="1">
        <f t="array" ref="G306">IsRed('Large Dataset'!I306)</f>
        <v>0</v>
      </c>
      <c r="H306" t="b" cm="1">
        <f t="array" ref="H306">IsBlue('Large Dataset'!I306)</f>
        <v>0</v>
      </c>
      <c r="I306" t="b" cm="1">
        <f t="array" ref="I306">IsPurple('Large Dataset'!I306)</f>
        <v>0</v>
      </c>
      <c r="J306" t="b" cm="1">
        <f t="array" ref="J306">IsGreen('Large Dataset'!G306)</f>
        <v>0</v>
      </c>
      <c r="P306" t="b" cm="1">
        <f t="array" ref="P306">IsRed('Large Dataset'!K306)</f>
        <v>0</v>
      </c>
      <c r="Q306" t="b" cm="1">
        <f t="array" ref="Q306">IsBlue('Large Dataset'!K306)</f>
        <v>0</v>
      </c>
      <c r="R306" t="b" cm="1">
        <f t="array" ref="R306">IsPurple('Large Dataset'!K306)</f>
        <v>0</v>
      </c>
      <c r="S306" t="b" cm="1">
        <f t="array" ref="S306">IsGreen('Large Dataset'!K306)</f>
        <v>0</v>
      </c>
      <c r="Y306" t="b" cm="1">
        <f t="array" ref="Y306">IsRed('Large Dataset'!M306)</f>
        <v>0</v>
      </c>
      <c r="Z306" t="b" cm="1">
        <f t="array" ref="Z306">IsBlue('Large Dataset'!M306)</f>
        <v>0</v>
      </c>
      <c r="AA306" t="b" cm="1">
        <f t="array" ref="AA306">IsPurple('Large Dataset'!M306)</f>
        <v>0</v>
      </c>
      <c r="AB306" t="b" cm="1">
        <f t="array" ref="AB306">IsGreen('Large Dataset'!M306)</f>
        <v>0</v>
      </c>
      <c r="AH306" t="b" cm="1">
        <f t="array" ref="AH306">IsRed('Large Dataset'!O306)</f>
        <v>0</v>
      </c>
      <c r="AI306" t="b" cm="1">
        <f t="array" ref="AI306">IsBlue('Large Dataset'!O306)</f>
        <v>1</v>
      </c>
      <c r="AJ306" t="b" cm="1">
        <f t="array" ref="AJ306">IsPurple('Large Dataset'!O306)</f>
        <v>0</v>
      </c>
      <c r="AK306" t="b" cm="1">
        <f t="array" ref="AK306">IsGreen('Large Dataset'!O306)</f>
        <v>0</v>
      </c>
      <c r="AR306" t="b" cm="1">
        <f t="array" ref="AR306">IsRed('Large Dataset'!Q306)</f>
        <v>0</v>
      </c>
      <c r="AS306" t="b" cm="1">
        <f t="array" ref="AS306">IsBlue('Large Dataset'!Q306)</f>
        <v>0</v>
      </c>
      <c r="AT306" t="b" cm="1">
        <f t="array" ref="AT306">IsPurple('Large Dataset'!Q306)</f>
        <v>0</v>
      </c>
      <c r="AU306" t="b" cm="1">
        <f t="array" ref="AU306">IsGreen('Large Dataset'!Q306)</f>
        <v>0</v>
      </c>
      <c r="BA306" t="b" cm="1">
        <f t="array" ref="BA306">IsRed('Large Dataset'!R306)</f>
        <v>0</v>
      </c>
      <c r="BB306" t="b" cm="1">
        <f t="array" ref="BB306">IsBlue('Large Dataset'!R306)</f>
        <v>0</v>
      </c>
      <c r="BC306" t="b" cm="1">
        <f t="array" ref="BC306">IsPurple('Large Dataset'!R306)</f>
        <v>0</v>
      </c>
      <c r="BD306" t="b" cm="1">
        <f t="array" ref="BD306">IsGreen('Large Dataset'!R306)</f>
        <v>0</v>
      </c>
      <c r="BJ306" t="b" cm="1">
        <f t="array" ref="BJ306">IsRed('Large Dataset'!T306)</f>
        <v>0</v>
      </c>
      <c r="BK306" t="b" cm="1">
        <f t="array" ref="BK306">IsBlue('Large Dataset'!T306)</f>
        <v>0</v>
      </c>
      <c r="BL306" t="b" cm="1">
        <f t="array" ref="BL306">IsPurple('Large Dataset'!T306)</f>
        <v>0</v>
      </c>
      <c r="BM306" t="b" cm="1">
        <f t="array" ref="BM306">IsGreen('Large Dataset'!T306)</f>
        <v>0</v>
      </c>
      <c r="BS306" t="b" cm="1">
        <f t="array" ref="BS306">IsRed('Large Dataset'!U306)</f>
        <v>0</v>
      </c>
      <c r="BT306" t="b" cm="1">
        <f t="array" ref="BT306">IsBlue('Large Dataset'!U306)</f>
        <v>0</v>
      </c>
      <c r="BU306" t="b" cm="1">
        <f t="array" ref="BU306">IsPurple('Large Dataset'!U306)</f>
        <v>0</v>
      </c>
      <c r="BV306" t="b" cm="1">
        <f t="array" ref="BV306">IsGreen('Large Dataset'!U306)</f>
        <v>0</v>
      </c>
    </row>
    <row r="307" spans="7:74">
      <c r="G307" t="b" cm="1">
        <f t="array" ref="G307">IsRed('Large Dataset'!I307)</f>
        <v>0</v>
      </c>
      <c r="H307" t="b" cm="1">
        <f t="array" ref="H307">IsBlue('Large Dataset'!I307)</f>
        <v>0</v>
      </c>
      <c r="I307" t="b" cm="1">
        <f t="array" ref="I307">IsPurple('Large Dataset'!I307)</f>
        <v>0</v>
      </c>
      <c r="J307" t="b" cm="1">
        <f t="array" ref="J307">IsGreen('Large Dataset'!G307)</f>
        <v>0</v>
      </c>
      <c r="P307" t="b" cm="1">
        <f t="array" ref="P307">IsRed('Large Dataset'!K307)</f>
        <v>0</v>
      </c>
      <c r="Q307" t="b" cm="1">
        <f t="array" ref="Q307">IsBlue('Large Dataset'!K307)</f>
        <v>0</v>
      </c>
      <c r="R307" t="b" cm="1">
        <f t="array" ref="R307">IsPurple('Large Dataset'!K307)</f>
        <v>0</v>
      </c>
      <c r="S307" t="b" cm="1">
        <f t="array" ref="S307">IsGreen('Large Dataset'!K307)</f>
        <v>0</v>
      </c>
      <c r="Y307" t="b" cm="1">
        <f t="array" ref="Y307">IsRed('Large Dataset'!M307)</f>
        <v>0</v>
      </c>
      <c r="Z307" t="b" cm="1">
        <f t="array" ref="Z307">IsBlue('Large Dataset'!M307)</f>
        <v>0</v>
      </c>
      <c r="AA307" t="b" cm="1">
        <f t="array" ref="AA307">IsPurple('Large Dataset'!M307)</f>
        <v>0</v>
      </c>
      <c r="AB307" t="b" cm="1">
        <f t="array" ref="AB307">IsGreen('Large Dataset'!M307)</f>
        <v>0</v>
      </c>
      <c r="AH307" t="b" cm="1">
        <f t="array" ref="AH307">IsRed('Large Dataset'!O307)</f>
        <v>0</v>
      </c>
      <c r="AI307" t="b" cm="1">
        <f t="array" ref="AI307">IsBlue('Large Dataset'!O307)</f>
        <v>0</v>
      </c>
      <c r="AJ307" t="b" cm="1">
        <f t="array" ref="AJ307">IsPurple('Large Dataset'!O307)</f>
        <v>0</v>
      </c>
      <c r="AK307" t="b" cm="1">
        <f t="array" ref="AK307">IsGreen('Large Dataset'!O307)</f>
        <v>0</v>
      </c>
      <c r="AR307" t="b" cm="1">
        <f t="array" ref="AR307">IsRed('Large Dataset'!Q307)</f>
        <v>0</v>
      </c>
      <c r="AS307" t="b" cm="1">
        <f t="array" ref="AS307">IsBlue('Large Dataset'!Q307)</f>
        <v>0</v>
      </c>
      <c r="AT307" t="b" cm="1">
        <f t="array" ref="AT307">IsPurple('Large Dataset'!Q307)</f>
        <v>0</v>
      </c>
      <c r="AU307" t="b" cm="1">
        <f t="array" ref="AU307">IsGreen('Large Dataset'!Q307)</f>
        <v>0</v>
      </c>
      <c r="BA307" t="b" cm="1">
        <f t="array" ref="BA307">IsRed('Large Dataset'!R307)</f>
        <v>0</v>
      </c>
      <c r="BB307" t="b" cm="1">
        <f t="array" ref="BB307">IsBlue('Large Dataset'!R307)</f>
        <v>0</v>
      </c>
      <c r="BC307" t="b" cm="1">
        <f t="array" ref="BC307">IsPurple('Large Dataset'!R307)</f>
        <v>0</v>
      </c>
      <c r="BD307" t="b" cm="1">
        <f t="array" ref="BD307">IsGreen('Large Dataset'!R307)</f>
        <v>0</v>
      </c>
      <c r="BJ307" t="b" cm="1">
        <f t="array" ref="BJ307">IsRed('Large Dataset'!T307)</f>
        <v>0</v>
      </c>
      <c r="BK307" t="b" cm="1">
        <f t="array" ref="BK307">IsBlue('Large Dataset'!T307)</f>
        <v>0</v>
      </c>
      <c r="BL307" t="b" cm="1">
        <f t="array" ref="BL307">IsPurple('Large Dataset'!T307)</f>
        <v>0</v>
      </c>
      <c r="BM307" t="b" cm="1">
        <f t="array" ref="BM307">IsGreen('Large Dataset'!T307)</f>
        <v>0</v>
      </c>
      <c r="BS307" t="b" cm="1">
        <f t="array" ref="BS307">IsRed('Large Dataset'!U307)</f>
        <v>0</v>
      </c>
      <c r="BT307" t="b" cm="1">
        <f t="array" ref="BT307">IsBlue('Large Dataset'!U307)</f>
        <v>0</v>
      </c>
      <c r="BU307" t="b" cm="1">
        <f t="array" ref="BU307">IsPurple('Large Dataset'!U307)</f>
        <v>0</v>
      </c>
      <c r="BV307" t="b" cm="1">
        <f t="array" ref="BV307">IsGreen('Large Dataset'!U307)</f>
        <v>0</v>
      </c>
    </row>
    <row r="308" spans="7:74">
      <c r="G308" t="b" cm="1">
        <f t="array" ref="G308">IsRed('Large Dataset'!I308)</f>
        <v>0</v>
      </c>
      <c r="H308" t="b" cm="1">
        <f t="array" ref="H308">IsBlue('Large Dataset'!I308)</f>
        <v>1</v>
      </c>
      <c r="I308" t="b" cm="1">
        <f t="array" ref="I308">IsPurple('Large Dataset'!I308)</f>
        <v>0</v>
      </c>
      <c r="J308" t="b" cm="1">
        <f t="array" ref="J308">IsGreen('Large Dataset'!G308)</f>
        <v>0</v>
      </c>
      <c r="P308" t="b" cm="1">
        <f t="array" ref="P308">IsRed('Large Dataset'!K308)</f>
        <v>0</v>
      </c>
      <c r="Q308" t="b" cm="1">
        <f t="array" ref="Q308">IsBlue('Large Dataset'!K308)</f>
        <v>0</v>
      </c>
      <c r="R308" t="b" cm="1">
        <f t="array" ref="R308">IsPurple('Large Dataset'!K308)</f>
        <v>0</v>
      </c>
      <c r="S308" t="b" cm="1">
        <f t="array" ref="S308">IsGreen('Large Dataset'!K308)</f>
        <v>0</v>
      </c>
      <c r="Y308" t="b" cm="1">
        <f t="array" ref="Y308">IsRed('Large Dataset'!M308)</f>
        <v>0</v>
      </c>
      <c r="Z308" t="b" cm="1">
        <f t="array" ref="Z308">IsBlue('Large Dataset'!M308)</f>
        <v>1</v>
      </c>
      <c r="AA308" t="b" cm="1">
        <f t="array" ref="AA308">IsPurple('Large Dataset'!M308)</f>
        <v>0</v>
      </c>
      <c r="AB308" t="b" cm="1">
        <f t="array" ref="AB308">IsGreen('Large Dataset'!M308)</f>
        <v>0</v>
      </c>
      <c r="AH308" t="b" cm="1">
        <f t="array" ref="AH308">IsRed('Large Dataset'!O308)</f>
        <v>0</v>
      </c>
      <c r="AI308" t="b" cm="1">
        <f t="array" ref="AI308">IsBlue('Large Dataset'!O308)</f>
        <v>0</v>
      </c>
      <c r="AJ308" t="b" cm="1">
        <f t="array" ref="AJ308">IsPurple('Large Dataset'!O308)</f>
        <v>0</v>
      </c>
      <c r="AK308" t="b" cm="1">
        <f t="array" ref="AK308">IsGreen('Large Dataset'!O308)</f>
        <v>0</v>
      </c>
      <c r="AR308" t="b" cm="1">
        <f t="array" ref="AR308">IsRed('Large Dataset'!Q308)</f>
        <v>0</v>
      </c>
      <c r="AS308" t="b" cm="1">
        <f t="array" ref="AS308">IsBlue('Large Dataset'!Q308)</f>
        <v>0</v>
      </c>
      <c r="AT308" t="b" cm="1">
        <f t="array" ref="AT308">IsPurple('Large Dataset'!Q308)</f>
        <v>0</v>
      </c>
      <c r="AU308" t="b" cm="1">
        <f t="array" ref="AU308">IsGreen('Large Dataset'!Q308)</f>
        <v>0</v>
      </c>
      <c r="BA308" t="b" cm="1">
        <f t="array" ref="BA308">IsRed('Large Dataset'!R308)</f>
        <v>0</v>
      </c>
      <c r="BB308" t="b" cm="1">
        <f t="array" ref="BB308">IsBlue('Large Dataset'!R308)</f>
        <v>0</v>
      </c>
      <c r="BC308" t="b" cm="1">
        <f t="array" ref="BC308">IsPurple('Large Dataset'!R308)</f>
        <v>0</v>
      </c>
      <c r="BD308" t="b" cm="1">
        <f t="array" ref="BD308">IsGreen('Large Dataset'!R308)</f>
        <v>0</v>
      </c>
      <c r="BJ308" t="b" cm="1">
        <f t="array" ref="BJ308">IsRed('Large Dataset'!T308)</f>
        <v>0</v>
      </c>
      <c r="BK308" t="b" cm="1">
        <f t="array" ref="BK308">IsBlue('Large Dataset'!T308)</f>
        <v>0</v>
      </c>
      <c r="BL308" t="b" cm="1">
        <f t="array" ref="BL308">IsPurple('Large Dataset'!T308)</f>
        <v>0</v>
      </c>
      <c r="BM308" t="b" cm="1">
        <f t="array" ref="BM308">IsGreen('Large Dataset'!T308)</f>
        <v>0</v>
      </c>
      <c r="BS308" t="b" cm="1">
        <f t="array" ref="BS308">IsRed('Large Dataset'!U308)</f>
        <v>0</v>
      </c>
      <c r="BT308" t="b" cm="1">
        <f t="array" ref="BT308">IsBlue('Large Dataset'!U308)</f>
        <v>0</v>
      </c>
      <c r="BU308" t="b" cm="1">
        <f t="array" ref="BU308">IsPurple('Large Dataset'!U308)</f>
        <v>0</v>
      </c>
      <c r="BV308" t="b" cm="1">
        <f t="array" ref="BV308">IsGreen('Large Dataset'!U308)</f>
        <v>0</v>
      </c>
    </row>
    <row r="309" spans="7:74">
      <c r="G309" t="b" cm="1">
        <f t="array" ref="G309">IsRed('Large Dataset'!I309)</f>
        <v>0</v>
      </c>
      <c r="H309" t="b" cm="1">
        <f t="array" ref="H309">IsBlue('Large Dataset'!I309)</f>
        <v>0</v>
      </c>
      <c r="I309" t="b" cm="1">
        <f t="array" ref="I309">IsPurple('Large Dataset'!I309)</f>
        <v>0</v>
      </c>
      <c r="J309" t="b" cm="1">
        <f t="array" ref="J309">IsGreen('Large Dataset'!G309)</f>
        <v>0</v>
      </c>
      <c r="P309" t="b" cm="1">
        <f t="array" ref="P309">IsRed('Large Dataset'!K309)</f>
        <v>0</v>
      </c>
      <c r="Q309" t="b" cm="1">
        <f t="array" ref="Q309">IsBlue('Large Dataset'!K309)</f>
        <v>0</v>
      </c>
      <c r="R309" t="b" cm="1">
        <f t="array" ref="R309">IsPurple('Large Dataset'!K309)</f>
        <v>0</v>
      </c>
      <c r="S309" t="b" cm="1">
        <f t="array" ref="S309">IsGreen('Large Dataset'!K309)</f>
        <v>0</v>
      </c>
      <c r="Y309" t="b" cm="1">
        <f t="array" ref="Y309">IsRed('Large Dataset'!M309)</f>
        <v>0</v>
      </c>
      <c r="Z309" t="b" cm="1">
        <f t="array" ref="Z309">IsBlue('Large Dataset'!M309)</f>
        <v>0</v>
      </c>
      <c r="AA309" t="b" cm="1">
        <f t="array" ref="AA309">IsPurple('Large Dataset'!M309)</f>
        <v>0</v>
      </c>
      <c r="AB309" t="b" cm="1">
        <f t="array" ref="AB309">IsGreen('Large Dataset'!M309)</f>
        <v>0</v>
      </c>
      <c r="AH309" t="b" cm="1">
        <f t="array" ref="AH309">IsRed('Large Dataset'!O309)</f>
        <v>0</v>
      </c>
      <c r="AI309" t="b" cm="1">
        <f t="array" ref="AI309">IsBlue('Large Dataset'!O309)</f>
        <v>0</v>
      </c>
      <c r="AJ309" t="b" cm="1">
        <f t="array" ref="AJ309">IsPurple('Large Dataset'!O309)</f>
        <v>0</v>
      </c>
      <c r="AK309" t="b" cm="1">
        <f t="array" ref="AK309">IsGreen('Large Dataset'!O309)</f>
        <v>0</v>
      </c>
      <c r="AR309" t="b" cm="1">
        <f t="array" ref="AR309">IsRed('Large Dataset'!Q309)</f>
        <v>0</v>
      </c>
      <c r="AS309" t="b" cm="1">
        <f t="array" ref="AS309">IsBlue('Large Dataset'!Q309)</f>
        <v>0</v>
      </c>
      <c r="AT309" t="b" cm="1">
        <f t="array" ref="AT309">IsPurple('Large Dataset'!Q309)</f>
        <v>0</v>
      </c>
      <c r="AU309" t="b" cm="1">
        <f t="array" ref="AU309">IsGreen('Large Dataset'!Q309)</f>
        <v>0</v>
      </c>
      <c r="BA309" t="b" cm="1">
        <f t="array" ref="BA309">IsRed('Large Dataset'!R309)</f>
        <v>0</v>
      </c>
      <c r="BB309" t="b" cm="1">
        <f t="array" ref="BB309">IsBlue('Large Dataset'!R309)</f>
        <v>0</v>
      </c>
      <c r="BC309" t="b" cm="1">
        <f t="array" ref="BC309">IsPurple('Large Dataset'!R309)</f>
        <v>0</v>
      </c>
      <c r="BD309" t="b" cm="1">
        <f t="array" ref="BD309">IsGreen('Large Dataset'!R309)</f>
        <v>0</v>
      </c>
      <c r="BJ309" t="b" cm="1">
        <f t="array" ref="BJ309">IsRed('Large Dataset'!T309)</f>
        <v>0</v>
      </c>
      <c r="BK309" t="b" cm="1">
        <f t="array" ref="BK309">IsBlue('Large Dataset'!T309)</f>
        <v>0</v>
      </c>
      <c r="BL309" t="b" cm="1">
        <f t="array" ref="BL309">IsPurple('Large Dataset'!T309)</f>
        <v>0</v>
      </c>
      <c r="BM309" t="b" cm="1">
        <f t="array" ref="BM309">IsGreen('Large Dataset'!T309)</f>
        <v>0</v>
      </c>
      <c r="BS309" t="b" cm="1">
        <f t="array" ref="BS309">IsRed('Large Dataset'!U309)</f>
        <v>0</v>
      </c>
      <c r="BT309" t="b" cm="1">
        <f t="array" ref="BT309">IsBlue('Large Dataset'!U309)</f>
        <v>0</v>
      </c>
      <c r="BU309" t="b" cm="1">
        <f t="array" ref="BU309">IsPurple('Large Dataset'!U309)</f>
        <v>0</v>
      </c>
      <c r="BV309" t="b" cm="1">
        <f t="array" ref="BV309">IsGreen('Large Dataset'!U309)</f>
        <v>0</v>
      </c>
    </row>
    <row r="310" spans="7:74">
      <c r="G310" t="b" cm="1">
        <f t="array" ref="G310">IsRed('Large Dataset'!I310)</f>
        <v>0</v>
      </c>
      <c r="H310" t="b" cm="1">
        <f t="array" ref="H310">IsBlue('Large Dataset'!I310)</f>
        <v>0</v>
      </c>
      <c r="I310" t="b" cm="1">
        <f t="array" ref="I310">IsPurple('Large Dataset'!I310)</f>
        <v>0</v>
      </c>
      <c r="J310" t="b" cm="1">
        <f t="array" ref="J310">IsGreen('Large Dataset'!G310)</f>
        <v>0</v>
      </c>
      <c r="P310" t="b" cm="1">
        <f t="array" ref="P310">IsRed('Large Dataset'!K310)</f>
        <v>0</v>
      </c>
      <c r="Q310" t="b" cm="1">
        <f t="array" ref="Q310">IsBlue('Large Dataset'!K310)</f>
        <v>0</v>
      </c>
      <c r="R310" t="b" cm="1">
        <f t="array" ref="R310">IsPurple('Large Dataset'!K310)</f>
        <v>0</v>
      </c>
      <c r="S310" t="b" cm="1">
        <f t="array" ref="S310">IsGreen('Large Dataset'!K310)</f>
        <v>0</v>
      </c>
      <c r="Y310" t="b" cm="1">
        <f t="array" ref="Y310">IsRed('Large Dataset'!M310)</f>
        <v>0</v>
      </c>
      <c r="Z310" t="b" cm="1">
        <f t="array" ref="Z310">IsBlue('Large Dataset'!M310)</f>
        <v>0</v>
      </c>
      <c r="AA310" t="b" cm="1">
        <f t="array" ref="AA310">IsPurple('Large Dataset'!M310)</f>
        <v>0</v>
      </c>
      <c r="AB310" t="b" cm="1">
        <f t="array" ref="AB310">IsGreen('Large Dataset'!M310)</f>
        <v>0</v>
      </c>
      <c r="AH310" t="b" cm="1">
        <f t="array" ref="AH310">IsRed('Large Dataset'!O310)</f>
        <v>0</v>
      </c>
      <c r="AI310" t="b" cm="1">
        <f t="array" ref="AI310">IsBlue('Large Dataset'!O310)</f>
        <v>0</v>
      </c>
      <c r="AJ310" t="b" cm="1">
        <f t="array" ref="AJ310">IsPurple('Large Dataset'!O310)</f>
        <v>0</v>
      </c>
      <c r="AK310" t="b" cm="1">
        <f t="array" ref="AK310">IsGreen('Large Dataset'!O310)</f>
        <v>0</v>
      </c>
      <c r="AR310" t="b" cm="1">
        <f t="array" ref="AR310">IsRed('Large Dataset'!Q310)</f>
        <v>0</v>
      </c>
      <c r="AS310" t="b" cm="1">
        <f t="array" ref="AS310">IsBlue('Large Dataset'!Q310)</f>
        <v>0</v>
      </c>
      <c r="AT310" t="b" cm="1">
        <f t="array" ref="AT310">IsPurple('Large Dataset'!Q310)</f>
        <v>0</v>
      </c>
      <c r="AU310" t="b" cm="1">
        <f t="array" ref="AU310">IsGreen('Large Dataset'!Q310)</f>
        <v>0</v>
      </c>
      <c r="BA310" t="b" cm="1">
        <f t="array" ref="BA310">IsRed('Large Dataset'!R310)</f>
        <v>0</v>
      </c>
      <c r="BB310" t="b" cm="1">
        <f t="array" ref="BB310">IsBlue('Large Dataset'!R310)</f>
        <v>0</v>
      </c>
      <c r="BC310" t="b" cm="1">
        <f t="array" ref="BC310">IsPurple('Large Dataset'!R310)</f>
        <v>0</v>
      </c>
      <c r="BD310" t="b" cm="1">
        <f t="array" ref="BD310">IsGreen('Large Dataset'!R310)</f>
        <v>0</v>
      </c>
      <c r="BJ310" t="b" cm="1">
        <f t="array" ref="BJ310">IsRed('Large Dataset'!T310)</f>
        <v>0</v>
      </c>
      <c r="BK310" t="b" cm="1">
        <f t="array" ref="BK310">IsBlue('Large Dataset'!T310)</f>
        <v>0</v>
      </c>
      <c r="BL310" t="b" cm="1">
        <f t="array" ref="BL310">IsPurple('Large Dataset'!T310)</f>
        <v>0</v>
      </c>
      <c r="BM310" t="b" cm="1">
        <f t="array" ref="BM310">IsGreen('Large Dataset'!T310)</f>
        <v>0</v>
      </c>
      <c r="BS310" t="b" cm="1">
        <f t="array" ref="BS310">IsRed('Large Dataset'!U310)</f>
        <v>0</v>
      </c>
      <c r="BT310" t="b" cm="1">
        <f t="array" ref="BT310">IsBlue('Large Dataset'!U310)</f>
        <v>0</v>
      </c>
      <c r="BU310" t="b" cm="1">
        <f t="array" ref="BU310">IsPurple('Large Dataset'!U310)</f>
        <v>0</v>
      </c>
      <c r="BV310" t="b" cm="1">
        <f t="array" ref="BV310">IsGreen('Large Dataset'!U310)</f>
        <v>0</v>
      </c>
    </row>
    <row r="311" spans="7:74">
      <c r="G311" t="b" cm="1">
        <f t="array" ref="G311">IsRed('Large Dataset'!I311)</f>
        <v>0</v>
      </c>
      <c r="H311" t="b" cm="1">
        <f t="array" ref="H311">IsBlue('Large Dataset'!I311)</f>
        <v>0</v>
      </c>
      <c r="I311" t="b" cm="1">
        <f t="array" ref="I311">IsPurple('Large Dataset'!I311)</f>
        <v>0</v>
      </c>
      <c r="J311" t="b" cm="1">
        <f t="array" ref="J311">IsGreen('Large Dataset'!G311)</f>
        <v>0</v>
      </c>
      <c r="P311" t="b" cm="1">
        <f t="array" ref="P311">IsRed('Large Dataset'!K311)</f>
        <v>0</v>
      </c>
      <c r="Q311" t="b" cm="1">
        <f t="array" ref="Q311">IsBlue('Large Dataset'!K311)</f>
        <v>0</v>
      </c>
      <c r="R311" t="b" cm="1">
        <f t="array" ref="R311">IsPurple('Large Dataset'!K311)</f>
        <v>0</v>
      </c>
      <c r="S311" t="b" cm="1">
        <f t="array" ref="S311">IsGreen('Large Dataset'!K311)</f>
        <v>0</v>
      </c>
      <c r="Y311" t="b" cm="1">
        <f t="array" ref="Y311">IsRed('Large Dataset'!M311)</f>
        <v>0</v>
      </c>
      <c r="Z311" t="b" cm="1">
        <f t="array" ref="Z311">IsBlue('Large Dataset'!M311)</f>
        <v>0</v>
      </c>
      <c r="AA311" t="b" cm="1">
        <f t="array" ref="AA311">IsPurple('Large Dataset'!M311)</f>
        <v>0</v>
      </c>
      <c r="AB311" t="b" cm="1">
        <f t="array" ref="AB311">IsGreen('Large Dataset'!M311)</f>
        <v>0</v>
      </c>
      <c r="AH311" t="b" cm="1">
        <f t="array" ref="AH311">IsRed('Large Dataset'!O311)</f>
        <v>0</v>
      </c>
      <c r="AI311" t="b" cm="1">
        <f t="array" ref="AI311">IsBlue('Large Dataset'!O311)</f>
        <v>0</v>
      </c>
      <c r="AJ311" t="b" cm="1">
        <f t="array" ref="AJ311">IsPurple('Large Dataset'!O311)</f>
        <v>0</v>
      </c>
      <c r="AK311" t="b" cm="1">
        <f t="array" ref="AK311">IsGreen('Large Dataset'!O311)</f>
        <v>0</v>
      </c>
      <c r="AR311" t="b" cm="1">
        <f t="array" ref="AR311">IsRed('Large Dataset'!Q311)</f>
        <v>0</v>
      </c>
      <c r="AS311" t="b" cm="1">
        <f t="array" ref="AS311">IsBlue('Large Dataset'!Q311)</f>
        <v>0</v>
      </c>
      <c r="AT311" t="b" cm="1">
        <f t="array" ref="AT311">IsPurple('Large Dataset'!Q311)</f>
        <v>0</v>
      </c>
      <c r="AU311" t="b" cm="1">
        <f t="array" ref="AU311">IsGreen('Large Dataset'!Q311)</f>
        <v>0</v>
      </c>
      <c r="BA311" t="b" cm="1">
        <f t="array" ref="BA311">IsRed('Large Dataset'!R311)</f>
        <v>0</v>
      </c>
      <c r="BB311" t="b" cm="1">
        <f t="array" ref="BB311">IsBlue('Large Dataset'!R311)</f>
        <v>0</v>
      </c>
      <c r="BC311" t="b" cm="1">
        <f t="array" ref="BC311">IsPurple('Large Dataset'!R311)</f>
        <v>0</v>
      </c>
      <c r="BD311" t="b" cm="1">
        <f t="array" ref="BD311">IsGreen('Large Dataset'!R311)</f>
        <v>0</v>
      </c>
      <c r="BJ311" t="b" cm="1">
        <f t="array" ref="BJ311">IsRed('Large Dataset'!T311)</f>
        <v>0</v>
      </c>
      <c r="BK311" t="b" cm="1">
        <f t="array" ref="BK311">IsBlue('Large Dataset'!T311)</f>
        <v>0</v>
      </c>
      <c r="BL311" t="b" cm="1">
        <f t="array" ref="BL311">IsPurple('Large Dataset'!T311)</f>
        <v>0</v>
      </c>
      <c r="BM311" t="b" cm="1">
        <f t="array" ref="BM311">IsGreen('Large Dataset'!T311)</f>
        <v>0</v>
      </c>
      <c r="BS311" t="b" cm="1">
        <f t="array" ref="BS311">IsRed('Large Dataset'!U311)</f>
        <v>0</v>
      </c>
      <c r="BT311" t="b" cm="1">
        <f t="array" ref="BT311">IsBlue('Large Dataset'!U311)</f>
        <v>0</v>
      </c>
      <c r="BU311" t="b" cm="1">
        <f t="array" ref="BU311">IsPurple('Large Dataset'!U311)</f>
        <v>0</v>
      </c>
      <c r="BV311" t="b" cm="1">
        <f t="array" ref="BV311">IsGreen('Large Dataset'!U311)</f>
        <v>0</v>
      </c>
    </row>
    <row r="312" spans="7:74">
      <c r="G312" t="b" cm="1">
        <f t="array" ref="G312">IsRed('Large Dataset'!I312)</f>
        <v>0</v>
      </c>
      <c r="H312" t="b" cm="1">
        <f t="array" ref="H312">IsBlue('Large Dataset'!I312)</f>
        <v>1</v>
      </c>
      <c r="I312" t="b" cm="1">
        <f t="array" ref="I312">IsPurple('Large Dataset'!I312)</f>
        <v>0</v>
      </c>
      <c r="J312" t="b" cm="1">
        <f t="array" ref="J312">IsGreen('Large Dataset'!G312)</f>
        <v>0</v>
      </c>
      <c r="P312" t="b" cm="1">
        <f t="array" ref="P312">IsRed('Large Dataset'!K312)</f>
        <v>0</v>
      </c>
      <c r="Q312" t="b" cm="1">
        <f t="array" ref="Q312">IsBlue('Large Dataset'!K312)</f>
        <v>0</v>
      </c>
      <c r="R312" t="b" cm="1">
        <f t="array" ref="R312">IsPurple('Large Dataset'!K312)</f>
        <v>0</v>
      </c>
      <c r="S312" t="b" cm="1">
        <f t="array" ref="S312">IsGreen('Large Dataset'!K312)</f>
        <v>0</v>
      </c>
      <c r="Y312" t="b" cm="1">
        <f t="array" ref="Y312">IsRed('Large Dataset'!M312)</f>
        <v>0</v>
      </c>
      <c r="Z312" t="b" cm="1">
        <f t="array" ref="Z312">IsBlue('Large Dataset'!M312)</f>
        <v>1</v>
      </c>
      <c r="AA312" t="b" cm="1">
        <f t="array" ref="AA312">IsPurple('Large Dataset'!M312)</f>
        <v>0</v>
      </c>
      <c r="AB312" t="b" cm="1">
        <f t="array" ref="AB312">IsGreen('Large Dataset'!M312)</f>
        <v>0</v>
      </c>
      <c r="AH312" t="b" cm="1">
        <f t="array" ref="AH312">IsRed('Large Dataset'!O312)</f>
        <v>0</v>
      </c>
      <c r="AI312" t="b" cm="1">
        <f t="array" ref="AI312">IsBlue('Large Dataset'!O312)</f>
        <v>1</v>
      </c>
      <c r="AJ312" t="b" cm="1">
        <f t="array" ref="AJ312">IsPurple('Large Dataset'!O312)</f>
        <v>0</v>
      </c>
      <c r="AK312" t="b" cm="1">
        <f t="array" ref="AK312">IsGreen('Large Dataset'!O312)</f>
        <v>0</v>
      </c>
      <c r="AR312" t="b" cm="1">
        <f t="array" ref="AR312">IsRed('Large Dataset'!Q312)</f>
        <v>0</v>
      </c>
      <c r="AS312" t="b" cm="1">
        <f t="array" ref="AS312">IsBlue('Large Dataset'!Q312)</f>
        <v>0</v>
      </c>
      <c r="AT312" t="b" cm="1">
        <f t="array" ref="AT312">IsPurple('Large Dataset'!Q312)</f>
        <v>0</v>
      </c>
      <c r="AU312" t="b" cm="1">
        <f t="array" ref="AU312">IsGreen('Large Dataset'!Q312)</f>
        <v>0</v>
      </c>
      <c r="BA312" t="b" cm="1">
        <f t="array" ref="BA312">IsRed('Large Dataset'!R312)</f>
        <v>0</v>
      </c>
      <c r="BB312" t="b" cm="1">
        <f t="array" ref="BB312">IsBlue('Large Dataset'!R312)</f>
        <v>0</v>
      </c>
      <c r="BC312" t="b" cm="1">
        <f t="array" ref="BC312">IsPurple('Large Dataset'!R312)</f>
        <v>0</v>
      </c>
      <c r="BD312" t="b" cm="1">
        <f t="array" ref="BD312">IsGreen('Large Dataset'!R312)</f>
        <v>0</v>
      </c>
      <c r="BJ312" t="b" cm="1">
        <f t="array" ref="BJ312">IsRed('Large Dataset'!T312)</f>
        <v>0</v>
      </c>
      <c r="BK312" t="b" cm="1">
        <f t="array" ref="BK312">IsBlue('Large Dataset'!T312)</f>
        <v>0</v>
      </c>
      <c r="BL312" t="b" cm="1">
        <f t="array" ref="BL312">IsPurple('Large Dataset'!T312)</f>
        <v>0</v>
      </c>
      <c r="BM312" t="b" cm="1">
        <f t="array" ref="BM312">IsGreen('Large Dataset'!T312)</f>
        <v>0</v>
      </c>
      <c r="BS312" t="b" cm="1">
        <f t="array" ref="BS312">IsRed('Large Dataset'!U312)</f>
        <v>0</v>
      </c>
      <c r="BT312" t="b" cm="1">
        <f t="array" ref="BT312">IsBlue('Large Dataset'!U312)</f>
        <v>0</v>
      </c>
      <c r="BU312" t="b" cm="1">
        <f t="array" ref="BU312">IsPurple('Large Dataset'!U312)</f>
        <v>0</v>
      </c>
      <c r="BV312" t="b" cm="1">
        <f t="array" ref="BV312">IsGreen('Large Dataset'!U312)</f>
        <v>0</v>
      </c>
    </row>
    <row r="313" spans="7:74">
      <c r="G313" t="b" cm="1">
        <f t="array" ref="G313">IsRed('Large Dataset'!I313)</f>
        <v>0</v>
      </c>
      <c r="H313" t="b" cm="1">
        <f t="array" ref="H313">IsBlue('Large Dataset'!I313)</f>
        <v>0</v>
      </c>
      <c r="I313" t="b" cm="1">
        <f t="array" ref="I313">IsPurple('Large Dataset'!I313)</f>
        <v>0</v>
      </c>
      <c r="J313" t="b" cm="1">
        <f t="array" ref="J313">IsGreen('Large Dataset'!G313)</f>
        <v>0</v>
      </c>
      <c r="P313" t="b" cm="1">
        <f t="array" ref="P313">IsRed('Large Dataset'!K313)</f>
        <v>0</v>
      </c>
      <c r="Q313" t="b" cm="1">
        <f t="array" ref="Q313">IsBlue('Large Dataset'!K313)</f>
        <v>0</v>
      </c>
      <c r="R313" t="b" cm="1">
        <f t="array" ref="R313">IsPurple('Large Dataset'!K313)</f>
        <v>0</v>
      </c>
      <c r="S313" t="b" cm="1">
        <f t="array" ref="S313">IsGreen('Large Dataset'!K313)</f>
        <v>0</v>
      </c>
      <c r="Y313" t="b" cm="1">
        <f t="array" ref="Y313">IsRed('Large Dataset'!M313)</f>
        <v>0</v>
      </c>
      <c r="Z313" t="b" cm="1">
        <f t="array" ref="Z313">IsBlue('Large Dataset'!M313)</f>
        <v>0</v>
      </c>
      <c r="AA313" t="b" cm="1">
        <f t="array" ref="AA313">IsPurple('Large Dataset'!M313)</f>
        <v>0</v>
      </c>
      <c r="AB313" t="b" cm="1">
        <f t="array" ref="AB313">IsGreen('Large Dataset'!M313)</f>
        <v>0</v>
      </c>
      <c r="AH313" t="b" cm="1">
        <f t="array" ref="AH313">IsRed('Large Dataset'!O313)</f>
        <v>0</v>
      </c>
      <c r="AI313" t="b" cm="1">
        <f t="array" ref="AI313">IsBlue('Large Dataset'!O313)</f>
        <v>1</v>
      </c>
      <c r="AJ313" t="b" cm="1">
        <f t="array" ref="AJ313">IsPurple('Large Dataset'!O313)</f>
        <v>0</v>
      </c>
      <c r="AK313" t="b" cm="1">
        <f t="array" ref="AK313">IsGreen('Large Dataset'!O313)</f>
        <v>0</v>
      </c>
      <c r="AR313" t="b" cm="1">
        <f t="array" ref="AR313">IsRed('Large Dataset'!Q313)</f>
        <v>0</v>
      </c>
      <c r="AS313" t="b" cm="1">
        <f t="array" ref="AS313">IsBlue('Large Dataset'!Q313)</f>
        <v>0</v>
      </c>
      <c r="AT313" t="b" cm="1">
        <f t="array" ref="AT313">IsPurple('Large Dataset'!Q313)</f>
        <v>0</v>
      </c>
      <c r="AU313" t="b" cm="1">
        <f t="array" ref="AU313">IsGreen('Large Dataset'!Q313)</f>
        <v>0</v>
      </c>
      <c r="BA313" t="b" cm="1">
        <f t="array" ref="BA313">IsRed('Large Dataset'!R313)</f>
        <v>0</v>
      </c>
      <c r="BB313" t="b" cm="1">
        <f t="array" ref="BB313">IsBlue('Large Dataset'!R313)</f>
        <v>0</v>
      </c>
      <c r="BC313" t="b" cm="1">
        <f t="array" ref="BC313">IsPurple('Large Dataset'!R313)</f>
        <v>0</v>
      </c>
      <c r="BD313" t="b" cm="1">
        <f t="array" ref="BD313">IsGreen('Large Dataset'!R313)</f>
        <v>0</v>
      </c>
      <c r="BJ313" t="b" cm="1">
        <f t="array" ref="BJ313">IsRed('Large Dataset'!T313)</f>
        <v>0</v>
      </c>
      <c r="BK313" t="b" cm="1">
        <f t="array" ref="BK313">IsBlue('Large Dataset'!T313)</f>
        <v>0</v>
      </c>
      <c r="BL313" t="b" cm="1">
        <f t="array" ref="BL313">IsPurple('Large Dataset'!T313)</f>
        <v>0</v>
      </c>
      <c r="BM313" t="b" cm="1">
        <f t="array" ref="BM313">IsGreen('Large Dataset'!T313)</f>
        <v>0</v>
      </c>
      <c r="BS313" t="b" cm="1">
        <f t="array" ref="BS313">IsRed('Large Dataset'!U313)</f>
        <v>0</v>
      </c>
      <c r="BT313" t="b" cm="1">
        <f t="array" ref="BT313">IsBlue('Large Dataset'!U313)</f>
        <v>0</v>
      </c>
      <c r="BU313" t="b" cm="1">
        <f t="array" ref="BU313">IsPurple('Large Dataset'!U313)</f>
        <v>0</v>
      </c>
      <c r="BV313" t="b" cm="1">
        <f t="array" ref="BV313">IsGreen('Large Dataset'!U313)</f>
        <v>0</v>
      </c>
    </row>
    <row r="314" spans="7:74">
      <c r="G314" t="b" cm="1">
        <f t="array" ref="G314">IsRed('Large Dataset'!I314)</f>
        <v>0</v>
      </c>
      <c r="H314" t="b" cm="1">
        <f t="array" ref="H314">IsBlue('Large Dataset'!I314)</f>
        <v>0</v>
      </c>
      <c r="I314" t="b" cm="1">
        <f t="array" ref="I314">IsPurple('Large Dataset'!I314)</f>
        <v>0</v>
      </c>
      <c r="J314" t="b" cm="1">
        <f t="array" ref="J314">IsGreen('Large Dataset'!G314)</f>
        <v>0</v>
      </c>
      <c r="P314" t="b" cm="1">
        <f t="array" ref="P314">IsRed('Large Dataset'!K314)</f>
        <v>0</v>
      </c>
      <c r="Q314" t="b" cm="1">
        <f t="array" ref="Q314">IsBlue('Large Dataset'!K314)</f>
        <v>0</v>
      </c>
      <c r="R314" t="b" cm="1">
        <f t="array" ref="R314">IsPurple('Large Dataset'!K314)</f>
        <v>0</v>
      </c>
      <c r="S314" t="b" cm="1">
        <f t="array" ref="S314">IsGreen('Large Dataset'!K314)</f>
        <v>0</v>
      </c>
      <c r="Y314" t="b" cm="1">
        <f t="array" ref="Y314">IsRed('Large Dataset'!M314)</f>
        <v>0</v>
      </c>
      <c r="Z314" t="b" cm="1">
        <f t="array" ref="Z314">IsBlue('Large Dataset'!M314)</f>
        <v>0</v>
      </c>
      <c r="AA314" t="b" cm="1">
        <f t="array" ref="AA314">IsPurple('Large Dataset'!M314)</f>
        <v>0</v>
      </c>
      <c r="AB314" t="b" cm="1">
        <f t="array" ref="AB314">IsGreen('Large Dataset'!M314)</f>
        <v>0</v>
      </c>
      <c r="AH314" t="b" cm="1">
        <f t="array" ref="AH314">IsRed('Large Dataset'!O314)</f>
        <v>0</v>
      </c>
      <c r="AI314" t="b" cm="1">
        <f t="array" ref="AI314">IsBlue('Large Dataset'!O314)</f>
        <v>0</v>
      </c>
      <c r="AJ314" t="b" cm="1">
        <f t="array" ref="AJ314">IsPurple('Large Dataset'!O314)</f>
        <v>0</v>
      </c>
      <c r="AK314" t="b" cm="1">
        <f t="array" ref="AK314">IsGreen('Large Dataset'!O314)</f>
        <v>0</v>
      </c>
      <c r="AR314" t="b" cm="1">
        <f t="array" ref="AR314">IsRed('Large Dataset'!Q314)</f>
        <v>0</v>
      </c>
      <c r="AS314" t="b" cm="1">
        <f t="array" ref="AS314">IsBlue('Large Dataset'!Q314)</f>
        <v>0</v>
      </c>
      <c r="AT314" t="b" cm="1">
        <f t="array" ref="AT314">IsPurple('Large Dataset'!Q314)</f>
        <v>0</v>
      </c>
      <c r="AU314" t="b" cm="1">
        <f t="array" ref="AU314">IsGreen('Large Dataset'!Q314)</f>
        <v>0</v>
      </c>
      <c r="BA314" t="b" cm="1">
        <f t="array" ref="BA314">IsRed('Large Dataset'!R314)</f>
        <v>0</v>
      </c>
      <c r="BB314" t="b" cm="1">
        <f t="array" ref="BB314">IsBlue('Large Dataset'!R314)</f>
        <v>0</v>
      </c>
      <c r="BC314" t="b" cm="1">
        <f t="array" ref="BC314">IsPurple('Large Dataset'!R314)</f>
        <v>0</v>
      </c>
      <c r="BD314" t="b" cm="1">
        <f t="array" ref="BD314">IsGreen('Large Dataset'!R314)</f>
        <v>0</v>
      </c>
      <c r="BJ314" t="b" cm="1">
        <f t="array" ref="BJ314">IsRed('Large Dataset'!T314)</f>
        <v>0</v>
      </c>
      <c r="BK314" t="b" cm="1">
        <f t="array" ref="BK314">IsBlue('Large Dataset'!T314)</f>
        <v>0</v>
      </c>
      <c r="BL314" t="b" cm="1">
        <f t="array" ref="BL314">IsPurple('Large Dataset'!T314)</f>
        <v>0</v>
      </c>
      <c r="BM314" t="b" cm="1">
        <f t="array" ref="BM314">IsGreen('Large Dataset'!T314)</f>
        <v>0</v>
      </c>
      <c r="BS314" t="b" cm="1">
        <f t="array" ref="BS314">IsRed('Large Dataset'!U314)</f>
        <v>0</v>
      </c>
      <c r="BT314" t="b" cm="1">
        <f t="array" ref="BT314">IsBlue('Large Dataset'!U314)</f>
        <v>0</v>
      </c>
      <c r="BU314" t="b" cm="1">
        <f t="array" ref="BU314">IsPurple('Large Dataset'!U314)</f>
        <v>0</v>
      </c>
      <c r="BV314" t="b" cm="1">
        <f t="array" ref="BV314">IsGreen('Large Dataset'!U314)</f>
        <v>0</v>
      </c>
    </row>
    <row r="315" spans="7:74">
      <c r="G315" t="b" cm="1">
        <f t="array" ref="G315">IsRed('Large Dataset'!I315)</f>
        <v>0</v>
      </c>
      <c r="H315" t="b" cm="1">
        <f t="array" ref="H315">IsBlue('Large Dataset'!I315)</f>
        <v>0</v>
      </c>
      <c r="I315" t="b" cm="1">
        <f t="array" ref="I315">IsPurple('Large Dataset'!I315)</f>
        <v>0</v>
      </c>
      <c r="J315" t="b" cm="1">
        <f t="array" ref="J315">IsGreen('Large Dataset'!G315)</f>
        <v>0</v>
      </c>
      <c r="P315" t="b" cm="1">
        <f t="array" ref="P315">IsRed('Large Dataset'!K315)</f>
        <v>0</v>
      </c>
      <c r="Q315" t="b" cm="1">
        <f t="array" ref="Q315">IsBlue('Large Dataset'!K315)</f>
        <v>0</v>
      </c>
      <c r="R315" t="b" cm="1">
        <f t="array" ref="R315">IsPurple('Large Dataset'!K315)</f>
        <v>0</v>
      </c>
      <c r="S315" t="b" cm="1">
        <f t="array" ref="S315">IsGreen('Large Dataset'!K315)</f>
        <v>0</v>
      </c>
      <c r="Y315" t="b" cm="1">
        <f t="array" ref="Y315">IsRed('Large Dataset'!M315)</f>
        <v>0</v>
      </c>
      <c r="Z315" t="b" cm="1">
        <f t="array" ref="Z315">IsBlue('Large Dataset'!M315)</f>
        <v>0</v>
      </c>
      <c r="AA315" t="b" cm="1">
        <f t="array" ref="AA315">IsPurple('Large Dataset'!M315)</f>
        <v>0</v>
      </c>
      <c r="AB315" t="b" cm="1">
        <f t="array" ref="AB315">IsGreen('Large Dataset'!M315)</f>
        <v>0</v>
      </c>
      <c r="AH315" t="b" cm="1">
        <f t="array" ref="AH315">IsRed('Large Dataset'!O315)</f>
        <v>0</v>
      </c>
      <c r="AI315" t="b" cm="1">
        <f t="array" ref="AI315">IsBlue('Large Dataset'!O315)</f>
        <v>0</v>
      </c>
      <c r="AJ315" t="b" cm="1">
        <f t="array" ref="AJ315">IsPurple('Large Dataset'!O315)</f>
        <v>0</v>
      </c>
      <c r="AK315" t="b" cm="1">
        <f t="array" ref="AK315">IsGreen('Large Dataset'!O315)</f>
        <v>0</v>
      </c>
      <c r="AR315" t="b" cm="1">
        <f t="array" ref="AR315">IsRed('Large Dataset'!Q315)</f>
        <v>0</v>
      </c>
      <c r="AS315" t="b" cm="1">
        <f t="array" ref="AS315">IsBlue('Large Dataset'!Q315)</f>
        <v>0</v>
      </c>
      <c r="AT315" t="b" cm="1">
        <f t="array" ref="AT315">IsPurple('Large Dataset'!Q315)</f>
        <v>0</v>
      </c>
      <c r="AU315" t="b" cm="1">
        <f t="array" ref="AU315">IsGreen('Large Dataset'!Q315)</f>
        <v>0</v>
      </c>
      <c r="BA315" t="b" cm="1">
        <f t="array" ref="BA315">IsRed('Large Dataset'!R315)</f>
        <v>0</v>
      </c>
      <c r="BB315" t="b" cm="1">
        <f t="array" ref="BB315">IsBlue('Large Dataset'!R315)</f>
        <v>0</v>
      </c>
      <c r="BC315" t="b" cm="1">
        <f t="array" ref="BC315">IsPurple('Large Dataset'!R315)</f>
        <v>0</v>
      </c>
      <c r="BD315" t="b" cm="1">
        <f t="array" ref="BD315">IsGreen('Large Dataset'!R315)</f>
        <v>0</v>
      </c>
      <c r="BJ315" t="b" cm="1">
        <f t="array" ref="BJ315">IsRed('Large Dataset'!T315)</f>
        <v>0</v>
      </c>
      <c r="BK315" t="b" cm="1">
        <f t="array" ref="BK315">IsBlue('Large Dataset'!T315)</f>
        <v>0</v>
      </c>
      <c r="BL315" t="b" cm="1">
        <f t="array" ref="BL315">IsPurple('Large Dataset'!T315)</f>
        <v>0</v>
      </c>
      <c r="BM315" t="b" cm="1">
        <f t="array" ref="BM315">IsGreen('Large Dataset'!T315)</f>
        <v>0</v>
      </c>
      <c r="BS315" t="b" cm="1">
        <f t="array" ref="BS315">IsRed('Large Dataset'!U315)</f>
        <v>0</v>
      </c>
      <c r="BT315" t="b" cm="1">
        <f t="array" ref="BT315">IsBlue('Large Dataset'!U315)</f>
        <v>0</v>
      </c>
      <c r="BU315" t="b" cm="1">
        <f t="array" ref="BU315">IsPurple('Large Dataset'!U315)</f>
        <v>0</v>
      </c>
      <c r="BV315" t="b" cm="1">
        <f t="array" ref="BV315">IsGreen('Large Dataset'!U315)</f>
        <v>0</v>
      </c>
    </row>
    <row r="316" spans="7:74">
      <c r="G316" t="b" cm="1">
        <f t="array" ref="G316">IsRed('Large Dataset'!I316)</f>
        <v>0</v>
      </c>
      <c r="H316" t="b" cm="1">
        <f t="array" ref="H316">IsBlue('Large Dataset'!I316)</f>
        <v>0</v>
      </c>
      <c r="I316" t="b" cm="1">
        <f t="array" ref="I316">IsPurple('Large Dataset'!I316)</f>
        <v>0</v>
      </c>
      <c r="J316" t="b" cm="1">
        <f t="array" ref="J316">IsGreen('Large Dataset'!G316)</f>
        <v>0</v>
      </c>
      <c r="P316" t="b" cm="1">
        <f t="array" ref="P316">IsRed('Large Dataset'!K316)</f>
        <v>0</v>
      </c>
      <c r="Q316" t="b" cm="1">
        <f t="array" ref="Q316">IsBlue('Large Dataset'!K316)</f>
        <v>0</v>
      </c>
      <c r="R316" t="b" cm="1">
        <f t="array" ref="R316">IsPurple('Large Dataset'!K316)</f>
        <v>0</v>
      </c>
      <c r="S316" t="b" cm="1">
        <f t="array" ref="S316">IsGreen('Large Dataset'!K316)</f>
        <v>0</v>
      </c>
      <c r="Y316" t="b" cm="1">
        <f t="array" ref="Y316">IsRed('Large Dataset'!M316)</f>
        <v>0</v>
      </c>
      <c r="Z316" t="b" cm="1">
        <f t="array" ref="Z316">IsBlue('Large Dataset'!M316)</f>
        <v>0</v>
      </c>
      <c r="AA316" t="b" cm="1">
        <f t="array" ref="AA316">IsPurple('Large Dataset'!M316)</f>
        <v>0</v>
      </c>
      <c r="AB316" t="b" cm="1">
        <f t="array" ref="AB316">IsGreen('Large Dataset'!M316)</f>
        <v>0</v>
      </c>
      <c r="AH316" t="b" cm="1">
        <f t="array" ref="AH316">IsRed('Large Dataset'!O316)</f>
        <v>0</v>
      </c>
      <c r="AI316" t="b" cm="1">
        <f t="array" ref="AI316">IsBlue('Large Dataset'!O316)</f>
        <v>0</v>
      </c>
      <c r="AJ316" t="b" cm="1">
        <f t="array" ref="AJ316">IsPurple('Large Dataset'!O316)</f>
        <v>0</v>
      </c>
      <c r="AK316" t="b" cm="1">
        <f t="array" ref="AK316">IsGreen('Large Dataset'!O316)</f>
        <v>0</v>
      </c>
      <c r="AR316" t="b" cm="1">
        <f t="array" ref="AR316">IsRed('Large Dataset'!Q316)</f>
        <v>0</v>
      </c>
      <c r="AS316" t="b" cm="1">
        <f t="array" ref="AS316">IsBlue('Large Dataset'!Q316)</f>
        <v>0</v>
      </c>
      <c r="AT316" t="b" cm="1">
        <f t="array" ref="AT316">IsPurple('Large Dataset'!Q316)</f>
        <v>0</v>
      </c>
      <c r="AU316" t="b" cm="1">
        <f t="array" ref="AU316">IsGreen('Large Dataset'!Q316)</f>
        <v>0</v>
      </c>
      <c r="BA316" t="b" cm="1">
        <f t="array" ref="BA316">IsRed('Large Dataset'!R316)</f>
        <v>0</v>
      </c>
      <c r="BB316" t="b" cm="1">
        <f t="array" ref="BB316">IsBlue('Large Dataset'!R316)</f>
        <v>0</v>
      </c>
      <c r="BC316" t="b" cm="1">
        <f t="array" ref="BC316">IsPurple('Large Dataset'!R316)</f>
        <v>0</v>
      </c>
      <c r="BD316" t="b" cm="1">
        <f t="array" ref="BD316">IsGreen('Large Dataset'!R316)</f>
        <v>0</v>
      </c>
      <c r="BJ316" t="b" cm="1">
        <f t="array" ref="BJ316">IsRed('Large Dataset'!T316)</f>
        <v>0</v>
      </c>
      <c r="BK316" t="b" cm="1">
        <f t="array" ref="BK316">IsBlue('Large Dataset'!T316)</f>
        <v>0</v>
      </c>
      <c r="BL316" t="b" cm="1">
        <f t="array" ref="BL316">IsPurple('Large Dataset'!T316)</f>
        <v>0</v>
      </c>
      <c r="BM316" t="b" cm="1">
        <f t="array" ref="BM316">IsGreen('Large Dataset'!T316)</f>
        <v>0</v>
      </c>
      <c r="BS316" t="b" cm="1">
        <f t="array" ref="BS316">IsRed('Large Dataset'!U316)</f>
        <v>0</v>
      </c>
      <c r="BT316" t="b" cm="1">
        <f t="array" ref="BT316">IsBlue('Large Dataset'!U316)</f>
        <v>0</v>
      </c>
      <c r="BU316" t="b" cm="1">
        <f t="array" ref="BU316">IsPurple('Large Dataset'!U316)</f>
        <v>0</v>
      </c>
      <c r="BV316" t="b" cm="1">
        <f t="array" ref="BV316">IsGreen('Large Dataset'!U316)</f>
        <v>0</v>
      </c>
    </row>
    <row r="317" spans="7:74">
      <c r="G317" t="b" cm="1">
        <f t="array" ref="G317">IsRed('Large Dataset'!I317)</f>
        <v>0</v>
      </c>
      <c r="H317" t="b" cm="1">
        <f t="array" ref="H317">IsBlue('Large Dataset'!I317)</f>
        <v>0</v>
      </c>
      <c r="I317" t="b" cm="1">
        <f t="array" ref="I317">IsPurple('Large Dataset'!I317)</f>
        <v>0</v>
      </c>
      <c r="J317" t="b" cm="1">
        <f t="array" ref="J317">IsGreen('Large Dataset'!G317)</f>
        <v>0</v>
      </c>
      <c r="P317" t="b" cm="1">
        <f t="array" ref="P317">IsRed('Large Dataset'!K317)</f>
        <v>0</v>
      </c>
      <c r="Q317" t="b" cm="1">
        <f t="array" ref="Q317">IsBlue('Large Dataset'!K317)</f>
        <v>0</v>
      </c>
      <c r="R317" t="b" cm="1">
        <f t="array" ref="R317">IsPurple('Large Dataset'!K317)</f>
        <v>0</v>
      </c>
      <c r="S317" t="b" cm="1">
        <f t="array" ref="S317">IsGreen('Large Dataset'!K317)</f>
        <v>0</v>
      </c>
      <c r="Y317" t="b" cm="1">
        <f t="array" ref="Y317">IsRed('Large Dataset'!M317)</f>
        <v>0</v>
      </c>
      <c r="Z317" t="b" cm="1">
        <f t="array" ref="Z317">IsBlue('Large Dataset'!M317)</f>
        <v>0</v>
      </c>
      <c r="AA317" t="b" cm="1">
        <f t="array" ref="AA317">IsPurple('Large Dataset'!M317)</f>
        <v>0</v>
      </c>
      <c r="AB317" t="b" cm="1">
        <f t="array" ref="AB317">IsGreen('Large Dataset'!M317)</f>
        <v>0</v>
      </c>
      <c r="AH317" t="b" cm="1">
        <f t="array" ref="AH317">IsRed('Large Dataset'!O317)</f>
        <v>0</v>
      </c>
      <c r="AI317" t="b" cm="1">
        <f t="array" ref="AI317">IsBlue('Large Dataset'!O317)</f>
        <v>0</v>
      </c>
      <c r="AJ317" t="b" cm="1">
        <f t="array" ref="AJ317">IsPurple('Large Dataset'!O317)</f>
        <v>0</v>
      </c>
      <c r="AK317" t="b" cm="1">
        <f t="array" ref="AK317">IsGreen('Large Dataset'!O317)</f>
        <v>0</v>
      </c>
      <c r="AR317" t="b" cm="1">
        <f t="array" ref="AR317">IsRed('Large Dataset'!Q317)</f>
        <v>0</v>
      </c>
      <c r="AS317" t="b" cm="1">
        <f t="array" ref="AS317">IsBlue('Large Dataset'!Q317)</f>
        <v>0</v>
      </c>
      <c r="AT317" t="b" cm="1">
        <f t="array" ref="AT317">IsPurple('Large Dataset'!Q317)</f>
        <v>0</v>
      </c>
      <c r="AU317" t="b" cm="1">
        <f t="array" ref="AU317">IsGreen('Large Dataset'!Q317)</f>
        <v>0</v>
      </c>
      <c r="BA317" t="b" cm="1">
        <f t="array" ref="BA317">IsRed('Large Dataset'!R317)</f>
        <v>0</v>
      </c>
      <c r="BB317" t="b" cm="1">
        <f t="array" ref="BB317">IsBlue('Large Dataset'!R317)</f>
        <v>0</v>
      </c>
      <c r="BC317" t="b" cm="1">
        <f t="array" ref="BC317">IsPurple('Large Dataset'!R317)</f>
        <v>0</v>
      </c>
      <c r="BD317" t="b" cm="1">
        <f t="array" ref="BD317">IsGreen('Large Dataset'!R317)</f>
        <v>0</v>
      </c>
      <c r="BJ317" t="b" cm="1">
        <f t="array" ref="BJ317">IsRed('Large Dataset'!T317)</f>
        <v>0</v>
      </c>
      <c r="BK317" t="b" cm="1">
        <f t="array" ref="BK317">IsBlue('Large Dataset'!T317)</f>
        <v>0</v>
      </c>
      <c r="BL317" t="b" cm="1">
        <f t="array" ref="BL317">IsPurple('Large Dataset'!T317)</f>
        <v>0</v>
      </c>
      <c r="BM317" t="b" cm="1">
        <f t="array" ref="BM317">IsGreen('Large Dataset'!T317)</f>
        <v>0</v>
      </c>
      <c r="BS317" t="b" cm="1">
        <f t="array" ref="BS317">IsRed('Large Dataset'!U317)</f>
        <v>0</v>
      </c>
      <c r="BT317" t="b" cm="1">
        <f t="array" ref="BT317">IsBlue('Large Dataset'!U317)</f>
        <v>0</v>
      </c>
      <c r="BU317" t="b" cm="1">
        <f t="array" ref="BU317">IsPurple('Large Dataset'!U317)</f>
        <v>0</v>
      </c>
      <c r="BV317" t="b" cm="1">
        <f t="array" ref="BV317">IsGreen('Large Dataset'!U317)</f>
        <v>0</v>
      </c>
    </row>
    <row r="318" spans="7:74">
      <c r="G318" t="b" cm="1">
        <f t="array" ref="G318">IsRed('Large Dataset'!I318)</f>
        <v>0</v>
      </c>
      <c r="H318" t="b" cm="1">
        <f t="array" ref="H318">IsBlue('Large Dataset'!I318)</f>
        <v>0</v>
      </c>
      <c r="I318" t="b" cm="1">
        <f t="array" ref="I318">IsPurple('Large Dataset'!I318)</f>
        <v>0</v>
      </c>
      <c r="J318" t="b" cm="1">
        <f t="array" ref="J318">IsGreen('Large Dataset'!G318)</f>
        <v>0</v>
      </c>
      <c r="P318" t="b" cm="1">
        <f t="array" ref="P318">IsRed('Large Dataset'!K318)</f>
        <v>0</v>
      </c>
      <c r="Q318" t="b" cm="1">
        <f t="array" ref="Q318">IsBlue('Large Dataset'!K318)</f>
        <v>0</v>
      </c>
      <c r="R318" t="b" cm="1">
        <f t="array" ref="R318">IsPurple('Large Dataset'!K318)</f>
        <v>0</v>
      </c>
      <c r="S318" t="b" cm="1">
        <f t="array" ref="S318">IsGreen('Large Dataset'!K318)</f>
        <v>0</v>
      </c>
      <c r="Y318" t="b" cm="1">
        <f t="array" ref="Y318">IsRed('Large Dataset'!M318)</f>
        <v>0</v>
      </c>
      <c r="Z318" t="b" cm="1">
        <f t="array" ref="Z318">IsBlue('Large Dataset'!M318)</f>
        <v>0</v>
      </c>
      <c r="AA318" t="b" cm="1">
        <f t="array" ref="AA318">IsPurple('Large Dataset'!M318)</f>
        <v>0</v>
      </c>
      <c r="AB318" t="b" cm="1">
        <f t="array" ref="AB318">IsGreen('Large Dataset'!M318)</f>
        <v>0</v>
      </c>
      <c r="AH318" t="b" cm="1">
        <f t="array" ref="AH318">IsRed('Large Dataset'!O318)</f>
        <v>0</v>
      </c>
      <c r="AI318" t="b" cm="1">
        <f t="array" ref="AI318">IsBlue('Large Dataset'!O318)</f>
        <v>0</v>
      </c>
      <c r="AJ318" t="b" cm="1">
        <f t="array" ref="AJ318">IsPurple('Large Dataset'!O318)</f>
        <v>0</v>
      </c>
      <c r="AK318" t="b" cm="1">
        <f t="array" ref="AK318">IsGreen('Large Dataset'!O318)</f>
        <v>0</v>
      </c>
      <c r="AR318" t="b" cm="1">
        <f t="array" ref="AR318">IsRed('Large Dataset'!Q318)</f>
        <v>0</v>
      </c>
      <c r="AS318" t="b" cm="1">
        <f t="array" ref="AS318">IsBlue('Large Dataset'!Q318)</f>
        <v>0</v>
      </c>
      <c r="AT318" t="b" cm="1">
        <f t="array" ref="AT318">IsPurple('Large Dataset'!Q318)</f>
        <v>0</v>
      </c>
      <c r="AU318" t="b" cm="1">
        <f t="array" ref="AU318">IsGreen('Large Dataset'!Q318)</f>
        <v>0</v>
      </c>
      <c r="BA318" t="b" cm="1">
        <f t="array" ref="BA318">IsRed('Large Dataset'!R318)</f>
        <v>0</v>
      </c>
      <c r="BB318" t="b" cm="1">
        <f t="array" ref="BB318">IsBlue('Large Dataset'!R318)</f>
        <v>0</v>
      </c>
      <c r="BC318" t="b" cm="1">
        <f t="array" ref="BC318">IsPurple('Large Dataset'!R318)</f>
        <v>0</v>
      </c>
      <c r="BD318" t="b" cm="1">
        <f t="array" ref="BD318">IsGreen('Large Dataset'!R318)</f>
        <v>0</v>
      </c>
      <c r="BJ318" t="b" cm="1">
        <f t="array" ref="BJ318">IsRed('Large Dataset'!T318)</f>
        <v>0</v>
      </c>
      <c r="BK318" t="b" cm="1">
        <f t="array" ref="BK318">IsBlue('Large Dataset'!T318)</f>
        <v>0</v>
      </c>
      <c r="BL318" t="b" cm="1">
        <f t="array" ref="BL318">IsPurple('Large Dataset'!T318)</f>
        <v>0</v>
      </c>
      <c r="BM318" t="b" cm="1">
        <f t="array" ref="BM318">IsGreen('Large Dataset'!T318)</f>
        <v>0</v>
      </c>
      <c r="BS318" t="b" cm="1">
        <f t="array" ref="BS318">IsRed('Large Dataset'!U318)</f>
        <v>0</v>
      </c>
      <c r="BT318" t="b" cm="1">
        <f t="array" ref="BT318">IsBlue('Large Dataset'!U318)</f>
        <v>0</v>
      </c>
      <c r="BU318" t="b" cm="1">
        <f t="array" ref="BU318">IsPurple('Large Dataset'!U318)</f>
        <v>0</v>
      </c>
      <c r="BV318" t="b" cm="1">
        <f t="array" ref="BV318">IsGreen('Large Dataset'!U318)</f>
        <v>0</v>
      </c>
    </row>
    <row r="319" spans="7:74">
      <c r="G319" t="b" cm="1">
        <f t="array" ref="G319">IsRed('Large Dataset'!I319)</f>
        <v>0</v>
      </c>
      <c r="H319" t="b" cm="1">
        <f t="array" ref="H319">IsBlue('Large Dataset'!I319)</f>
        <v>0</v>
      </c>
      <c r="I319" t="b" cm="1">
        <f t="array" ref="I319">IsPurple('Large Dataset'!I319)</f>
        <v>0</v>
      </c>
      <c r="J319" t="b" cm="1">
        <f t="array" ref="J319">IsGreen('Large Dataset'!G319)</f>
        <v>0</v>
      </c>
      <c r="P319" t="b" cm="1">
        <f t="array" ref="P319">IsRed('Large Dataset'!K319)</f>
        <v>0</v>
      </c>
      <c r="Q319" t="b" cm="1">
        <f t="array" ref="Q319">IsBlue('Large Dataset'!K319)</f>
        <v>0</v>
      </c>
      <c r="R319" t="b" cm="1">
        <f t="array" ref="R319">IsPurple('Large Dataset'!K319)</f>
        <v>0</v>
      </c>
      <c r="S319" t="b" cm="1">
        <f t="array" ref="S319">IsGreen('Large Dataset'!K319)</f>
        <v>0</v>
      </c>
      <c r="Y319" t="b" cm="1">
        <f t="array" ref="Y319">IsRed('Large Dataset'!M319)</f>
        <v>0</v>
      </c>
      <c r="Z319" t="b" cm="1">
        <f t="array" ref="Z319">IsBlue('Large Dataset'!M319)</f>
        <v>0</v>
      </c>
      <c r="AA319" t="b" cm="1">
        <f t="array" ref="AA319">IsPurple('Large Dataset'!M319)</f>
        <v>0</v>
      </c>
      <c r="AB319" t="b" cm="1">
        <f t="array" ref="AB319">IsGreen('Large Dataset'!M319)</f>
        <v>0</v>
      </c>
      <c r="AH319" t="b" cm="1">
        <f t="array" ref="AH319">IsRed('Large Dataset'!O319)</f>
        <v>0</v>
      </c>
      <c r="AI319" t="b" cm="1">
        <f t="array" ref="AI319">IsBlue('Large Dataset'!O319)</f>
        <v>0</v>
      </c>
      <c r="AJ319" t="b" cm="1">
        <f t="array" ref="AJ319">IsPurple('Large Dataset'!O319)</f>
        <v>0</v>
      </c>
      <c r="AK319" t="b" cm="1">
        <f t="array" ref="AK319">IsGreen('Large Dataset'!O319)</f>
        <v>0</v>
      </c>
      <c r="AR319" t="b" cm="1">
        <f t="array" ref="AR319">IsRed('Large Dataset'!Q319)</f>
        <v>0</v>
      </c>
      <c r="AS319" t="b" cm="1">
        <f t="array" ref="AS319">IsBlue('Large Dataset'!Q319)</f>
        <v>0</v>
      </c>
      <c r="AT319" t="b" cm="1">
        <f t="array" ref="AT319">IsPurple('Large Dataset'!Q319)</f>
        <v>0</v>
      </c>
      <c r="AU319" t="b" cm="1">
        <f t="array" ref="AU319">IsGreen('Large Dataset'!Q319)</f>
        <v>0</v>
      </c>
      <c r="BA319" t="b" cm="1">
        <f t="array" ref="BA319">IsRed('Large Dataset'!R319)</f>
        <v>0</v>
      </c>
      <c r="BB319" t="b" cm="1">
        <f t="array" ref="BB319">IsBlue('Large Dataset'!R319)</f>
        <v>0</v>
      </c>
      <c r="BC319" t="b" cm="1">
        <f t="array" ref="BC319">IsPurple('Large Dataset'!R319)</f>
        <v>0</v>
      </c>
      <c r="BD319" t="b" cm="1">
        <f t="array" ref="BD319">IsGreen('Large Dataset'!R319)</f>
        <v>0</v>
      </c>
      <c r="BJ319" t="b" cm="1">
        <f t="array" ref="BJ319">IsRed('Large Dataset'!T319)</f>
        <v>0</v>
      </c>
      <c r="BK319" t="b" cm="1">
        <f t="array" ref="BK319">IsBlue('Large Dataset'!T319)</f>
        <v>0</v>
      </c>
      <c r="BL319" t="b" cm="1">
        <f t="array" ref="BL319">IsPurple('Large Dataset'!T319)</f>
        <v>0</v>
      </c>
      <c r="BM319" t="b" cm="1">
        <f t="array" ref="BM319">IsGreen('Large Dataset'!T319)</f>
        <v>0</v>
      </c>
      <c r="BS319" t="b" cm="1">
        <f t="array" ref="BS319">IsRed('Large Dataset'!U319)</f>
        <v>0</v>
      </c>
      <c r="BT319" t="b" cm="1">
        <f t="array" ref="BT319">IsBlue('Large Dataset'!U319)</f>
        <v>0</v>
      </c>
      <c r="BU319" t="b" cm="1">
        <f t="array" ref="BU319">IsPurple('Large Dataset'!U319)</f>
        <v>0</v>
      </c>
      <c r="BV319" t="b" cm="1">
        <f t="array" ref="BV319">IsGreen('Large Dataset'!U319)</f>
        <v>0</v>
      </c>
    </row>
    <row r="320" spans="7:74">
      <c r="G320" t="b" cm="1">
        <f t="array" ref="G320">IsRed('Large Dataset'!I320)</f>
        <v>0</v>
      </c>
      <c r="H320" t="b" cm="1">
        <f t="array" ref="H320">IsBlue('Large Dataset'!I320)</f>
        <v>0</v>
      </c>
      <c r="I320" t="b" cm="1">
        <f t="array" ref="I320">IsPurple('Large Dataset'!I320)</f>
        <v>0</v>
      </c>
      <c r="J320" t="b" cm="1">
        <f t="array" ref="J320">IsGreen('Large Dataset'!G320)</f>
        <v>0</v>
      </c>
      <c r="P320" t="b" cm="1">
        <f t="array" ref="P320">IsRed('Large Dataset'!K320)</f>
        <v>0</v>
      </c>
      <c r="Q320" t="b" cm="1">
        <f t="array" ref="Q320">IsBlue('Large Dataset'!K320)</f>
        <v>0</v>
      </c>
      <c r="R320" t="b" cm="1">
        <f t="array" ref="R320">IsPurple('Large Dataset'!K320)</f>
        <v>0</v>
      </c>
      <c r="S320" t="b" cm="1">
        <f t="array" ref="S320">IsGreen('Large Dataset'!K320)</f>
        <v>0</v>
      </c>
      <c r="Y320" t="b" cm="1">
        <f t="array" ref="Y320">IsRed('Large Dataset'!M320)</f>
        <v>0</v>
      </c>
      <c r="Z320" t="b" cm="1">
        <f t="array" ref="Z320">IsBlue('Large Dataset'!M320)</f>
        <v>0</v>
      </c>
      <c r="AA320" t="b" cm="1">
        <f t="array" ref="AA320">IsPurple('Large Dataset'!M320)</f>
        <v>0</v>
      </c>
      <c r="AB320" t="b" cm="1">
        <f t="array" ref="AB320">IsGreen('Large Dataset'!M320)</f>
        <v>0</v>
      </c>
      <c r="AH320" t="b" cm="1">
        <f t="array" ref="AH320">IsRed('Large Dataset'!O320)</f>
        <v>0</v>
      </c>
      <c r="AI320" t="b" cm="1">
        <f t="array" ref="AI320">IsBlue('Large Dataset'!O320)</f>
        <v>0</v>
      </c>
      <c r="AJ320" t="b" cm="1">
        <f t="array" ref="AJ320">IsPurple('Large Dataset'!O320)</f>
        <v>0</v>
      </c>
      <c r="AK320" t="b" cm="1">
        <f t="array" ref="AK320">IsGreen('Large Dataset'!O320)</f>
        <v>0</v>
      </c>
      <c r="AR320" t="b" cm="1">
        <f t="array" ref="AR320">IsRed('Large Dataset'!Q320)</f>
        <v>0</v>
      </c>
      <c r="AS320" t="b" cm="1">
        <f t="array" ref="AS320">IsBlue('Large Dataset'!Q320)</f>
        <v>0</v>
      </c>
      <c r="AT320" t="b" cm="1">
        <f t="array" ref="AT320">IsPurple('Large Dataset'!Q320)</f>
        <v>0</v>
      </c>
      <c r="AU320" t="b" cm="1">
        <f t="array" ref="AU320">IsGreen('Large Dataset'!Q320)</f>
        <v>0</v>
      </c>
      <c r="BA320" t="b" cm="1">
        <f t="array" ref="BA320">IsRed('Large Dataset'!R320)</f>
        <v>0</v>
      </c>
      <c r="BB320" t="b" cm="1">
        <f t="array" ref="BB320">IsBlue('Large Dataset'!R320)</f>
        <v>0</v>
      </c>
      <c r="BC320" t="b" cm="1">
        <f t="array" ref="BC320">IsPurple('Large Dataset'!R320)</f>
        <v>0</v>
      </c>
      <c r="BD320" t="b" cm="1">
        <f t="array" ref="BD320">IsGreen('Large Dataset'!R320)</f>
        <v>0</v>
      </c>
      <c r="BJ320" t="b" cm="1">
        <f t="array" ref="BJ320">IsRed('Large Dataset'!T320)</f>
        <v>0</v>
      </c>
      <c r="BK320" t="b" cm="1">
        <f t="array" ref="BK320">IsBlue('Large Dataset'!T320)</f>
        <v>0</v>
      </c>
      <c r="BL320" t="b" cm="1">
        <f t="array" ref="BL320">IsPurple('Large Dataset'!T320)</f>
        <v>0</v>
      </c>
      <c r="BM320" t="b" cm="1">
        <f t="array" ref="BM320">IsGreen('Large Dataset'!T320)</f>
        <v>0</v>
      </c>
      <c r="BS320" t="b" cm="1">
        <f t="array" ref="BS320">IsRed('Large Dataset'!U320)</f>
        <v>0</v>
      </c>
      <c r="BT320" t="b" cm="1">
        <f t="array" ref="BT320">IsBlue('Large Dataset'!U320)</f>
        <v>0</v>
      </c>
      <c r="BU320" t="b" cm="1">
        <f t="array" ref="BU320">IsPurple('Large Dataset'!U320)</f>
        <v>0</v>
      </c>
      <c r="BV320" t="b" cm="1">
        <f t="array" ref="BV320">IsGreen('Large Dataset'!U320)</f>
        <v>0</v>
      </c>
    </row>
    <row r="321" spans="7:74">
      <c r="G321" t="b" cm="1">
        <f t="array" ref="G321">IsRed('Large Dataset'!I321)</f>
        <v>1</v>
      </c>
      <c r="H321" t="b" cm="1">
        <f t="array" ref="H321">IsBlue('Large Dataset'!I321)</f>
        <v>0</v>
      </c>
      <c r="I321" t="b" cm="1">
        <f t="array" ref="I321">IsPurple('Large Dataset'!I321)</f>
        <v>0</v>
      </c>
      <c r="J321" t="b" cm="1">
        <f t="array" ref="J321">IsGreen('Large Dataset'!G321)</f>
        <v>0</v>
      </c>
      <c r="P321" t="b" cm="1">
        <f t="array" ref="P321">IsRed('Large Dataset'!K321)</f>
        <v>0</v>
      </c>
      <c r="Q321" t="b" cm="1">
        <f t="array" ref="Q321">IsBlue('Large Dataset'!K321)</f>
        <v>0</v>
      </c>
      <c r="R321" t="b" cm="1">
        <f t="array" ref="R321">IsPurple('Large Dataset'!K321)</f>
        <v>0</v>
      </c>
      <c r="S321" t="b" cm="1">
        <f t="array" ref="S321">IsGreen('Large Dataset'!K321)</f>
        <v>0</v>
      </c>
      <c r="Y321" t="b" cm="1">
        <f t="array" ref="Y321">IsRed('Large Dataset'!M321)</f>
        <v>0</v>
      </c>
      <c r="Z321" t="b" cm="1">
        <f t="array" ref="Z321">IsBlue('Large Dataset'!M321)</f>
        <v>0</v>
      </c>
      <c r="AA321" t="b" cm="1">
        <f t="array" ref="AA321">IsPurple('Large Dataset'!M321)</f>
        <v>0</v>
      </c>
      <c r="AB321" t="b" cm="1">
        <f t="array" ref="AB321">IsGreen('Large Dataset'!M321)</f>
        <v>0</v>
      </c>
      <c r="AH321" t="b" cm="1">
        <f t="array" ref="AH321">IsRed('Large Dataset'!O321)</f>
        <v>0</v>
      </c>
      <c r="AI321" t="b" cm="1">
        <f t="array" ref="AI321">IsBlue('Large Dataset'!O321)</f>
        <v>0</v>
      </c>
      <c r="AJ321" t="b" cm="1">
        <f t="array" ref="AJ321">IsPurple('Large Dataset'!O321)</f>
        <v>0</v>
      </c>
      <c r="AK321" t="b" cm="1">
        <f t="array" ref="AK321">IsGreen('Large Dataset'!O321)</f>
        <v>0</v>
      </c>
      <c r="AR321" t="b" cm="1">
        <f t="array" ref="AR321">IsRed('Large Dataset'!Q321)</f>
        <v>0</v>
      </c>
      <c r="AS321" t="b" cm="1">
        <f t="array" ref="AS321">IsBlue('Large Dataset'!Q321)</f>
        <v>0</v>
      </c>
      <c r="AT321" t="b" cm="1">
        <f t="array" ref="AT321">IsPurple('Large Dataset'!Q321)</f>
        <v>0</v>
      </c>
      <c r="AU321" t="b" cm="1">
        <f t="array" ref="AU321">IsGreen('Large Dataset'!Q321)</f>
        <v>0</v>
      </c>
      <c r="BA321" t="b" cm="1">
        <f t="array" ref="BA321">IsRed('Large Dataset'!R321)</f>
        <v>0</v>
      </c>
      <c r="BB321" t="b" cm="1">
        <f t="array" ref="BB321">IsBlue('Large Dataset'!R321)</f>
        <v>0</v>
      </c>
      <c r="BC321" t="b" cm="1">
        <f t="array" ref="BC321">IsPurple('Large Dataset'!R321)</f>
        <v>0</v>
      </c>
      <c r="BD321" t="b" cm="1">
        <f t="array" ref="BD321">IsGreen('Large Dataset'!R321)</f>
        <v>0</v>
      </c>
      <c r="BJ321" t="b" cm="1">
        <f t="array" ref="BJ321">IsRed('Large Dataset'!T321)</f>
        <v>0</v>
      </c>
      <c r="BK321" t="b" cm="1">
        <f t="array" ref="BK321">IsBlue('Large Dataset'!T321)</f>
        <v>0</v>
      </c>
      <c r="BL321" t="b" cm="1">
        <f t="array" ref="BL321">IsPurple('Large Dataset'!T321)</f>
        <v>0</v>
      </c>
      <c r="BM321" t="b" cm="1">
        <f t="array" ref="BM321">IsGreen('Large Dataset'!T321)</f>
        <v>0</v>
      </c>
      <c r="BS321" t="b" cm="1">
        <f t="array" ref="BS321">IsRed('Large Dataset'!U321)</f>
        <v>0</v>
      </c>
      <c r="BT321" t="b" cm="1">
        <f t="array" ref="BT321">IsBlue('Large Dataset'!U321)</f>
        <v>0</v>
      </c>
      <c r="BU321" t="b" cm="1">
        <f t="array" ref="BU321">IsPurple('Large Dataset'!U321)</f>
        <v>0</v>
      </c>
      <c r="BV321" t="b" cm="1">
        <f t="array" ref="BV321">IsGreen('Large Dataset'!U321)</f>
        <v>0</v>
      </c>
    </row>
    <row r="322" spans="7:74">
      <c r="G322" t="b" cm="1">
        <f t="array" ref="G322">IsRed('Large Dataset'!I322)</f>
        <v>0</v>
      </c>
      <c r="H322" t="b" cm="1">
        <f t="array" ref="H322">IsBlue('Large Dataset'!I322)</f>
        <v>0</v>
      </c>
      <c r="I322" t="b" cm="1">
        <f t="array" ref="I322">IsPurple('Large Dataset'!I322)</f>
        <v>0</v>
      </c>
      <c r="J322" t="b" cm="1">
        <f t="array" ref="J322">IsGreen('Large Dataset'!G322)</f>
        <v>0</v>
      </c>
      <c r="P322" t="b" cm="1">
        <f t="array" ref="P322">IsRed('Large Dataset'!K322)</f>
        <v>0</v>
      </c>
      <c r="Q322" t="b" cm="1">
        <f t="array" ref="Q322">IsBlue('Large Dataset'!K322)</f>
        <v>0</v>
      </c>
      <c r="R322" t="b" cm="1">
        <f t="array" ref="R322">IsPurple('Large Dataset'!K322)</f>
        <v>0</v>
      </c>
      <c r="S322" t="b" cm="1">
        <f t="array" ref="S322">IsGreen('Large Dataset'!K322)</f>
        <v>0</v>
      </c>
      <c r="Y322" t="b" cm="1">
        <f t="array" ref="Y322">IsRed('Large Dataset'!M322)</f>
        <v>0</v>
      </c>
      <c r="Z322" t="b" cm="1">
        <f t="array" ref="Z322">IsBlue('Large Dataset'!M322)</f>
        <v>0</v>
      </c>
      <c r="AA322" t="b" cm="1">
        <f t="array" ref="AA322">IsPurple('Large Dataset'!M322)</f>
        <v>0</v>
      </c>
      <c r="AB322" t="b" cm="1">
        <f t="array" ref="AB322">IsGreen('Large Dataset'!M322)</f>
        <v>0</v>
      </c>
      <c r="AH322" t="b" cm="1">
        <f t="array" ref="AH322">IsRed('Large Dataset'!O322)</f>
        <v>0</v>
      </c>
      <c r="AI322" t="b" cm="1">
        <f t="array" ref="AI322">IsBlue('Large Dataset'!O322)</f>
        <v>0</v>
      </c>
      <c r="AJ322" t="b" cm="1">
        <f t="array" ref="AJ322">IsPurple('Large Dataset'!O322)</f>
        <v>0</v>
      </c>
      <c r="AK322" t="b" cm="1">
        <f t="array" ref="AK322">IsGreen('Large Dataset'!O322)</f>
        <v>0</v>
      </c>
      <c r="AR322" t="b" cm="1">
        <f t="array" ref="AR322">IsRed('Large Dataset'!Q322)</f>
        <v>0</v>
      </c>
      <c r="AS322" t="b" cm="1">
        <f t="array" ref="AS322">IsBlue('Large Dataset'!Q322)</f>
        <v>0</v>
      </c>
      <c r="AT322" t="b" cm="1">
        <f t="array" ref="AT322">IsPurple('Large Dataset'!Q322)</f>
        <v>0</v>
      </c>
      <c r="AU322" t="b" cm="1">
        <f t="array" ref="AU322">IsGreen('Large Dataset'!Q322)</f>
        <v>0</v>
      </c>
      <c r="BA322" t="b" cm="1">
        <f t="array" ref="BA322">IsRed('Large Dataset'!R322)</f>
        <v>0</v>
      </c>
      <c r="BB322" t="b" cm="1">
        <f t="array" ref="BB322">IsBlue('Large Dataset'!R322)</f>
        <v>0</v>
      </c>
      <c r="BC322" t="b" cm="1">
        <f t="array" ref="BC322">IsPurple('Large Dataset'!R322)</f>
        <v>0</v>
      </c>
      <c r="BD322" t="b" cm="1">
        <f t="array" ref="BD322">IsGreen('Large Dataset'!R322)</f>
        <v>0</v>
      </c>
      <c r="BJ322" t="b" cm="1">
        <f t="array" ref="BJ322">IsRed('Large Dataset'!T322)</f>
        <v>0</v>
      </c>
      <c r="BK322" t="b" cm="1">
        <f t="array" ref="BK322">IsBlue('Large Dataset'!T322)</f>
        <v>0</v>
      </c>
      <c r="BL322" t="b" cm="1">
        <f t="array" ref="BL322">IsPurple('Large Dataset'!T322)</f>
        <v>0</v>
      </c>
      <c r="BM322" t="b" cm="1">
        <f t="array" ref="BM322">IsGreen('Large Dataset'!T322)</f>
        <v>0</v>
      </c>
      <c r="BS322" t="b" cm="1">
        <f t="array" ref="BS322">IsRed('Large Dataset'!U322)</f>
        <v>0</v>
      </c>
      <c r="BT322" t="b" cm="1">
        <f t="array" ref="BT322">IsBlue('Large Dataset'!U322)</f>
        <v>0</v>
      </c>
      <c r="BU322" t="b" cm="1">
        <f t="array" ref="BU322">IsPurple('Large Dataset'!U322)</f>
        <v>0</v>
      </c>
      <c r="BV322" t="b" cm="1">
        <f t="array" ref="BV322">IsGreen('Large Dataset'!U322)</f>
        <v>0</v>
      </c>
    </row>
    <row r="323" spans="7:74">
      <c r="G323" t="b" cm="1">
        <f t="array" ref="G323">IsRed('Large Dataset'!I323)</f>
        <v>1</v>
      </c>
      <c r="H323" t="b" cm="1">
        <f t="array" ref="H323">IsBlue('Large Dataset'!I323)</f>
        <v>0</v>
      </c>
      <c r="I323" t="b" cm="1">
        <f t="array" ref="I323">IsPurple('Large Dataset'!I323)</f>
        <v>0</v>
      </c>
      <c r="J323" t="b" cm="1">
        <f t="array" ref="J323">IsGreen('Large Dataset'!G323)</f>
        <v>0</v>
      </c>
      <c r="P323" t="b" cm="1">
        <f t="array" ref="P323">IsRed('Large Dataset'!K323)</f>
        <v>1</v>
      </c>
      <c r="Q323" t="b" cm="1">
        <f t="array" ref="Q323">IsBlue('Large Dataset'!K323)</f>
        <v>0</v>
      </c>
      <c r="R323" t="b" cm="1">
        <f t="array" ref="R323">IsPurple('Large Dataset'!K323)</f>
        <v>0</v>
      </c>
      <c r="S323" t="b" cm="1">
        <f t="array" ref="S323">IsGreen('Large Dataset'!K323)</f>
        <v>0</v>
      </c>
      <c r="Y323" t="b" cm="1">
        <f t="array" ref="Y323">IsRed('Large Dataset'!M323)</f>
        <v>1</v>
      </c>
      <c r="Z323" t="b" cm="1">
        <f t="array" ref="Z323">IsBlue('Large Dataset'!M323)</f>
        <v>0</v>
      </c>
      <c r="AA323" t="b" cm="1">
        <f t="array" ref="AA323">IsPurple('Large Dataset'!M323)</f>
        <v>0</v>
      </c>
      <c r="AB323" t="b" cm="1">
        <f t="array" ref="AB323">IsGreen('Large Dataset'!M323)</f>
        <v>0</v>
      </c>
      <c r="AH323" t="b" cm="1">
        <f t="array" ref="AH323">IsRed('Large Dataset'!O323)</f>
        <v>0</v>
      </c>
      <c r="AI323" t="b" cm="1">
        <f t="array" ref="AI323">IsBlue('Large Dataset'!O323)</f>
        <v>0</v>
      </c>
      <c r="AJ323" t="b" cm="1">
        <f t="array" ref="AJ323">IsPurple('Large Dataset'!O323)</f>
        <v>0</v>
      </c>
      <c r="AK323" t="b" cm="1">
        <f t="array" ref="AK323">IsGreen('Large Dataset'!O323)</f>
        <v>0</v>
      </c>
      <c r="AR323" t="b" cm="1">
        <f t="array" ref="AR323">IsRed('Large Dataset'!Q323)</f>
        <v>0</v>
      </c>
      <c r="AS323" t="b" cm="1">
        <f t="array" ref="AS323">IsBlue('Large Dataset'!Q323)</f>
        <v>0</v>
      </c>
      <c r="AT323" t="b" cm="1">
        <f t="array" ref="AT323">IsPurple('Large Dataset'!Q323)</f>
        <v>0</v>
      </c>
      <c r="AU323" t="b" cm="1">
        <f t="array" ref="AU323">IsGreen('Large Dataset'!Q323)</f>
        <v>0</v>
      </c>
      <c r="BA323" t="b" cm="1">
        <f t="array" ref="BA323">IsRed('Large Dataset'!R323)</f>
        <v>0</v>
      </c>
      <c r="BB323" t="b" cm="1">
        <f t="array" ref="BB323">IsBlue('Large Dataset'!R323)</f>
        <v>0</v>
      </c>
      <c r="BC323" t="b" cm="1">
        <f t="array" ref="BC323">IsPurple('Large Dataset'!R323)</f>
        <v>0</v>
      </c>
      <c r="BD323" t="b" cm="1">
        <f t="array" ref="BD323">IsGreen('Large Dataset'!R323)</f>
        <v>0</v>
      </c>
      <c r="BJ323" t="b" cm="1">
        <f t="array" ref="BJ323">IsRed('Large Dataset'!T323)</f>
        <v>0</v>
      </c>
      <c r="BK323" t="b" cm="1">
        <f t="array" ref="BK323">IsBlue('Large Dataset'!T323)</f>
        <v>0</v>
      </c>
      <c r="BL323" t="b" cm="1">
        <f t="array" ref="BL323">IsPurple('Large Dataset'!T323)</f>
        <v>0</v>
      </c>
      <c r="BM323" t="b" cm="1">
        <f t="array" ref="BM323">IsGreen('Large Dataset'!T323)</f>
        <v>0</v>
      </c>
      <c r="BS323" t="b" cm="1">
        <f t="array" ref="BS323">IsRed('Large Dataset'!U323)</f>
        <v>0</v>
      </c>
      <c r="BT323" t="b" cm="1">
        <f t="array" ref="BT323">IsBlue('Large Dataset'!U323)</f>
        <v>0</v>
      </c>
      <c r="BU323" t="b" cm="1">
        <f t="array" ref="BU323">IsPurple('Large Dataset'!U323)</f>
        <v>0</v>
      </c>
      <c r="BV323" t="b" cm="1">
        <f t="array" ref="BV323">IsGreen('Large Dataset'!U323)</f>
        <v>0</v>
      </c>
    </row>
    <row r="324" spans="7:74">
      <c r="G324" t="b" cm="1">
        <f t="array" ref="G324">IsRed('Large Dataset'!I324)</f>
        <v>1</v>
      </c>
      <c r="H324" t="b" cm="1">
        <f t="array" ref="H324">IsBlue('Large Dataset'!I324)</f>
        <v>0</v>
      </c>
      <c r="I324" t="b" cm="1">
        <f t="array" ref="I324">IsPurple('Large Dataset'!I324)</f>
        <v>0</v>
      </c>
      <c r="J324" t="b" cm="1">
        <f t="array" ref="J324">IsGreen('Large Dataset'!G324)</f>
        <v>0</v>
      </c>
      <c r="P324" t="b" cm="1">
        <f t="array" ref="P324">IsRed('Large Dataset'!K324)</f>
        <v>0</v>
      </c>
      <c r="Q324" t="b" cm="1">
        <f t="array" ref="Q324">IsBlue('Large Dataset'!K324)</f>
        <v>0</v>
      </c>
      <c r="R324" t="b" cm="1">
        <f t="array" ref="R324">IsPurple('Large Dataset'!K324)</f>
        <v>0</v>
      </c>
      <c r="S324" t="b" cm="1">
        <f t="array" ref="S324">IsGreen('Large Dataset'!K324)</f>
        <v>0</v>
      </c>
      <c r="Y324" t="b" cm="1">
        <f t="array" ref="Y324">IsRed('Large Dataset'!M324)</f>
        <v>0</v>
      </c>
      <c r="Z324" t="b" cm="1">
        <f t="array" ref="Z324">IsBlue('Large Dataset'!M324)</f>
        <v>0</v>
      </c>
      <c r="AA324" t="b" cm="1">
        <f t="array" ref="AA324">IsPurple('Large Dataset'!M324)</f>
        <v>0</v>
      </c>
      <c r="AB324" t="b" cm="1">
        <f t="array" ref="AB324">IsGreen('Large Dataset'!M324)</f>
        <v>0</v>
      </c>
      <c r="AH324" t="b" cm="1">
        <f t="array" ref="AH324">IsRed('Large Dataset'!O324)</f>
        <v>1</v>
      </c>
      <c r="AI324" t="b" cm="1">
        <f t="array" ref="AI324">IsBlue('Large Dataset'!O324)</f>
        <v>0</v>
      </c>
      <c r="AJ324" t="b" cm="1">
        <f t="array" ref="AJ324">IsPurple('Large Dataset'!O324)</f>
        <v>0</v>
      </c>
      <c r="AK324" t="b" cm="1">
        <f t="array" ref="AK324">IsGreen('Large Dataset'!O324)</f>
        <v>0</v>
      </c>
      <c r="AR324" t="b" cm="1">
        <f t="array" ref="AR324">IsRed('Large Dataset'!Q324)</f>
        <v>0</v>
      </c>
      <c r="AS324" t="b" cm="1">
        <f t="array" ref="AS324">IsBlue('Large Dataset'!Q324)</f>
        <v>0</v>
      </c>
      <c r="AT324" t="b" cm="1">
        <f t="array" ref="AT324">IsPurple('Large Dataset'!Q324)</f>
        <v>0</v>
      </c>
      <c r="AU324" t="b" cm="1">
        <f t="array" ref="AU324">IsGreen('Large Dataset'!Q324)</f>
        <v>0</v>
      </c>
      <c r="BA324" t="b" cm="1">
        <f t="array" ref="BA324">IsRed('Large Dataset'!R324)</f>
        <v>0</v>
      </c>
      <c r="BB324" t="b" cm="1">
        <f t="array" ref="BB324">IsBlue('Large Dataset'!R324)</f>
        <v>0</v>
      </c>
      <c r="BC324" t="b" cm="1">
        <f t="array" ref="BC324">IsPurple('Large Dataset'!R324)</f>
        <v>0</v>
      </c>
      <c r="BD324" t="b" cm="1">
        <f t="array" ref="BD324">IsGreen('Large Dataset'!R324)</f>
        <v>0</v>
      </c>
      <c r="BJ324" t="b" cm="1">
        <f t="array" ref="BJ324">IsRed('Large Dataset'!T324)</f>
        <v>0</v>
      </c>
      <c r="BK324" t="b" cm="1">
        <f t="array" ref="BK324">IsBlue('Large Dataset'!T324)</f>
        <v>0</v>
      </c>
      <c r="BL324" t="b" cm="1">
        <f t="array" ref="BL324">IsPurple('Large Dataset'!T324)</f>
        <v>0</v>
      </c>
      <c r="BM324" t="b" cm="1">
        <f t="array" ref="BM324">IsGreen('Large Dataset'!T324)</f>
        <v>0</v>
      </c>
      <c r="BS324" t="b" cm="1">
        <f t="array" ref="BS324">IsRed('Large Dataset'!U324)</f>
        <v>0</v>
      </c>
      <c r="BT324" t="b" cm="1">
        <f t="array" ref="BT324">IsBlue('Large Dataset'!U324)</f>
        <v>0</v>
      </c>
      <c r="BU324" t="b" cm="1">
        <f t="array" ref="BU324">IsPurple('Large Dataset'!U324)</f>
        <v>0</v>
      </c>
      <c r="BV324" t="b" cm="1">
        <f t="array" ref="BV324">IsGreen('Large Dataset'!U324)</f>
        <v>0</v>
      </c>
    </row>
    <row r="325" spans="7:74">
      <c r="G325" t="b" cm="1">
        <f t="array" ref="G325">IsRed('Large Dataset'!I325)</f>
        <v>0</v>
      </c>
      <c r="H325" t="b" cm="1">
        <f t="array" ref="H325">IsBlue('Large Dataset'!I325)</f>
        <v>0</v>
      </c>
      <c r="I325" t="b" cm="1">
        <f t="array" ref="I325">IsPurple('Large Dataset'!I325)</f>
        <v>0</v>
      </c>
      <c r="J325" t="b" cm="1">
        <f t="array" ref="J325">IsGreen('Large Dataset'!G325)</f>
        <v>0</v>
      </c>
      <c r="P325" t="b" cm="1">
        <f t="array" ref="P325">IsRed('Large Dataset'!K325)</f>
        <v>1</v>
      </c>
      <c r="Q325" t="b" cm="1">
        <f t="array" ref="Q325">IsBlue('Large Dataset'!K325)</f>
        <v>0</v>
      </c>
      <c r="R325" t="b" cm="1">
        <f t="array" ref="R325">IsPurple('Large Dataset'!K325)</f>
        <v>0</v>
      </c>
      <c r="S325" t="b" cm="1">
        <f t="array" ref="S325">IsGreen('Large Dataset'!K325)</f>
        <v>0</v>
      </c>
      <c r="Y325" t="b" cm="1">
        <f t="array" ref="Y325">IsRed('Large Dataset'!M325)</f>
        <v>0</v>
      </c>
      <c r="Z325" t="b" cm="1">
        <f t="array" ref="Z325">IsBlue('Large Dataset'!M325)</f>
        <v>0</v>
      </c>
      <c r="AA325" t="b" cm="1">
        <f t="array" ref="AA325">IsPurple('Large Dataset'!M325)</f>
        <v>0</v>
      </c>
      <c r="AB325" t="b" cm="1">
        <f t="array" ref="AB325">IsGreen('Large Dataset'!M325)</f>
        <v>0</v>
      </c>
      <c r="AH325" t="b" cm="1">
        <f t="array" ref="AH325">IsRed('Large Dataset'!O325)</f>
        <v>0</v>
      </c>
      <c r="AI325" t="b" cm="1">
        <f t="array" ref="AI325">IsBlue('Large Dataset'!O325)</f>
        <v>0</v>
      </c>
      <c r="AJ325" t="b" cm="1">
        <f t="array" ref="AJ325">IsPurple('Large Dataset'!O325)</f>
        <v>0</v>
      </c>
      <c r="AK325" t="b" cm="1">
        <f t="array" ref="AK325">IsGreen('Large Dataset'!O325)</f>
        <v>0</v>
      </c>
      <c r="AR325" t="b" cm="1">
        <f t="array" ref="AR325">IsRed('Large Dataset'!Q325)</f>
        <v>0</v>
      </c>
      <c r="AS325" t="b" cm="1">
        <f t="array" ref="AS325">IsBlue('Large Dataset'!Q325)</f>
        <v>0</v>
      </c>
      <c r="AT325" t="b" cm="1">
        <f t="array" ref="AT325">IsPurple('Large Dataset'!Q325)</f>
        <v>0</v>
      </c>
      <c r="AU325" t="b" cm="1">
        <f t="array" ref="AU325">IsGreen('Large Dataset'!Q325)</f>
        <v>0</v>
      </c>
      <c r="BA325" t="b" cm="1">
        <f t="array" ref="BA325">IsRed('Large Dataset'!R325)</f>
        <v>0</v>
      </c>
      <c r="BB325" t="b" cm="1">
        <f t="array" ref="BB325">IsBlue('Large Dataset'!R325)</f>
        <v>0</v>
      </c>
      <c r="BC325" t="b" cm="1">
        <f t="array" ref="BC325">IsPurple('Large Dataset'!R325)</f>
        <v>0</v>
      </c>
      <c r="BD325" t="b" cm="1">
        <f t="array" ref="BD325">IsGreen('Large Dataset'!R325)</f>
        <v>0</v>
      </c>
      <c r="BJ325" t="b" cm="1">
        <f t="array" ref="BJ325">IsRed('Large Dataset'!T325)</f>
        <v>0</v>
      </c>
      <c r="BK325" t="b" cm="1">
        <f t="array" ref="BK325">IsBlue('Large Dataset'!T325)</f>
        <v>0</v>
      </c>
      <c r="BL325" t="b" cm="1">
        <f t="array" ref="BL325">IsPurple('Large Dataset'!T325)</f>
        <v>0</v>
      </c>
      <c r="BM325" t="b" cm="1">
        <f t="array" ref="BM325">IsGreen('Large Dataset'!T325)</f>
        <v>0</v>
      </c>
      <c r="BS325" t="b" cm="1">
        <f t="array" ref="BS325">IsRed('Large Dataset'!U325)</f>
        <v>0</v>
      </c>
      <c r="BT325" t="b" cm="1">
        <f t="array" ref="BT325">IsBlue('Large Dataset'!U325)</f>
        <v>0</v>
      </c>
      <c r="BU325" t="b" cm="1">
        <f t="array" ref="BU325">IsPurple('Large Dataset'!U325)</f>
        <v>0</v>
      </c>
      <c r="BV325" t="b" cm="1">
        <f t="array" ref="BV325">IsGreen('Large Dataset'!U325)</f>
        <v>0</v>
      </c>
    </row>
    <row r="326" spans="7:74">
      <c r="G326" t="b" cm="1">
        <f t="array" ref="G326">IsRed('Large Dataset'!I326)</f>
        <v>0</v>
      </c>
      <c r="H326" t="b" cm="1">
        <f t="array" ref="H326">IsBlue('Large Dataset'!I326)</f>
        <v>0</v>
      </c>
      <c r="I326" t="b" cm="1">
        <f t="array" ref="I326">IsPurple('Large Dataset'!I326)</f>
        <v>0</v>
      </c>
      <c r="J326" t="b" cm="1">
        <f t="array" ref="J326">IsGreen('Large Dataset'!G326)</f>
        <v>0</v>
      </c>
      <c r="P326" t="b" cm="1">
        <f t="array" ref="P326">IsRed('Large Dataset'!K326)</f>
        <v>1</v>
      </c>
      <c r="Q326" t="b" cm="1">
        <f t="array" ref="Q326">IsBlue('Large Dataset'!K326)</f>
        <v>0</v>
      </c>
      <c r="R326" t="b" cm="1">
        <f t="array" ref="R326">IsPurple('Large Dataset'!K326)</f>
        <v>0</v>
      </c>
      <c r="S326" t="b" cm="1">
        <f t="array" ref="S326">IsGreen('Large Dataset'!K326)</f>
        <v>0</v>
      </c>
      <c r="Y326" t="b" cm="1">
        <f t="array" ref="Y326">IsRed('Large Dataset'!M326)</f>
        <v>1</v>
      </c>
      <c r="Z326" t="b" cm="1">
        <f t="array" ref="Z326">IsBlue('Large Dataset'!M326)</f>
        <v>0</v>
      </c>
      <c r="AA326" t="b" cm="1">
        <f t="array" ref="AA326">IsPurple('Large Dataset'!M326)</f>
        <v>0</v>
      </c>
      <c r="AB326" t="b" cm="1">
        <f t="array" ref="AB326">IsGreen('Large Dataset'!M326)</f>
        <v>0</v>
      </c>
      <c r="AH326" t="b" cm="1">
        <f t="array" ref="AH326">IsRed('Large Dataset'!O326)</f>
        <v>1</v>
      </c>
      <c r="AI326" t="b" cm="1">
        <f t="array" ref="AI326">IsBlue('Large Dataset'!O326)</f>
        <v>0</v>
      </c>
      <c r="AJ326" t="b" cm="1">
        <f t="array" ref="AJ326">IsPurple('Large Dataset'!O326)</f>
        <v>0</v>
      </c>
      <c r="AK326" t="b" cm="1">
        <f t="array" ref="AK326">IsGreen('Large Dataset'!O326)</f>
        <v>0</v>
      </c>
      <c r="AR326" t="b" cm="1">
        <f t="array" ref="AR326">IsRed('Large Dataset'!Q326)</f>
        <v>0</v>
      </c>
      <c r="AS326" t="b" cm="1">
        <f t="array" ref="AS326">IsBlue('Large Dataset'!Q326)</f>
        <v>0</v>
      </c>
      <c r="AT326" t="b" cm="1">
        <f t="array" ref="AT326">IsPurple('Large Dataset'!Q326)</f>
        <v>0</v>
      </c>
      <c r="AU326" t="b" cm="1">
        <f t="array" ref="AU326">IsGreen('Large Dataset'!Q326)</f>
        <v>0</v>
      </c>
      <c r="BA326" t="b" cm="1">
        <f t="array" ref="BA326">IsRed('Large Dataset'!R326)</f>
        <v>0</v>
      </c>
      <c r="BB326" t="b" cm="1">
        <f t="array" ref="BB326">IsBlue('Large Dataset'!R326)</f>
        <v>0</v>
      </c>
      <c r="BC326" t="b" cm="1">
        <f t="array" ref="BC326">IsPurple('Large Dataset'!R326)</f>
        <v>0</v>
      </c>
      <c r="BD326" t="b" cm="1">
        <f t="array" ref="BD326">IsGreen('Large Dataset'!R326)</f>
        <v>0</v>
      </c>
      <c r="BJ326" t="b" cm="1">
        <f t="array" ref="BJ326">IsRed('Large Dataset'!T326)</f>
        <v>0</v>
      </c>
      <c r="BK326" t="b" cm="1">
        <f t="array" ref="BK326">IsBlue('Large Dataset'!T326)</f>
        <v>0</v>
      </c>
      <c r="BL326" t="b" cm="1">
        <f t="array" ref="BL326">IsPurple('Large Dataset'!T326)</f>
        <v>0</v>
      </c>
      <c r="BM326" t="b" cm="1">
        <f t="array" ref="BM326">IsGreen('Large Dataset'!T326)</f>
        <v>0</v>
      </c>
      <c r="BS326" t="b" cm="1">
        <f t="array" ref="BS326">IsRed('Large Dataset'!U326)</f>
        <v>0</v>
      </c>
      <c r="BT326" t="b" cm="1">
        <f t="array" ref="BT326">IsBlue('Large Dataset'!U326)</f>
        <v>0</v>
      </c>
      <c r="BU326" t="b" cm="1">
        <f t="array" ref="BU326">IsPurple('Large Dataset'!U326)</f>
        <v>0</v>
      </c>
      <c r="BV326" t="b" cm="1">
        <f t="array" ref="BV326">IsGreen('Large Dataset'!U326)</f>
        <v>0</v>
      </c>
    </row>
    <row r="327" spans="7:74">
      <c r="G327" t="b" cm="1">
        <f t="array" ref="G327">IsRed('Large Dataset'!I327)</f>
        <v>0</v>
      </c>
      <c r="H327" t="b" cm="1">
        <f t="array" ref="H327">IsBlue('Large Dataset'!I327)</f>
        <v>0</v>
      </c>
      <c r="I327" t="b" cm="1">
        <f t="array" ref="I327">IsPurple('Large Dataset'!I327)</f>
        <v>0</v>
      </c>
      <c r="J327" t="b" cm="1">
        <f t="array" ref="J327">IsGreen('Large Dataset'!G327)</f>
        <v>0</v>
      </c>
      <c r="P327" t="b" cm="1">
        <f t="array" ref="P327">IsRed('Large Dataset'!K327)</f>
        <v>0</v>
      </c>
      <c r="Q327" t="b" cm="1">
        <f t="array" ref="Q327">IsBlue('Large Dataset'!K327)</f>
        <v>0</v>
      </c>
      <c r="R327" t="b" cm="1">
        <f t="array" ref="R327">IsPurple('Large Dataset'!K327)</f>
        <v>0</v>
      </c>
      <c r="S327" t="b" cm="1">
        <f t="array" ref="S327">IsGreen('Large Dataset'!K327)</f>
        <v>0</v>
      </c>
      <c r="Y327" t="b" cm="1">
        <f t="array" ref="Y327">IsRed('Large Dataset'!M327)</f>
        <v>1</v>
      </c>
      <c r="Z327" t="b" cm="1">
        <f t="array" ref="Z327">IsBlue('Large Dataset'!M327)</f>
        <v>0</v>
      </c>
      <c r="AA327" t="b" cm="1">
        <f t="array" ref="AA327">IsPurple('Large Dataset'!M327)</f>
        <v>0</v>
      </c>
      <c r="AB327" t="b" cm="1">
        <f t="array" ref="AB327">IsGreen('Large Dataset'!M327)</f>
        <v>0</v>
      </c>
      <c r="AH327" t="b" cm="1">
        <f t="array" ref="AH327">IsRed('Large Dataset'!O327)</f>
        <v>0</v>
      </c>
      <c r="AI327" t="b" cm="1">
        <f t="array" ref="AI327">IsBlue('Large Dataset'!O327)</f>
        <v>0</v>
      </c>
      <c r="AJ327" t="b" cm="1">
        <f t="array" ref="AJ327">IsPurple('Large Dataset'!O327)</f>
        <v>0</v>
      </c>
      <c r="AK327" t="b" cm="1">
        <f t="array" ref="AK327">IsGreen('Large Dataset'!O327)</f>
        <v>0</v>
      </c>
      <c r="AR327" t="b" cm="1">
        <f t="array" ref="AR327">IsRed('Large Dataset'!Q327)</f>
        <v>0</v>
      </c>
      <c r="AS327" t="b" cm="1">
        <f t="array" ref="AS327">IsBlue('Large Dataset'!Q327)</f>
        <v>0</v>
      </c>
      <c r="AT327" t="b" cm="1">
        <f t="array" ref="AT327">IsPurple('Large Dataset'!Q327)</f>
        <v>0</v>
      </c>
      <c r="AU327" t="b" cm="1">
        <f t="array" ref="AU327">IsGreen('Large Dataset'!Q327)</f>
        <v>0</v>
      </c>
      <c r="BA327" t="b" cm="1">
        <f t="array" ref="BA327">IsRed('Large Dataset'!R327)</f>
        <v>0</v>
      </c>
      <c r="BB327" t="b" cm="1">
        <f t="array" ref="BB327">IsBlue('Large Dataset'!R327)</f>
        <v>0</v>
      </c>
      <c r="BC327" t="b" cm="1">
        <f t="array" ref="BC327">IsPurple('Large Dataset'!R327)</f>
        <v>0</v>
      </c>
      <c r="BD327" t="b" cm="1">
        <f t="array" ref="BD327">IsGreen('Large Dataset'!R327)</f>
        <v>0</v>
      </c>
      <c r="BJ327" t="b" cm="1">
        <f t="array" ref="BJ327">IsRed('Large Dataset'!T327)</f>
        <v>0</v>
      </c>
      <c r="BK327" t="b" cm="1">
        <f t="array" ref="BK327">IsBlue('Large Dataset'!T327)</f>
        <v>0</v>
      </c>
      <c r="BL327" t="b" cm="1">
        <f t="array" ref="BL327">IsPurple('Large Dataset'!T327)</f>
        <v>0</v>
      </c>
      <c r="BM327" t="b" cm="1">
        <f t="array" ref="BM327">IsGreen('Large Dataset'!T327)</f>
        <v>0</v>
      </c>
      <c r="BS327" t="b" cm="1">
        <f t="array" ref="BS327">IsRed('Large Dataset'!U327)</f>
        <v>0</v>
      </c>
      <c r="BT327" t="b" cm="1">
        <f t="array" ref="BT327">IsBlue('Large Dataset'!U327)</f>
        <v>0</v>
      </c>
      <c r="BU327" t="b" cm="1">
        <f t="array" ref="BU327">IsPurple('Large Dataset'!U327)</f>
        <v>0</v>
      </c>
      <c r="BV327" t="b" cm="1">
        <f t="array" ref="BV327">IsGreen('Large Dataset'!U327)</f>
        <v>0</v>
      </c>
    </row>
  </sheetData>
  <mergeCells count="32">
    <mergeCell ref="BJ1:BM1"/>
    <mergeCell ref="BS1:BV1"/>
    <mergeCell ref="BN2:BR2"/>
    <mergeCell ref="BW2:CA2"/>
    <mergeCell ref="BO15:BR15"/>
    <mergeCell ref="BX15:CA15"/>
    <mergeCell ref="AR1:AU1"/>
    <mergeCell ref="AV2:AZ2"/>
    <mergeCell ref="AW15:AZ15"/>
    <mergeCell ref="BA1:BD1"/>
    <mergeCell ref="BE2:BI2"/>
    <mergeCell ref="BF15:BI15"/>
    <mergeCell ref="D9:E9"/>
    <mergeCell ref="D8:E8"/>
    <mergeCell ref="D10:E10"/>
    <mergeCell ref="D11:E11"/>
    <mergeCell ref="K2:O2"/>
    <mergeCell ref="AL2:AP2"/>
    <mergeCell ref="CC2:CG2"/>
    <mergeCell ref="L15:O15"/>
    <mergeCell ref="U15:X15"/>
    <mergeCell ref="AD15:AG15"/>
    <mergeCell ref="AM15:AP15"/>
    <mergeCell ref="CD15:CG15"/>
    <mergeCell ref="P1:S1"/>
    <mergeCell ref="Y1:AB1"/>
    <mergeCell ref="AH1:AK1"/>
    <mergeCell ref="A2:B2"/>
    <mergeCell ref="D2:E2"/>
    <mergeCell ref="G1:J1"/>
    <mergeCell ref="T2:X2"/>
    <mergeCell ref="AC2:AG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CC760-E2D9-6143-9320-C1F54216FCBB}">
  <sheetPr codeName="Sheet7"/>
  <dimension ref="A1:K53"/>
  <sheetViews>
    <sheetView tabSelected="1" topLeftCell="C42" workbookViewId="0">
      <selection activeCell="H54" sqref="H54"/>
    </sheetView>
  </sheetViews>
  <sheetFormatPr baseColWidth="10" defaultRowHeight="16"/>
  <cols>
    <col min="3" max="3" width="51.83203125" customWidth="1"/>
    <col min="4" max="4" width="30.6640625" style="112" customWidth="1"/>
    <col min="5" max="5" width="36.1640625" style="7" customWidth="1"/>
    <col min="6" max="6" width="29.5" style="7" customWidth="1"/>
    <col min="7" max="7" width="43.6640625" style="7" customWidth="1"/>
    <col min="8" max="8" width="52.6640625" style="7" customWidth="1"/>
    <col min="9" max="9" width="65" style="7" hidden="1" customWidth="1"/>
    <col min="10" max="10" width="74.33203125" style="7" customWidth="1"/>
    <col min="11" max="11" width="59.5" style="7" customWidth="1"/>
  </cols>
  <sheetData>
    <row r="1" spans="1:11" ht="24">
      <c r="A1" s="95" t="s">
        <v>2884</v>
      </c>
      <c r="B1" s="95"/>
      <c r="C1" s="95"/>
      <c r="D1" s="95"/>
      <c r="E1" s="95"/>
      <c r="F1" s="96"/>
      <c r="G1" s="25" t="s">
        <v>205</v>
      </c>
      <c r="H1" s="97" t="s">
        <v>210</v>
      </c>
      <c r="I1" s="98"/>
      <c r="J1" s="26" t="s">
        <v>204</v>
      </c>
      <c r="K1" s="27" t="s">
        <v>211</v>
      </c>
    </row>
    <row r="2" spans="1:11" ht="17">
      <c r="A2" s="28" t="s">
        <v>104</v>
      </c>
      <c r="B2" s="29" t="s">
        <v>103</v>
      </c>
      <c r="C2" s="28" t="s">
        <v>0</v>
      </c>
      <c r="D2" s="114" t="s">
        <v>1</v>
      </c>
      <c r="E2" s="1" t="s">
        <v>33</v>
      </c>
      <c r="F2" s="5" t="s">
        <v>34</v>
      </c>
      <c r="G2" s="1" t="s">
        <v>189</v>
      </c>
      <c r="H2" s="30" t="s">
        <v>189</v>
      </c>
      <c r="I2" s="31" t="s">
        <v>190</v>
      </c>
      <c r="J2" s="31" t="s">
        <v>189</v>
      </c>
      <c r="K2" s="31" t="s">
        <v>189</v>
      </c>
    </row>
    <row r="3" spans="1:11" ht="68">
      <c r="A3" t="s">
        <v>105</v>
      </c>
      <c r="B3" t="s">
        <v>2885</v>
      </c>
      <c r="C3" s="6" t="s">
        <v>2886</v>
      </c>
      <c r="D3" s="115" t="s">
        <v>2887</v>
      </c>
      <c r="E3" s="2" t="s">
        <v>21</v>
      </c>
      <c r="F3" s="32" t="s">
        <v>2888</v>
      </c>
      <c r="G3" s="2" t="s">
        <v>254</v>
      </c>
      <c r="H3" s="7" t="s">
        <v>129</v>
      </c>
      <c r="I3" s="33" t="s">
        <v>2889</v>
      </c>
      <c r="J3" s="33" t="s">
        <v>230</v>
      </c>
      <c r="K3" s="33" t="s">
        <v>231</v>
      </c>
    </row>
    <row r="4" spans="1:11" ht="34">
      <c r="A4" t="s">
        <v>105</v>
      </c>
      <c r="B4" t="s">
        <v>2890</v>
      </c>
      <c r="C4" s="6" t="s">
        <v>2</v>
      </c>
      <c r="D4" s="115" t="s">
        <v>6</v>
      </c>
      <c r="E4" s="2" t="s">
        <v>22</v>
      </c>
      <c r="F4" s="32" t="s">
        <v>35</v>
      </c>
      <c r="G4" s="2" t="s">
        <v>191</v>
      </c>
      <c r="H4" s="7" t="s">
        <v>130</v>
      </c>
      <c r="I4" s="33" t="s">
        <v>2891</v>
      </c>
      <c r="J4" s="33" t="s">
        <v>212</v>
      </c>
      <c r="K4" s="33" t="s">
        <v>303</v>
      </c>
    </row>
    <row r="5" spans="1:11" ht="51">
      <c r="A5" t="s">
        <v>106</v>
      </c>
      <c r="B5" t="s">
        <v>2890</v>
      </c>
      <c r="C5" s="6" t="s">
        <v>3</v>
      </c>
      <c r="D5" s="115" t="s">
        <v>2892</v>
      </c>
      <c r="E5" s="2" t="s">
        <v>23</v>
      </c>
      <c r="F5" s="32" t="s">
        <v>2893</v>
      </c>
      <c r="G5" s="2" t="s">
        <v>232</v>
      </c>
      <c r="H5" s="7" t="s">
        <v>146</v>
      </c>
      <c r="I5" s="33" t="s">
        <v>177</v>
      </c>
      <c r="J5" s="33" t="s">
        <v>255</v>
      </c>
      <c r="K5" s="33" t="s">
        <v>256</v>
      </c>
    </row>
    <row r="6" spans="1:11" ht="85">
      <c r="A6" t="s">
        <v>106</v>
      </c>
      <c r="B6" t="s">
        <v>2890</v>
      </c>
      <c r="C6" s="6" t="s">
        <v>4</v>
      </c>
      <c r="D6" s="115" t="s">
        <v>5</v>
      </c>
      <c r="E6" s="2" t="s">
        <v>24</v>
      </c>
      <c r="F6" s="32" t="s">
        <v>36</v>
      </c>
      <c r="G6" s="2" t="s">
        <v>257</v>
      </c>
      <c r="H6" s="7" t="s">
        <v>155</v>
      </c>
      <c r="I6" s="33" t="s">
        <v>2894</v>
      </c>
      <c r="J6" s="33" t="s">
        <v>213</v>
      </c>
      <c r="K6" s="33" t="s">
        <v>258</v>
      </c>
    </row>
    <row r="7" spans="1:11" ht="17">
      <c r="A7" t="s">
        <v>2895</v>
      </c>
      <c r="B7" t="s">
        <v>2890</v>
      </c>
      <c r="C7" s="6" t="s">
        <v>7</v>
      </c>
      <c r="D7" s="115" t="s">
        <v>8</v>
      </c>
      <c r="E7" s="2" t="s">
        <v>25</v>
      </c>
      <c r="F7" s="32" t="s">
        <v>37</v>
      </c>
      <c r="G7" s="2" t="s">
        <v>76</v>
      </c>
      <c r="H7" s="7" t="s">
        <v>156</v>
      </c>
      <c r="I7" s="33" t="s">
        <v>2896</v>
      </c>
      <c r="J7" s="33" t="s">
        <v>259</v>
      </c>
      <c r="K7" s="33" t="s">
        <v>260</v>
      </c>
    </row>
    <row r="8" spans="1:11" ht="68">
      <c r="A8" t="s">
        <v>107</v>
      </c>
      <c r="B8" t="s">
        <v>2890</v>
      </c>
      <c r="C8" s="34" t="s">
        <v>9</v>
      </c>
      <c r="D8" s="116" t="s">
        <v>10</v>
      </c>
      <c r="E8" s="2" t="s">
        <v>26</v>
      </c>
      <c r="F8" s="32" t="s">
        <v>38</v>
      </c>
      <c r="G8" s="2" t="s">
        <v>304</v>
      </c>
      <c r="H8" s="7" t="s">
        <v>157</v>
      </c>
      <c r="I8" s="33" t="s">
        <v>2897</v>
      </c>
      <c r="J8" s="33" t="s">
        <v>233</v>
      </c>
      <c r="K8" s="33" t="s">
        <v>305</v>
      </c>
    </row>
    <row r="9" spans="1:11" ht="68">
      <c r="A9" t="s">
        <v>106</v>
      </c>
      <c r="B9" t="s">
        <v>2890</v>
      </c>
      <c r="C9" s="6" t="s">
        <v>11</v>
      </c>
      <c r="D9" s="115" t="s">
        <v>5</v>
      </c>
      <c r="E9" s="2" t="s">
        <v>27</v>
      </c>
      <c r="F9" s="32" t="s">
        <v>36</v>
      </c>
      <c r="G9" s="2" t="s">
        <v>147</v>
      </c>
      <c r="H9" s="7" t="s">
        <v>147</v>
      </c>
      <c r="I9" s="33" t="s">
        <v>2898</v>
      </c>
      <c r="J9" s="33" t="s">
        <v>234</v>
      </c>
      <c r="K9" s="33" t="s">
        <v>306</v>
      </c>
    </row>
    <row r="10" spans="1:11" ht="51">
      <c r="A10" t="s">
        <v>106</v>
      </c>
      <c r="B10" t="s">
        <v>2890</v>
      </c>
      <c r="C10" s="6" t="s">
        <v>16</v>
      </c>
      <c r="D10" s="115" t="s">
        <v>12</v>
      </c>
      <c r="E10" s="2" t="s">
        <v>28</v>
      </c>
      <c r="F10" s="32" t="s">
        <v>39</v>
      </c>
      <c r="G10" s="2" t="s">
        <v>235</v>
      </c>
      <c r="H10" s="7" t="s">
        <v>131</v>
      </c>
      <c r="I10" s="33" t="s">
        <v>2899</v>
      </c>
      <c r="J10" s="33" t="s">
        <v>261</v>
      </c>
      <c r="K10" s="33" t="s">
        <v>262</v>
      </c>
    </row>
    <row r="11" spans="1:11" ht="34">
      <c r="A11" t="s">
        <v>106</v>
      </c>
      <c r="B11" t="s">
        <v>2890</v>
      </c>
      <c r="C11" s="6" t="s">
        <v>15</v>
      </c>
      <c r="D11" s="115" t="s">
        <v>13</v>
      </c>
      <c r="E11" s="2" t="s">
        <v>29</v>
      </c>
      <c r="F11" s="32" t="s">
        <v>13</v>
      </c>
      <c r="G11" s="2" t="s">
        <v>263</v>
      </c>
      <c r="H11" s="7" t="s">
        <v>158</v>
      </c>
      <c r="I11" s="33" t="s">
        <v>178</v>
      </c>
      <c r="J11" s="33" t="s">
        <v>264</v>
      </c>
      <c r="K11" s="33" t="s">
        <v>265</v>
      </c>
    </row>
    <row r="12" spans="1:11" ht="85">
      <c r="A12" t="s">
        <v>106</v>
      </c>
      <c r="B12" t="s">
        <v>2890</v>
      </c>
      <c r="C12" s="6" t="s">
        <v>14</v>
      </c>
      <c r="D12" s="115" t="s">
        <v>17</v>
      </c>
      <c r="E12" s="2" t="s">
        <v>30</v>
      </c>
      <c r="F12" s="32" t="s">
        <v>40</v>
      </c>
      <c r="G12" s="2" t="s">
        <v>266</v>
      </c>
      <c r="H12" s="7" t="s">
        <v>159</v>
      </c>
      <c r="I12" s="33" t="s">
        <v>2900</v>
      </c>
      <c r="J12" s="33" t="s">
        <v>267</v>
      </c>
      <c r="K12" s="33" t="s">
        <v>268</v>
      </c>
    </row>
    <row r="13" spans="1:11" ht="85">
      <c r="A13" t="s">
        <v>106</v>
      </c>
      <c r="B13" t="s">
        <v>2890</v>
      </c>
      <c r="C13" s="6" t="s">
        <v>20</v>
      </c>
      <c r="D13" s="115" t="s">
        <v>18</v>
      </c>
      <c r="E13" s="2" t="s">
        <v>31</v>
      </c>
      <c r="F13" s="32" t="s">
        <v>41</v>
      </c>
      <c r="G13" s="2" t="s">
        <v>236</v>
      </c>
      <c r="H13" s="7" t="s">
        <v>132</v>
      </c>
      <c r="I13" s="33" t="s">
        <v>2901</v>
      </c>
      <c r="J13" s="33" t="s">
        <v>214</v>
      </c>
      <c r="K13" s="33" t="s">
        <v>237</v>
      </c>
    </row>
    <row r="14" spans="1:11" ht="85">
      <c r="A14" t="s">
        <v>106</v>
      </c>
      <c r="B14" t="s">
        <v>2890</v>
      </c>
      <c r="C14" s="6" t="s">
        <v>19</v>
      </c>
      <c r="D14" s="115" t="s">
        <v>2902</v>
      </c>
      <c r="E14" s="2" t="s">
        <v>32</v>
      </c>
      <c r="F14" s="32" t="s">
        <v>2903</v>
      </c>
      <c r="G14" s="2" t="s">
        <v>269</v>
      </c>
      <c r="H14" s="7" t="s">
        <v>160</v>
      </c>
      <c r="I14" s="33" t="s">
        <v>2904</v>
      </c>
      <c r="J14" s="33" t="s">
        <v>270</v>
      </c>
      <c r="K14" s="33" t="s">
        <v>271</v>
      </c>
    </row>
    <row r="15" spans="1:11" ht="34">
      <c r="A15" t="s">
        <v>109</v>
      </c>
      <c r="B15" t="s">
        <v>2890</v>
      </c>
      <c r="C15" s="4" t="s">
        <v>48</v>
      </c>
      <c r="D15" s="117" t="s">
        <v>54</v>
      </c>
      <c r="E15" s="3" t="s">
        <v>42</v>
      </c>
      <c r="F15" s="35" t="s">
        <v>54</v>
      </c>
      <c r="G15" s="2" t="s">
        <v>192</v>
      </c>
      <c r="H15" s="7" t="s">
        <v>170</v>
      </c>
      <c r="I15" s="33" t="s">
        <v>2905</v>
      </c>
      <c r="J15" s="33" t="s">
        <v>215</v>
      </c>
      <c r="K15" s="33" t="s">
        <v>307</v>
      </c>
    </row>
    <row r="16" spans="1:11" ht="102">
      <c r="A16" t="s">
        <v>110</v>
      </c>
      <c r="B16" t="s">
        <v>2890</v>
      </c>
      <c r="C16" s="4" t="s">
        <v>49</v>
      </c>
      <c r="D16" s="117" t="s">
        <v>60</v>
      </c>
      <c r="E16" s="3" t="s">
        <v>43</v>
      </c>
      <c r="F16" s="35" t="s">
        <v>55</v>
      </c>
      <c r="G16" s="2" t="s">
        <v>321</v>
      </c>
      <c r="H16" s="7" t="s">
        <v>169</v>
      </c>
      <c r="I16" s="33" t="s">
        <v>2906</v>
      </c>
      <c r="J16" s="33" t="s">
        <v>238</v>
      </c>
      <c r="K16" s="33" t="s">
        <v>272</v>
      </c>
    </row>
    <row r="17" spans="1:11" ht="85">
      <c r="A17" t="s">
        <v>110</v>
      </c>
      <c r="B17" t="s">
        <v>2885</v>
      </c>
      <c r="C17" s="4" t="s">
        <v>50</v>
      </c>
      <c r="D17" s="117" t="s">
        <v>61</v>
      </c>
      <c r="E17" s="3" t="s">
        <v>44</v>
      </c>
      <c r="F17" s="35" t="s">
        <v>56</v>
      </c>
      <c r="G17" s="2" t="s">
        <v>273</v>
      </c>
      <c r="H17" s="7" t="s">
        <v>175</v>
      </c>
      <c r="I17" s="33" t="s">
        <v>2907</v>
      </c>
      <c r="J17" s="33" t="s">
        <v>274</v>
      </c>
      <c r="K17" s="33" t="s">
        <v>275</v>
      </c>
    </row>
    <row r="18" spans="1:11" ht="85">
      <c r="A18" t="s">
        <v>110</v>
      </c>
      <c r="B18" t="s">
        <v>2890</v>
      </c>
      <c r="C18" s="4" t="s">
        <v>51</v>
      </c>
      <c r="D18" s="117" t="s">
        <v>62</v>
      </c>
      <c r="E18" s="3" t="s">
        <v>45</v>
      </c>
      <c r="F18" s="35" t="s">
        <v>58</v>
      </c>
      <c r="G18" s="2" t="s">
        <v>239</v>
      </c>
      <c r="H18" s="7" t="s">
        <v>161</v>
      </c>
      <c r="I18" s="33" t="s">
        <v>2908</v>
      </c>
      <c r="J18" s="33" t="s">
        <v>276</v>
      </c>
      <c r="K18" s="33" t="s">
        <v>308</v>
      </c>
    </row>
    <row r="19" spans="1:11" ht="85">
      <c r="A19" t="s">
        <v>2909</v>
      </c>
      <c r="B19" t="s">
        <v>2885</v>
      </c>
      <c r="C19" s="4" t="s">
        <v>52</v>
      </c>
      <c r="D19" s="117" t="s">
        <v>63</v>
      </c>
      <c r="E19" s="3" t="s">
        <v>46</v>
      </c>
      <c r="F19" s="35" t="s">
        <v>57</v>
      </c>
      <c r="G19" s="2" t="s">
        <v>277</v>
      </c>
      <c r="H19" s="7" t="s">
        <v>162</v>
      </c>
      <c r="I19" s="33" t="s">
        <v>2910</v>
      </c>
      <c r="J19" s="33" t="s">
        <v>278</v>
      </c>
      <c r="K19" s="33" t="s">
        <v>279</v>
      </c>
    </row>
    <row r="20" spans="1:11" ht="85">
      <c r="A20" t="s">
        <v>2909</v>
      </c>
      <c r="B20" t="s">
        <v>2890</v>
      </c>
      <c r="C20" s="4" t="s">
        <v>53</v>
      </c>
      <c r="D20" s="117" t="s">
        <v>64</v>
      </c>
      <c r="E20" s="3" t="s">
        <v>47</v>
      </c>
      <c r="F20" s="35" t="s">
        <v>59</v>
      </c>
      <c r="G20" s="2" t="s">
        <v>309</v>
      </c>
      <c r="H20" s="7" t="s">
        <v>171</v>
      </c>
      <c r="I20" s="33" t="s">
        <v>2911</v>
      </c>
      <c r="J20" s="33" t="s">
        <v>216</v>
      </c>
      <c r="K20" s="33" t="s">
        <v>310</v>
      </c>
    </row>
    <row r="21" spans="1:11" ht="68">
      <c r="A21" t="s">
        <v>2895</v>
      </c>
      <c r="B21" t="s">
        <v>2890</v>
      </c>
      <c r="C21" s="6" t="s">
        <v>65</v>
      </c>
      <c r="D21" s="115" t="s">
        <v>66</v>
      </c>
      <c r="E21" s="2" t="s">
        <v>67</v>
      </c>
      <c r="F21" s="32" t="s">
        <v>66</v>
      </c>
      <c r="G21" s="2" t="s">
        <v>240</v>
      </c>
      <c r="H21" s="7" t="s">
        <v>148</v>
      </c>
      <c r="I21" s="33" t="s">
        <v>2912</v>
      </c>
      <c r="J21" s="33" t="s">
        <v>217</v>
      </c>
      <c r="K21" s="33" t="s">
        <v>241</v>
      </c>
    </row>
    <row r="22" spans="1:11" ht="51">
      <c r="A22" t="s">
        <v>106</v>
      </c>
      <c r="B22" t="s">
        <v>2890</v>
      </c>
      <c r="C22" t="s">
        <v>2913</v>
      </c>
      <c r="D22" s="117" t="s">
        <v>71</v>
      </c>
      <c r="E22" s="33" t="s">
        <v>77</v>
      </c>
      <c r="F22" s="35" t="s">
        <v>72</v>
      </c>
      <c r="G22" s="2" t="s">
        <v>242</v>
      </c>
      <c r="H22" s="7" t="s">
        <v>172</v>
      </c>
      <c r="I22" s="33" t="s">
        <v>2914</v>
      </c>
      <c r="J22" s="33" t="s">
        <v>218</v>
      </c>
      <c r="K22" s="33" t="s">
        <v>243</v>
      </c>
    </row>
    <row r="23" spans="1:11" ht="68">
      <c r="A23" t="s">
        <v>2915</v>
      </c>
      <c r="B23" t="s">
        <v>2885</v>
      </c>
      <c r="C23" t="s">
        <v>80</v>
      </c>
      <c r="D23" s="117" t="s">
        <v>2916</v>
      </c>
      <c r="E23" s="33" t="s">
        <v>78</v>
      </c>
      <c r="F23" s="35" t="s">
        <v>2917</v>
      </c>
      <c r="G23" s="2" t="s">
        <v>318</v>
      </c>
      <c r="H23" s="7" t="s">
        <v>176</v>
      </c>
      <c r="I23" s="33" t="s">
        <v>2918</v>
      </c>
      <c r="J23" s="33" t="s">
        <v>319</v>
      </c>
      <c r="K23" s="33" t="s">
        <v>280</v>
      </c>
    </row>
    <row r="24" spans="1:11" ht="85">
      <c r="A24" t="s">
        <v>2919</v>
      </c>
      <c r="B24" t="s">
        <v>2890</v>
      </c>
      <c r="C24" t="s">
        <v>2920</v>
      </c>
      <c r="D24" s="117" t="s">
        <v>2921</v>
      </c>
      <c r="E24" s="33" t="s">
        <v>79</v>
      </c>
      <c r="F24" s="35" t="s">
        <v>2922</v>
      </c>
      <c r="G24" s="2" t="s">
        <v>133</v>
      </c>
      <c r="H24" s="7" t="s">
        <v>133</v>
      </c>
      <c r="I24" s="33" t="s">
        <v>179</v>
      </c>
      <c r="J24" s="33" t="s">
        <v>219</v>
      </c>
      <c r="K24" s="33" t="s">
        <v>244</v>
      </c>
    </row>
    <row r="25" spans="1:11" ht="85">
      <c r="A25" t="s">
        <v>106</v>
      </c>
      <c r="B25" t="s">
        <v>2890</v>
      </c>
      <c r="C25" t="s">
        <v>2923</v>
      </c>
      <c r="D25" s="117" t="s">
        <v>2924</v>
      </c>
      <c r="E25" s="33" t="s">
        <v>81</v>
      </c>
      <c r="F25" s="35" t="s">
        <v>2925</v>
      </c>
      <c r="G25" s="2" t="s">
        <v>134</v>
      </c>
      <c r="H25" s="7" t="s">
        <v>134</v>
      </c>
      <c r="I25" s="33" t="s">
        <v>2926</v>
      </c>
      <c r="J25" s="33" t="s">
        <v>134</v>
      </c>
      <c r="K25" s="33" t="s">
        <v>281</v>
      </c>
    </row>
    <row r="26" spans="1:11" ht="85">
      <c r="A26" t="s">
        <v>106</v>
      </c>
      <c r="B26" t="s">
        <v>2890</v>
      </c>
      <c r="C26" t="s">
        <v>2927</v>
      </c>
      <c r="D26" s="117" t="s">
        <v>71</v>
      </c>
      <c r="E26" s="33" t="s">
        <v>82</v>
      </c>
      <c r="F26" s="35" t="s">
        <v>72</v>
      </c>
      <c r="G26" s="2" t="s">
        <v>193</v>
      </c>
      <c r="H26" s="7" t="s">
        <v>163</v>
      </c>
      <c r="I26" s="33" t="s">
        <v>2928</v>
      </c>
      <c r="J26" s="33" t="s">
        <v>245</v>
      </c>
      <c r="K26" s="33" t="s">
        <v>282</v>
      </c>
    </row>
    <row r="27" spans="1:11" ht="68">
      <c r="A27" t="s">
        <v>106</v>
      </c>
      <c r="B27" t="s">
        <v>2890</v>
      </c>
      <c r="C27" t="s">
        <v>2929</v>
      </c>
      <c r="D27" s="117" t="s">
        <v>2930</v>
      </c>
      <c r="E27" s="33" t="s">
        <v>83</v>
      </c>
      <c r="F27" s="35" t="s">
        <v>2931</v>
      </c>
      <c r="G27" s="2" t="s">
        <v>283</v>
      </c>
      <c r="H27" s="7" t="s">
        <v>149</v>
      </c>
      <c r="I27" s="33" t="s">
        <v>2932</v>
      </c>
      <c r="J27" s="33" t="s">
        <v>284</v>
      </c>
      <c r="K27" s="33" t="s">
        <v>285</v>
      </c>
    </row>
    <row r="28" spans="1:11" ht="85">
      <c r="A28" t="s">
        <v>106</v>
      </c>
      <c r="B28" t="s">
        <v>2933</v>
      </c>
      <c r="C28" t="s">
        <v>84</v>
      </c>
      <c r="D28" s="117" t="s">
        <v>2934</v>
      </c>
      <c r="E28" s="121" t="s">
        <v>95</v>
      </c>
      <c r="F28" s="2" t="s">
        <v>2935</v>
      </c>
      <c r="G28" s="2" t="s">
        <v>286</v>
      </c>
      <c r="H28" s="7" t="s">
        <v>164</v>
      </c>
      <c r="I28" s="33" t="s">
        <v>2936</v>
      </c>
      <c r="J28" s="33" t="s">
        <v>287</v>
      </c>
      <c r="K28" s="33" t="s">
        <v>311</v>
      </c>
    </row>
    <row r="29" spans="1:11" ht="68">
      <c r="A29" t="s">
        <v>106</v>
      </c>
      <c r="B29" t="s">
        <v>2890</v>
      </c>
      <c r="C29" t="s">
        <v>85</v>
      </c>
      <c r="D29" s="117" t="s">
        <v>2937</v>
      </c>
      <c r="E29" s="121" t="s">
        <v>94</v>
      </c>
      <c r="F29" s="2" t="s">
        <v>2938</v>
      </c>
      <c r="G29" s="2" t="s">
        <v>288</v>
      </c>
      <c r="H29" s="7" t="s">
        <v>173</v>
      </c>
      <c r="I29" s="33" t="s">
        <v>2939</v>
      </c>
      <c r="J29" s="33" t="s">
        <v>289</v>
      </c>
      <c r="K29" s="33" t="s">
        <v>290</v>
      </c>
    </row>
    <row r="30" spans="1:11" ht="34">
      <c r="A30" t="s">
        <v>109</v>
      </c>
      <c r="B30" t="s">
        <v>2890</v>
      </c>
      <c r="C30" t="s">
        <v>86</v>
      </c>
      <c r="D30" s="117" t="s">
        <v>54</v>
      </c>
      <c r="E30" s="121" t="s">
        <v>96</v>
      </c>
      <c r="F30" s="35" t="s">
        <v>54</v>
      </c>
      <c r="G30" s="2" t="s">
        <v>194</v>
      </c>
      <c r="H30" s="7" t="s">
        <v>135</v>
      </c>
      <c r="I30" s="33" t="s">
        <v>2940</v>
      </c>
      <c r="J30" s="33" t="s">
        <v>312</v>
      </c>
      <c r="K30" s="33" t="s">
        <v>313</v>
      </c>
    </row>
    <row r="31" spans="1:11" ht="85">
      <c r="A31" t="s">
        <v>106</v>
      </c>
      <c r="B31" t="s">
        <v>2890</v>
      </c>
      <c r="C31" t="s">
        <v>2941</v>
      </c>
      <c r="D31" s="117" t="s">
        <v>2942</v>
      </c>
      <c r="E31" s="121" t="s">
        <v>97</v>
      </c>
      <c r="F31" s="2" t="s">
        <v>2943</v>
      </c>
      <c r="G31" s="2" t="s">
        <v>246</v>
      </c>
      <c r="H31" s="7" t="s">
        <v>136</v>
      </c>
      <c r="I31" s="33" t="s">
        <v>2944</v>
      </c>
      <c r="J31" s="33" t="s">
        <v>220</v>
      </c>
      <c r="K31" s="33" t="s">
        <v>314</v>
      </c>
    </row>
    <row r="32" spans="1:11" ht="68">
      <c r="A32" t="s">
        <v>2915</v>
      </c>
      <c r="B32" t="s">
        <v>2890</v>
      </c>
      <c r="C32" t="s">
        <v>2945</v>
      </c>
      <c r="D32" s="117" t="s">
        <v>2946</v>
      </c>
      <c r="E32" s="121" t="s">
        <v>98</v>
      </c>
      <c r="F32" s="2" t="s">
        <v>2947</v>
      </c>
      <c r="G32" s="2" t="s">
        <v>195</v>
      </c>
      <c r="H32" s="7" t="s">
        <v>137</v>
      </c>
      <c r="I32" s="33" t="s">
        <v>2948</v>
      </c>
      <c r="J32" s="33" t="s">
        <v>320</v>
      </c>
      <c r="K32" s="33" t="s">
        <v>291</v>
      </c>
    </row>
    <row r="33" spans="1:11" ht="17">
      <c r="A33" t="s">
        <v>109</v>
      </c>
      <c r="B33" t="s">
        <v>2890</v>
      </c>
      <c r="C33" t="s">
        <v>2949</v>
      </c>
      <c r="D33" s="113" t="s">
        <v>2950</v>
      </c>
      <c r="E33" s="121" t="s">
        <v>99</v>
      </c>
      <c r="F33" s="2" t="s">
        <v>2951</v>
      </c>
      <c r="G33" s="2" t="s">
        <v>150</v>
      </c>
      <c r="H33" s="7" t="s">
        <v>150</v>
      </c>
      <c r="I33" s="33" t="s">
        <v>180</v>
      </c>
      <c r="J33" s="33" t="s">
        <v>247</v>
      </c>
      <c r="K33" s="33" t="s">
        <v>248</v>
      </c>
    </row>
    <row r="34" spans="1:11" ht="17">
      <c r="A34" t="s">
        <v>2915</v>
      </c>
      <c r="B34" t="s">
        <v>2890</v>
      </c>
      <c r="C34" t="s">
        <v>87</v>
      </c>
      <c r="D34" s="113" t="s">
        <v>89</v>
      </c>
      <c r="E34" s="121" t="s">
        <v>93</v>
      </c>
      <c r="F34" s="2" t="s">
        <v>89</v>
      </c>
      <c r="G34" s="2" t="s">
        <v>89</v>
      </c>
      <c r="H34" s="7" t="s">
        <v>138</v>
      </c>
      <c r="I34" s="33" t="s">
        <v>181</v>
      </c>
      <c r="J34" s="33" t="s">
        <v>221</v>
      </c>
      <c r="K34" s="33" t="s">
        <v>138</v>
      </c>
    </row>
    <row r="35" spans="1:11" ht="51">
      <c r="A35" t="s">
        <v>2915</v>
      </c>
      <c r="B35" t="s">
        <v>2890</v>
      </c>
      <c r="C35" t="s">
        <v>2952</v>
      </c>
      <c r="D35" s="113" t="s">
        <v>89</v>
      </c>
      <c r="E35" s="121" t="s">
        <v>92</v>
      </c>
      <c r="F35" s="2" t="s">
        <v>89</v>
      </c>
      <c r="G35" s="2" t="s">
        <v>292</v>
      </c>
      <c r="H35" s="7" t="s">
        <v>165</v>
      </c>
      <c r="I35" s="33" t="s">
        <v>182</v>
      </c>
      <c r="J35" s="33" t="s">
        <v>293</v>
      </c>
      <c r="K35" s="33" t="s">
        <v>294</v>
      </c>
    </row>
    <row r="36" spans="1:11" ht="68">
      <c r="A36" t="s">
        <v>106</v>
      </c>
      <c r="B36" t="s">
        <v>2890</v>
      </c>
      <c r="C36" t="s">
        <v>2953</v>
      </c>
      <c r="D36" s="113" t="s">
        <v>2954</v>
      </c>
      <c r="E36" s="121" t="s">
        <v>100</v>
      </c>
      <c r="F36" s="2" t="s">
        <v>2955</v>
      </c>
      <c r="G36" s="2" t="s">
        <v>151</v>
      </c>
      <c r="H36" s="7" t="s">
        <v>151</v>
      </c>
      <c r="I36" s="33" t="s">
        <v>183</v>
      </c>
      <c r="J36" s="33" t="s">
        <v>151</v>
      </c>
      <c r="K36" s="33" t="s">
        <v>249</v>
      </c>
    </row>
    <row r="37" spans="1:11" ht="68">
      <c r="A37" t="s">
        <v>2915</v>
      </c>
      <c r="B37" t="s">
        <v>2890</v>
      </c>
      <c r="C37" t="s">
        <v>2956</v>
      </c>
      <c r="D37" s="113" t="s">
        <v>90</v>
      </c>
      <c r="E37" s="121" t="s">
        <v>101</v>
      </c>
      <c r="F37" s="2" t="s">
        <v>90</v>
      </c>
      <c r="G37" s="2" t="s">
        <v>295</v>
      </c>
      <c r="H37" s="7" t="s">
        <v>89</v>
      </c>
      <c r="I37" s="33" t="s">
        <v>89</v>
      </c>
      <c r="J37" s="33" t="s">
        <v>90</v>
      </c>
      <c r="K37" s="33" t="s">
        <v>250</v>
      </c>
    </row>
    <row r="38" spans="1:11" ht="68">
      <c r="A38" t="s">
        <v>2915</v>
      </c>
      <c r="B38" t="s">
        <v>2890</v>
      </c>
      <c r="C38" t="s">
        <v>88</v>
      </c>
      <c r="D38" s="113" t="s">
        <v>2957</v>
      </c>
      <c r="E38" s="121" t="s">
        <v>91</v>
      </c>
      <c r="F38" s="2" t="s">
        <v>2958</v>
      </c>
      <c r="G38" s="2" t="s">
        <v>196</v>
      </c>
      <c r="H38" s="7" t="s">
        <v>166</v>
      </c>
      <c r="I38" s="33" t="s">
        <v>2959</v>
      </c>
      <c r="J38" s="33" t="s">
        <v>251</v>
      </c>
      <c r="K38" s="33" t="s">
        <v>252</v>
      </c>
    </row>
    <row r="39" spans="1:11" ht="85">
      <c r="A39" t="s">
        <v>108</v>
      </c>
      <c r="B39" t="s">
        <v>2890</v>
      </c>
      <c r="C39" s="37" t="s">
        <v>2960</v>
      </c>
      <c r="D39" s="118" t="s">
        <v>2961</v>
      </c>
      <c r="E39" s="7" t="s">
        <v>102</v>
      </c>
      <c r="F39" s="2" t="s">
        <v>2961</v>
      </c>
      <c r="G39" s="2" t="s">
        <v>296</v>
      </c>
      <c r="H39" s="7" t="s">
        <v>167</v>
      </c>
      <c r="I39" s="33" t="s">
        <v>2962</v>
      </c>
      <c r="J39" s="33" t="s">
        <v>222</v>
      </c>
      <c r="K39" s="33" t="s">
        <v>315</v>
      </c>
    </row>
    <row r="40" spans="1:11" ht="34">
      <c r="A40" t="s">
        <v>2915</v>
      </c>
      <c r="B40" t="s">
        <v>2890</v>
      </c>
      <c r="C40" t="s">
        <v>2963</v>
      </c>
      <c r="D40" s="113" t="s">
        <v>2964</v>
      </c>
      <c r="E40" s="7" t="s">
        <v>117</v>
      </c>
      <c r="F40" s="2" t="s">
        <v>2965</v>
      </c>
      <c r="G40" s="2" t="s">
        <v>197</v>
      </c>
      <c r="H40" s="7" t="s">
        <v>139</v>
      </c>
      <c r="I40" s="33" t="s">
        <v>2966</v>
      </c>
      <c r="J40" s="33" t="s">
        <v>223</v>
      </c>
      <c r="K40" s="33" t="s">
        <v>206</v>
      </c>
    </row>
    <row r="41" spans="1:11" ht="85">
      <c r="A41" t="s">
        <v>2915</v>
      </c>
      <c r="B41" t="s">
        <v>2885</v>
      </c>
      <c r="C41" t="s">
        <v>2967</v>
      </c>
      <c r="D41" s="112" t="s">
        <v>2968</v>
      </c>
      <c r="E41" s="7" t="s">
        <v>118</v>
      </c>
      <c r="F41" s="2" t="s">
        <v>2969</v>
      </c>
      <c r="G41" s="2" t="s">
        <v>297</v>
      </c>
      <c r="H41" s="7" t="s">
        <v>152</v>
      </c>
      <c r="I41" s="33" t="s">
        <v>2970</v>
      </c>
      <c r="J41" s="33" t="s">
        <v>316</v>
      </c>
      <c r="K41" s="33" t="s">
        <v>298</v>
      </c>
    </row>
    <row r="42" spans="1:11" ht="68">
      <c r="A42" t="s">
        <v>2915</v>
      </c>
      <c r="B42" t="s">
        <v>2890</v>
      </c>
      <c r="C42" t="s">
        <v>111</v>
      </c>
      <c r="D42" s="112" t="s">
        <v>71</v>
      </c>
      <c r="E42" s="7" t="s">
        <v>119</v>
      </c>
      <c r="F42" s="2" t="s">
        <v>72</v>
      </c>
      <c r="G42" s="2" t="s">
        <v>198</v>
      </c>
      <c r="H42" s="7" t="s">
        <v>140</v>
      </c>
      <c r="I42" s="33" t="s">
        <v>2971</v>
      </c>
      <c r="J42" s="33" t="s">
        <v>224</v>
      </c>
      <c r="K42" s="33" t="s">
        <v>299</v>
      </c>
    </row>
    <row r="43" spans="1:11" ht="85">
      <c r="A43" t="s">
        <v>106</v>
      </c>
      <c r="B43" t="s">
        <v>2890</v>
      </c>
      <c r="C43" t="s">
        <v>112</v>
      </c>
      <c r="D43" s="112" t="s">
        <v>2972</v>
      </c>
      <c r="E43" s="7" t="s">
        <v>120</v>
      </c>
      <c r="F43" s="2" t="s">
        <v>2973</v>
      </c>
      <c r="G43" s="2" t="s">
        <v>199</v>
      </c>
      <c r="H43" s="7" t="s">
        <v>153</v>
      </c>
      <c r="I43" s="33" t="s">
        <v>2974</v>
      </c>
      <c r="J43" s="33" t="s">
        <v>225</v>
      </c>
      <c r="K43" s="33" t="s">
        <v>1023</v>
      </c>
    </row>
    <row r="44" spans="1:11" ht="68">
      <c r="A44" t="s">
        <v>2909</v>
      </c>
      <c r="B44" t="s">
        <v>2890</v>
      </c>
      <c r="C44" t="s">
        <v>115</v>
      </c>
      <c r="D44" s="112" t="s">
        <v>2975</v>
      </c>
      <c r="E44" s="7" t="s">
        <v>121</v>
      </c>
      <c r="F44" s="2" t="s">
        <v>2976</v>
      </c>
      <c r="G44" s="2" t="s">
        <v>154</v>
      </c>
      <c r="H44" s="7" t="s">
        <v>154</v>
      </c>
      <c r="I44" s="33" t="s">
        <v>184</v>
      </c>
      <c r="J44" s="33" t="s">
        <v>154</v>
      </c>
      <c r="K44" s="33" t="s">
        <v>300</v>
      </c>
    </row>
    <row r="45" spans="1:11" ht="34">
      <c r="A45" t="s">
        <v>2977</v>
      </c>
      <c r="B45" t="s">
        <v>2890</v>
      </c>
      <c r="C45" t="s">
        <v>114</v>
      </c>
      <c r="D45" s="112" t="s">
        <v>2978</v>
      </c>
      <c r="E45" s="7" t="s">
        <v>122</v>
      </c>
      <c r="F45" s="2" t="s">
        <v>2979</v>
      </c>
      <c r="G45" s="2" t="s">
        <v>168</v>
      </c>
      <c r="H45" s="7" t="s">
        <v>168</v>
      </c>
      <c r="I45" s="33" t="s">
        <v>2980</v>
      </c>
      <c r="J45" s="33" t="s">
        <v>168</v>
      </c>
      <c r="K45" s="33" t="s">
        <v>301</v>
      </c>
    </row>
    <row r="46" spans="1:11" ht="17">
      <c r="A46" t="s">
        <v>2915</v>
      </c>
      <c r="B46" t="s">
        <v>2890</v>
      </c>
      <c r="C46" t="s">
        <v>113</v>
      </c>
      <c r="D46" s="119" t="s">
        <v>2981</v>
      </c>
      <c r="E46" s="7" t="s">
        <v>123</v>
      </c>
      <c r="F46" s="2" t="s">
        <v>2981</v>
      </c>
      <c r="G46" s="2" t="s">
        <v>141</v>
      </c>
      <c r="H46" s="7" t="s">
        <v>141</v>
      </c>
      <c r="I46" s="33" t="s">
        <v>185</v>
      </c>
      <c r="J46" s="33">
        <v>428</v>
      </c>
      <c r="K46" s="33" t="s">
        <v>141</v>
      </c>
    </row>
    <row r="47" spans="1:11" ht="85">
      <c r="A47" t="s">
        <v>106</v>
      </c>
      <c r="B47" t="s">
        <v>2890</v>
      </c>
      <c r="C47" t="s">
        <v>2982</v>
      </c>
      <c r="D47" s="112" t="s">
        <v>71</v>
      </c>
      <c r="E47" s="7" t="s">
        <v>124</v>
      </c>
      <c r="F47" s="2" t="s">
        <v>72</v>
      </c>
      <c r="G47" s="2" t="s">
        <v>317</v>
      </c>
      <c r="H47" s="7" t="s">
        <v>174</v>
      </c>
      <c r="I47" s="33" t="s">
        <v>2983</v>
      </c>
      <c r="J47" s="33" t="s">
        <v>253</v>
      </c>
      <c r="K47" s="33" t="s">
        <v>1024</v>
      </c>
    </row>
    <row r="48" spans="1:11" ht="51">
      <c r="A48" t="s">
        <v>2915</v>
      </c>
      <c r="B48" t="s">
        <v>2933</v>
      </c>
      <c r="C48" t="s">
        <v>116</v>
      </c>
      <c r="D48" s="112" t="s">
        <v>2984</v>
      </c>
      <c r="E48" s="7" t="s">
        <v>125</v>
      </c>
      <c r="F48" s="2" t="s">
        <v>2985</v>
      </c>
      <c r="G48" s="2" t="s">
        <v>200</v>
      </c>
      <c r="H48" s="7" t="s">
        <v>142</v>
      </c>
      <c r="I48" s="33" t="s">
        <v>186</v>
      </c>
      <c r="J48" s="33" t="s">
        <v>226</v>
      </c>
      <c r="K48" s="33" t="s">
        <v>207</v>
      </c>
    </row>
    <row r="49" spans="1:11" ht="17">
      <c r="A49" t="s">
        <v>2915</v>
      </c>
      <c r="B49" t="s">
        <v>2890</v>
      </c>
      <c r="C49" s="37" t="s">
        <v>2986</v>
      </c>
      <c r="D49" s="120" t="s">
        <v>2987</v>
      </c>
      <c r="E49" s="7" t="s">
        <v>126</v>
      </c>
      <c r="F49" s="2" t="s">
        <v>2987</v>
      </c>
      <c r="G49" s="2" t="s">
        <v>201</v>
      </c>
      <c r="H49" s="7" t="s">
        <v>143</v>
      </c>
      <c r="I49" s="33" t="s">
        <v>2988</v>
      </c>
      <c r="J49" s="33" t="s">
        <v>227</v>
      </c>
      <c r="K49" s="33" t="s">
        <v>208</v>
      </c>
    </row>
    <row r="50" spans="1:11" ht="17">
      <c r="A50" t="s">
        <v>2915</v>
      </c>
      <c r="B50" t="s">
        <v>2933</v>
      </c>
      <c r="C50" s="37" t="s">
        <v>2989</v>
      </c>
      <c r="D50" s="120" t="s">
        <v>2990</v>
      </c>
      <c r="E50" s="7" t="s">
        <v>127</v>
      </c>
      <c r="F50" s="2" t="s">
        <v>2990</v>
      </c>
      <c r="G50" s="2" t="s">
        <v>202</v>
      </c>
      <c r="H50" s="7" t="s">
        <v>144</v>
      </c>
      <c r="I50" s="33" t="s">
        <v>187</v>
      </c>
      <c r="J50" s="33" t="s">
        <v>228</v>
      </c>
      <c r="K50" s="33" t="s">
        <v>209</v>
      </c>
    </row>
    <row r="51" spans="1:11" ht="85">
      <c r="A51" t="s">
        <v>2909</v>
      </c>
      <c r="B51" t="s">
        <v>2890</v>
      </c>
      <c r="C51" t="s">
        <v>2991</v>
      </c>
      <c r="D51" s="112" t="s">
        <v>2992</v>
      </c>
      <c r="E51" s="7" t="s">
        <v>128</v>
      </c>
      <c r="F51" s="2" t="s">
        <v>2992</v>
      </c>
      <c r="G51" s="2" t="s">
        <v>203</v>
      </c>
      <c r="H51" s="7" t="s">
        <v>145</v>
      </c>
      <c r="I51" s="33" t="s">
        <v>188</v>
      </c>
      <c r="J51" s="33" t="s">
        <v>229</v>
      </c>
      <c r="K51" s="33" t="s">
        <v>302</v>
      </c>
    </row>
    <row r="52" spans="1:11" ht="17">
      <c r="C52" t="s">
        <v>2993</v>
      </c>
      <c r="E52" s="38" t="s">
        <v>1413</v>
      </c>
      <c r="F52" s="2"/>
      <c r="G52" s="2"/>
      <c r="I52" s="33"/>
      <c r="J52" s="33"/>
      <c r="K52" s="33"/>
    </row>
    <row r="53" spans="1:11" ht="17">
      <c r="C53" t="s">
        <v>1434</v>
      </c>
      <c r="E53" s="38" t="s">
        <v>1435</v>
      </c>
      <c r="F53" s="2"/>
      <c r="G53" s="2"/>
      <c r="I53" s="33"/>
      <c r="J53" s="33"/>
      <c r="K53" s="33"/>
    </row>
  </sheetData>
  <mergeCells count="2">
    <mergeCell ref="A1:F1"/>
    <mergeCell ref="H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1]!ReplaceSpecialCharactersAllSheets">
                <anchor moveWithCells="1" sizeWithCells="1">
                  <from>
                    <xdr:col>0</xdr:col>
                    <xdr:colOff>25400</xdr:colOff>
                    <xdr:row>0</xdr:row>
                    <xdr:rowOff>50800</xdr:rowOff>
                  </from>
                  <to>
                    <xdr:col>1</xdr:col>
                    <xdr:colOff>723900</xdr:colOff>
                    <xdr:row>1</xdr:row>
                    <xdr:rowOff>279400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Large Dataset</vt:lpstr>
      <vt:lpstr>Analysis of Large Data</vt:lpstr>
      <vt:lpstr>Original Questions</vt:lpstr>
      <vt:lpstr>'Original Questions'!Bloom</vt:lpstr>
      <vt:lpstr>'Large Dataset'!gpt_3.5_en_qs</vt:lpstr>
      <vt:lpstr>'Large Dataset'!gpt_3.5_turbo_qs</vt:lpstr>
      <vt:lpstr>'Large Dataset'!gpt_4_qs</vt:lpstr>
      <vt:lpstr>'Original Questions'!nor_mistral_7b_scratch</vt:lpstr>
      <vt:lpstr>'Original Questions'!nor_mistral_7b_warm_instruct</vt:lpstr>
      <vt:lpstr>'Large Dataset'!norBLOOM_Large</vt:lpstr>
      <vt:lpstr>'Large Dataset'!norBLOOMextra</vt:lpstr>
      <vt:lpstr>'Large Dataset'!normistral_7b_instruct_large</vt:lpstr>
      <vt:lpstr>'Original Questions'!normistral_7b_warm</vt:lpstr>
      <vt:lpstr>'Large Dataset'!normistral_scratch_extra</vt:lpstr>
      <vt:lpstr>'Large Dataset'!normistral_scratch_large</vt:lpstr>
      <vt:lpstr>'Large Dataset'!normistral_warm_extra_1</vt:lpstr>
      <vt:lpstr>'Large Dataset'!normistral_warm_instruct_extra</vt:lpstr>
      <vt:lpstr>'Large Dataset'!normistral_warm_large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Baize (Student)</dc:creator>
  <cp:lastModifiedBy>Ben Baize (Student)</cp:lastModifiedBy>
  <dcterms:created xsi:type="dcterms:W3CDTF">2024-06-26T08:14:31Z</dcterms:created>
  <dcterms:modified xsi:type="dcterms:W3CDTF">2024-07-07T14:34:28Z</dcterms:modified>
</cp:coreProperties>
</file>